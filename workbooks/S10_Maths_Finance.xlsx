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10-01" sheetId="2" state="visible" r:id="rId2"/>
    <sheet xmlns:r="http://schemas.openxmlformats.org/officeDocument/2006/relationships" name="S10-01 Done" sheetId="3" state="visible" r:id="rId3"/>
    <sheet xmlns:r="http://schemas.openxmlformats.org/officeDocument/2006/relationships" name="S10-02" sheetId="4" state="visible" r:id="rId4"/>
    <sheet xmlns:r="http://schemas.openxmlformats.org/officeDocument/2006/relationships" name="S10-02 Done" sheetId="5" state="visible" r:id="rId5"/>
    <sheet xmlns:r="http://schemas.openxmlformats.org/officeDocument/2006/relationships" name="S10-03" sheetId="6" state="visible" r:id="rId6"/>
    <sheet xmlns:r="http://schemas.openxmlformats.org/officeDocument/2006/relationships" name="S10-03 Done" sheetId="7" state="visible" r:id="rId7"/>
    <sheet xmlns:r="http://schemas.openxmlformats.org/officeDocument/2006/relationships" name="S10-04" sheetId="8" state="visible" r:id="rId8"/>
    <sheet xmlns:r="http://schemas.openxmlformats.org/officeDocument/2006/relationships" name="S10-04 Done" sheetId="9" state="visible" r:id="rId9"/>
    <sheet xmlns:r="http://schemas.openxmlformats.org/officeDocument/2006/relationships" name="S10-05" sheetId="10" state="visible" r:id="rId10"/>
    <sheet xmlns:r="http://schemas.openxmlformats.org/officeDocument/2006/relationships" name="S10-05 Done" sheetId="11" state="visible" r:id="rId11"/>
    <sheet xmlns:r="http://schemas.openxmlformats.org/officeDocument/2006/relationships" name="S10-06" sheetId="12" state="visible" r:id="rId12"/>
    <sheet xmlns:r="http://schemas.openxmlformats.org/officeDocument/2006/relationships" name="S10-06 Done" sheetId="13" state="visible" r:id="rId13"/>
    <sheet xmlns:r="http://schemas.openxmlformats.org/officeDocument/2006/relationships" name="S10-07" sheetId="14" state="visible" r:id="rId14"/>
    <sheet xmlns:r="http://schemas.openxmlformats.org/officeDocument/2006/relationships" name="S10-07 Done" sheetId="15" state="visible" r:id="rId15"/>
    <sheet xmlns:r="http://schemas.openxmlformats.org/officeDocument/2006/relationships" name="S10-08" sheetId="16" state="visible" r:id="rId16"/>
    <sheet xmlns:r="http://schemas.openxmlformats.org/officeDocument/2006/relationships" name="S10-08 Done" sheetId="17" state="visible" r:id="rId17"/>
    <sheet xmlns:r="http://schemas.openxmlformats.org/officeDocument/2006/relationships" name="S10-09" sheetId="18" state="visible" r:id="rId18"/>
    <sheet xmlns:r="http://schemas.openxmlformats.org/officeDocument/2006/relationships" name="S10-09 Done" sheetId="19" state="visible" r:id="rId19"/>
    <sheet xmlns:r="http://schemas.openxmlformats.org/officeDocument/2006/relationships" name="S10-10" sheetId="20" state="visible" r:id="rId20"/>
    <sheet xmlns:r="http://schemas.openxmlformats.org/officeDocument/2006/relationships" name="S10-10 Done" sheetId="21" state="visible" r:id="rId21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5">
    <numFmt numFmtId="164" formatCode="[&gt;=10000000]&quot;₹&quot;##\,##\,##\,##0;[&gt;=100000]&quot;₹&quot;##\,##\,##0;&quot;₹&quot;##,##0"/>
    <numFmt numFmtId="165" formatCode="0.0%"/>
    <numFmt numFmtId="166" formatCode="yyyy-mm-dd"/>
    <numFmt numFmtId="167" formatCode="DD-MM-YYYY"/>
    <numFmt numFmtId="168" formatCode="0.0"/>
  </numFmts>
  <fonts count="7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  <font>
      <b val="1"/>
    </font>
    <font>
      <b val="1"/>
      <color rgb="001F4E78"/>
      <sz val="13"/>
    </font>
    <font>
      <b val="1"/>
      <color rgb="001F4E78"/>
      <sz val="16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3" borderId="0" pivotButton="0" quotePrefix="0" xfId="0"/>
    <xf numFmtId="11" fontId="0" fillId="3" borderId="0" pivotButton="0" quotePrefix="0" xfId="0"/>
    <xf numFmtId="2" fontId="0" fillId="3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0" fontId="0" fillId="3" borderId="0" pivotButton="0" quotePrefix="0" xfId="0"/>
    <xf numFmtId="168" fontId="0" fillId="0" borderId="0" pivotButton="0" quotePrefix="0" xfId="0"/>
    <xf numFmtId="165" fontId="0" fillId="3" borderId="0" pivotButton="0" quotePrefix="0" xfId="0"/>
    <xf numFmtId="2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9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Relationship Id="rIdMeta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15" customWidth="1" min="4" max="4"/>
    <col width="17" customWidth="1" min="5" max="5"/>
  </cols>
  <sheetData>
    <row r="1">
      <c r="A1" s="1" t="inlineStr">
        <is>
          <t>S10: Maths, statistics and finance</t>
        </is>
      </c>
    </row>
    <row r="2">
      <c r="A2" s="2" t="inlineStr">
        <is>
          <t>Excel Mastery for Mac. Practice workbook. Yellow cells are for you to fill in.</t>
        </is>
      </c>
    </row>
    <row r="4">
      <c r="A4" s="3" t="inlineStr">
        <is>
          <t>Lesson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Practice sheet</t>
        </is>
      </c>
      <c r="E4" s="3" t="inlineStr">
        <is>
          <t>Finished sheet</t>
        </is>
      </c>
    </row>
    <row r="5">
      <c r="A5" t="inlineStr">
        <is>
          <t>S10-01</t>
        </is>
      </c>
      <c r="B5" t="inlineStr">
        <is>
          <t>Everyday maths functions</t>
        </is>
      </c>
      <c r="C5" t="inlineStr">
        <is>
          <t>demo</t>
        </is>
      </c>
      <c r="D5" t="inlineStr">
        <is>
          <t>S10-01</t>
        </is>
      </c>
      <c r="E5" t="inlineStr">
        <is>
          <t>S10-01 Done</t>
        </is>
      </c>
    </row>
    <row r="6">
      <c r="A6" t="inlineStr">
        <is>
          <t>S10-02</t>
        </is>
      </c>
      <c r="B6" t="inlineStr">
        <is>
          <t>Ranking and percentiles</t>
        </is>
      </c>
      <c r="C6" t="inlineStr">
        <is>
          <t>demo</t>
        </is>
      </c>
      <c r="D6" t="inlineStr">
        <is>
          <t>S10-02</t>
        </is>
      </c>
      <c r="E6" t="inlineStr">
        <is>
          <t>S10-02 Done</t>
        </is>
      </c>
    </row>
    <row r="7">
      <c r="A7" t="inlineStr">
        <is>
          <t>S10-03</t>
        </is>
      </c>
      <c r="B7" t="inlineStr">
        <is>
          <t>Averages and spread</t>
        </is>
      </c>
      <c r="C7" t="inlineStr">
        <is>
          <t>demo</t>
        </is>
      </c>
      <c r="D7" t="inlineStr">
        <is>
          <t>S10-03</t>
        </is>
      </c>
      <c r="E7" t="inlineStr">
        <is>
          <t>S10-03 Done</t>
        </is>
      </c>
    </row>
    <row r="8">
      <c r="A8" t="inlineStr">
        <is>
          <t>S10-04</t>
        </is>
      </c>
      <c r="B8" t="inlineStr">
        <is>
          <t>SUBTOTAL and AGGREGATE</t>
        </is>
      </c>
      <c r="C8" t="inlineStr">
        <is>
          <t>demo</t>
        </is>
      </c>
      <c r="D8" t="inlineStr">
        <is>
          <t>S10-04</t>
        </is>
      </c>
      <c r="E8" t="inlineStr">
        <is>
          <t>S10-04 Done</t>
        </is>
      </c>
    </row>
    <row r="9">
      <c r="A9" t="inlineStr">
        <is>
          <t>S10-05</t>
        </is>
      </c>
      <c r="B9" t="inlineStr">
        <is>
          <t>FREQUENCY and grouping numbers into bands</t>
        </is>
      </c>
      <c r="C9" t="inlineStr">
        <is>
          <t>demo</t>
        </is>
      </c>
      <c r="D9" t="inlineStr">
        <is>
          <t>S10-05</t>
        </is>
      </c>
      <c r="E9" t="inlineStr">
        <is>
          <t>S10-05 Done</t>
        </is>
      </c>
    </row>
    <row r="10">
      <c r="A10" t="inlineStr">
        <is>
          <t>S10-06</t>
        </is>
      </c>
      <c r="B10" t="inlineStr">
        <is>
          <t>EMI and loan schedules: PMT, IPMT, PPMT</t>
        </is>
      </c>
      <c r="C10" t="inlineStr">
        <is>
          <t>demo</t>
        </is>
      </c>
      <c r="D10" t="inlineStr">
        <is>
          <t>S10-06</t>
        </is>
      </c>
      <c r="E10" t="inlineStr">
        <is>
          <t>S10-06 Done</t>
        </is>
      </c>
    </row>
    <row r="11">
      <c r="A11" t="inlineStr">
        <is>
          <t>S10-07</t>
        </is>
      </c>
      <c r="B11" t="inlineStr">
        <is>
          <t>FV, PV, RATE and NPER: SIP, FD and goals</t>
        </is>
      </c>
      <c r="C11" t="inlineStr">
        <is>
          <t>demo</t>
        </is>
      </c>
      <c r="D11" t="inlineStr">
        <is>
          <t>S10-07</t>
        </is>
      </c>
      <c r="E11" t="inlineStr">
        <is>
          <t>S10-07 Done</t>
        </is>
      </c>
    </row>
    <row r="12">
      <c r="A12" t="inlineStr">
        <is>
          <t>S10-08</t>
        </is>
      </c>
      <c r="B12" t="inlineStr">
        <is>
          <t>NPV, IRR, XNPV and XIRR</t>
        </is>
      </c>
      <c r="C12" t="inlineStr">
        <is>
          <t>demo</t>
        </is>
      </c>
      <c r="D12" t="inlineStr">
        <is>
          <t>S10-08</t>
        </is>
      </c>
      <c r="E12" t="inlineStr">
        <is>
          <t>S10-08 Done</t>
        </is>
      </c>
    </row>
    <row r="13">
      <c r="A13" t="inlineStr">
        <is>
          <t>S10-09</t>
        </is>
      </c>
      <c r="B13" t="inlineStr">
        <is>
          <t>Depreciation: SLN, DB and DDB</t>
        </is>
      </c>
      <c r="C13" t="inlineStr">
        <is>
          <t>demo</t>
        </is>
      </c>
      <c r="D13" t="inlineStr">
        <is>
          <t>S10-09</t>
        </is>
      </c>
      <c r="E13" t="inlineStr">
        <is>
          <t>S10-09 Done</t>
        </is>
      </c>
    </row>
    <row r="14">
      <c r="A14" t="inlineStr">
        <is>
          <t>S10-10</t>
        </is>
      </c>
      <c r="B14" t="inlineStr">
        <is>
          <t>Project: GST invoice and sales register</t>
        </is>
      </c>
      <c r="C14" t="inlineStr">
        <is>
          <t>project</t>
        </is>
      </c>
      <c r="D14" t="inlineStr">
        <is>
          <t>S10-10</t>
        </is>
      </c>
      <c r="E14" t="inlineStr">
        <is>
          <t>S10-10 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4" customWidth="1" min="8" max="8"/>
    <col width="14" customWidth="1" min="9" max="9"/>
    <col width="26" customWidth="1" min="10" max="10"/>
    <col width="11" customWidth="1" min="11" max="11"/>
  </cols>
  <sheetData>
    <row r="1">
      <c r="A1" s="3" t="inlineStr">
        <is>
          <t>S.No</t>
        </is>
      </c>
      <c r="B1" s="3" t="inlineStr">
        <is>
          <t>Salesperson</t>
        </is>
      </c>
      <c r="C1" s="3" t="inlineStr">
        <is>
          <t>Target</t>
        </is>
      </c>
      <c r="D1" s="3" t="inlineStr">
        <is>
          <t>Actual</t>
        </is>
      </c>
      <c r="E1" s="3" t="inlineStr">
        <is>
          <t>Variance</t>
        </is>
      </c>
      <c r="F1" s="3" t="inlineStr">
        <is>
          <t>Gap (ABS)</t>
        </is>
      </c>
      <c r="G1" s="3" t="inlineStr">
        <is>
          <t>Odd or even</t>
        </is>
      </c>
      <c r="H1" s="3" t="inlineStr">
        <is>
          <t>Lucky draw no.</t>
        </is>
      </c>
      <c r="J1" s="3" t="inlineStr">
        <is>
          <t>Quick maths</t>
        </is>
      </c>
      <c r="K1" s="3" t="inlineStr">
        <is>
          <t>Result</t>
        </is>
      </c>
    </row>
    <row r="2">
      <c r="A2" t="n">
        <v>1</v>
      </c>
      <c r="B2" t="inlineStr">
        <is>
          <t>Aarav Sharma</t>
        </is>
      </c>
      <c r="C2" s="4" t="n">
        <v>500000</v>
      </c>
      <c r="D2" s="4" t="n">
        <v>535000</v>
      </c>
      <c r="E2" s="4">
        <f>D2-C2</f>
        <v/>
      </c>
      <c r="F2" s="5" t="n"/>
      <c r="G2" s="6" t="n"/>
      <c r="H2" s="6" t="n"/>
      <c r="J2" t="inlineStr">
        <is>
          <t>Side of square plot (m)</t>
        </is>
      </c>
      <c r="K2" t="n">
        <v>12</v>
      </c>
    </row>
    <row r="3">
      <c r="A3" t="n">
        <v>2</v>
      </c>
      <c r="B3" t="inlineStr">
        <is>
          <t>Priya Nair</t>
        </is>
      </c>
      <c r="C3" s="4" t="n">
        <v>450000</v>
      </c>
      <c r="D3" s="4" t="n">
        <v>418000</v>
      </c>
      <c r="E3" s="4">
        <f>D3-C3</f>
        <v/>
      </c>
      <c r="F3" s="5" t="n"/>
      <c r="G3" s="6" t="n"/>
      <c r="H3" s="6" t="n"/>
      <c r="J3" t="inlineStr">
        <is>
          <t>Area in sq m (POWER)</t>
        </is>
      </c>
      <c r="K3" s="6" t="n"/>
    </row>
    <row r="4">
      <c r="A4" t="n">
        <v>3</v>
      </c>
      <c r="B4" t="inlineStr">
        <is>
          <t>Rohan Mehta</t>
        </is>
      </c>
      <c r="C4" s="4" t="n">
        <v>600000</v>
      </c>
      <c r="D4" s="4" t="n">
        <v>612500</v>
      </c>
      <c r="E4" s="4">
        <f>D4-C4</f>
        <v/>
      </c>
      <c r="F4" s="5" t="n"/>
      <c r="G4" s="6" t="n"/>
      <c r="H4" s="6" t="n"/>
      <c r="J4" t="inlineStr">
        <is>
          <t>Side again (SQRT)</t>
        </is>
      </c>
      <c r="K4" s="6" t="n"/>
    </row>
    <row r="5">
      <c r="A5" t="n">
        <v>4</v>
      </c>
      <c r="B5" t="inlineStr">
        <is>
          <t>Sneha Iyer</t>
        </is>
      </c>
      <c r="C5" s="4" t="n">
        <v>400000</v>
      </c>
      <c r="D5" s="4" t="n">
        <v>365000</v>
      </c>
      <c r="E5" s="4">
        <f>D5-C5</f>
        <v/>
      </c>
      <c r="F5" s="5" t="n"/>
      <c r="G5" s="6" t="n"/>
      <c r="H5" s="6" t="n"/>
      <c r="J5" t="inlineStr">
        <is>
          <t>Boxes ordered</t>
        </is>
      </c>
      <c r="K5" t="n">
        <v>25</v>
      </c>
    </row>
    <row r="6">
      <c r="A6" t="n">
        <v>5</v>
      </c>
      <c r="B6" t="inlineStr">
        <is>
          <t>Vikram Singh</t>
        </is>
      </c>
      <c r="C6" s="4" t="n">
        <v>550000</v>
      </c>
      <c r="D6" s="4" t="n">
        <v>590000</v>
      </c>
      <c r="E6" s="4">
        <f>D6-C6</f>
        <v/>
      </c>
      <c r="F6" s="5" t="n"/>
      <c r="G6" s="6" t="n"/>
      <c r="H6" s="6" t="n"/>
      <c r="J6" t="inlineStr">
        <is>
          <t>Price per box</t>
        </is>
      </c>
      <c r="K6" s="4" t="n">
        <v>480</v>
      </c>
    </row>
    <row r="7">
      <c r="A7" t="n">
        <v>6</v>
      </c>
      <c r="B7" t="inlineStr">
        <is>
          <t>Ananya Rao</t>
        </is>
      </c>
      <c r="C7" s="4" t="n">
        <v>350000</v>
      </c>
      <c r="D7" s="4" t="n">
        <v>372000</v>
      </c>
      <c r="E7" s="4">
        <f>D7-C7</f>
        <v/>
      </c>
      <c r="F7" s="5" t="n"/>
      <c r="G7" s="6" t="n"/>
      <c r="H7" s="6" t="n"/>
      <c r="J7" t="inlineStr">
        <is>
          <t>Discount factor (10% off)</t>
        </is>
      </c>
      <c r="K7" t="n">
        <v>0.9</v>
      </c>
    </row>
    <row r="8">
      <c r="A8" t="n">
        <v>7</v>
      </c>
      <c r="B8" t="inlineStr">
        <is>
          <t>Karthik Reddy</t>
        </is>
      </c>
      <c r="C8" s="4" t="n">
        <v>480000</v>
      </c>
      <c r="D8" s="4" t="n">
        <v>455000</v>
      </c>
      <c r="E8" s="4">
        <f>D8-C8</f>
        <v/>
      </c>
      <c r="F8" s="5" t="n"/>
      <c r="G8" s="6" t="n"/>
      <c r="H8" s="6" t="n"/>
      <c r="J8" t="inlineStr">
        <is>
          <t>Bill amount (PRODUCT)</t>
        </is>
      </c>
      <c r="K8" s="5" t="n"/>
    </row>
    <row r="9">
      <c r="A9" t="n">
        <v>8</v>
      </c>
      <c r="B9" t="inlineStr">
        <is>
          <t>Meera Joshi</t>
        </is>
      </c>
      <c r="C9" s="4" t="n">
        <v>420000</v>
      </c>
      <c r="D9" s="4" t="n">
        <v>447500</v>
      </c>
      <c r="E9" s="4">
        <f>D9-C9</f>
        <v/>
      </c>
      <c r="F9" s="5" t="n"/>
      <c r="G9" s="6" t="n"/>
      <c r="H9" s="6" t="n"/>
    </row>
    <row r="10">
      <c r="A10" t="n">
        <v>9</v>
      </c>
      <c r="B10" t="inlineStr">
        <is>
          <t>Arjun Patel</t>
        </is>
      </c>
      <c r="C10" s="4" t="n">
        <v>650000</v>
      </c>
      <c r="D10" s="4" t="n">
        <v>610000</v>
      </c>
      <c r="E10" s="4">
        <f>D10-C10</f>
        <v/>
      </c>
      <c r="F10" s="5" t="n"/>
      <c r="G10" s="6" t="n"/>
      <c r="H10" s="6" t="n"/>
    </row>
    <row r="11">
      <c r="A11" t="n">
        <v>10</v>
      </c>
      <c r="B11" t="inlineStr">
        <is>
          <t>Divya Menon</t>
        </is>
      </c>
      <c r="C11" s="4" t="n">
        <v>380000</v>
      </c>
      <c r="D11" s="4" t="n">
        <v>402000</v>
      </c>
      <c r="E11" s="4">
        <f>D11-C11</f>
        <v/>
      </c>
      <c r="F11" s="5" t="n"/>
      <c r="G11" s="6" t="n"/>
      <c r="H11" s="6" t="n"/>
    </row>
    <row r="12">
      <c r="A12" t="n">
        <v>11</v>
      </c>
      <c r="B12" t="inlineStr">
        <is>
          <t>Rahul Gupta</t>
        </is>
      </c>
      <c r="C12" s="4" t="n">
        <v>520000</v>
      </c>
      <c r="D12" s="4" t="n">
        <v>498000</v>
      </c>
      <c r="E12" s="4">
        <f>D12-C12</f>
        <v/>
      </c>
      <c r="F12" s="5" t="n"/>
      <c r="G12" s="6" t="n"/>
      <c r="H12" s="6" t="n"/>
    </row>
    <row r="13">
      <c r="A13" t="n">
        <v>12</v>
      </c>
      <c r="B13" t="inlineStr">
        <is>
          <t>Kavya Pillai</t>
        </is>
      </c>
      <c r="C13" s="4" t="n">
        <v>300000</v>
      </c>
      <c r="D13" s="4" t="n">
        <v>326000</v>
      </c>
      <c r="E13" s="4">
        <f>D13-C13</f>
        <v/>
      </c>
      <c r="F13" s="5" t="n"/>
      <c r="G13" s="6" t="n"/>
      <c r="H13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4" customWidth="1" min="8" max="8"/>
    <col width="14" customWidth="1" min="9" max="9"/>
    <col width="26" customWidth="1" min="10" max="10"/>
    <col width="11" customWidth="1" min="11" max="11"/>
  </cols>
  <sheetData>
    <row r="1">
      <c r="A1" s="3" t="inlineStr">
        <is>
          <t>S.No</t>
        </is>
      </c>
      <c r="B1" s="3" t="inlineStr">
        <is>
          <t>Salesperson</t>
        </is>
      </c>
      <c r="C1" s="3" t="inlineStr">
        <is>
          <t>Target</t>
        </is>
      </c>
      <c r="D1" s="3" t="inlineStr">
        <is>
          <t>Actual</t>
        </is>
      </c>
      <c r="E1" s="3" t="inlineStr">
        <is>
          <t>Variance</t>
        </is>
      </c>
      <c r="F1" s="3" t="inlineStr">
        <is>
          <t>Gap (ABS)</t>
        </is>
      </c>
      <c r="G1" s="3" t="inlineStr">
        <is>
          <t>Odd or even</t>
        </is>
      </c>
      <c r="H1" s="3" t="inlineStr">
        <is>
          <t>Lucky draw no.</t>
        </is>
      </c>
      <c r="I1" s="3" t="inlineStr">
        <is>
          <t>Audit (challenge)</t>
        </is>
      </c>
      <c r="J1" s="3" t="inlineStr">
        <is>
          <t>Quick maths</t>
        </is>
      </c>
      <c r="K1" s="3" t="inlineStr">
        <is>
          <t>Result</t>
        </is>
      </c>
    </row>
    <row r="2">
      <c r="A2" t="n">
        <v>1</v>
      </c>
      <c r="B2" t="inlineStr">
        <is>
          <t>Aarav Sharma</t>
        </is>
      </c>
      <c r="C2" s="4" t="n">
        <v>500000</v>
      </c>
      <c r="D2" s="4" t="n">
        <v>535000</v>
      </c>
      <c r="E2" s="4">
        <f>D2-C2</f>
        <v/>
      </c>
      <c r="F2" s="5">
        <f>ABS(E2)</f>
        <v/>
      </c>
      <c r="G2" s="6">
        <f>IF(MOD(A2,2)=0,"Even","Odd")</f>
        <v/>
      </c>
      <c r="H2" s="6">
        <f>RANDBETWEEN(1000,9999)</f>
        <v/>
      </c>
      <c r="I2">
        <f>IF(MOD(A2,3)=0,"Audit","")</f>
        <v/>
      </c>
      <c r="J2" t="inlineStr">
        <is>
          <t>Side of square plot (m)</t>
        </is>
      </c>
      <c r="K2" t="n">
        <v>12</v>
      </c>
    </row>
    <row r="3">
      <c r="A3" t="n">
        <v>2</v>
      </c>
      <c r="B3" t="inlineStr">
        <is>
          <t>Priya Nair</t>
        </is>
      </c>
      <c r="C3" s="4" t="n">
        <v>450000</v>
      </c>
      <c r="D3" s="4" t="n">
        <v>418000</v>
      </c>
      <c r="E3" s="4">
        <f>D3-C3</f>
        <v/>
      </c>
      <c r="F3" s="5">
        <f>ABS(E3)</f>
        <v/>
      </c>
      <c r="G3" s="6">
        <f>IF(MOD(A3,2)=0,"Even","Odd")</f>
        <v/>
      </c>
      <c r="H3" s="6">
        <f>RANDBETWEEN(1000,9999)</f>
        <v/>
      </c>
      <c r="I3">
        <f>IF(MOD(A3,3)=0,"Audit","")</f>
        <v/>
      </c>
      <c r="J3" t="inlineStr">
        <is>
          <t>Area in sq m (POWER)</t>
        </is>
      </c>
      <c r="K3" s="6">
        <f>POWER(K2,2)</f>
        <v/>
      </c>
    </row>
    <row r="4">
      <c r="A4" t="n">
        <v>3</v>
      </c>
      <c r="B4" t="inlineStr">
        <is>
          <t>Rohan Mehta</t>
        </is>
      </c>
      <c r="C4" s="4" t="n">
        <v>600000</v>
      </c>
      <c r="D4" s="4" t="n">
        <v>612500</v>
      </c>
      <c r="E4" s="4">
        <f>D4-C4</f>
        <v/>
      </c>
      <c r="F4" s="5">
        <f>ABS(E4)</f>
        <v/>
      </c>
      <c r="G4" s="6">
        <f>IF(MOD(A4,2)=0,"Even","Odd")</f>
        <v/>
      </c>
      <c r="H4" s="6">
        <f>RANDBETWEEN(1000,9999)</f>
        <v/>
      </c>
      <c r="I4">
        <f>IF(MOD(A4,3)=0,"Audit","")</f>
        <v/>
      </c>
      <c r="J4" t="inlineStr">
        <is>
          <t>Side again (SQRT)</t>
        </is>
      </c>
      <c r="K4" s="6">
        <f>SQRT(K3)</f>
        <v/>
      </c>
    </row>
    <row r="5">
      <c r="A5" t="n">
        <v>4</v>
      </c>
      <c r="B5" t="inlineStr">
        <is>
          <t>Sneha Iyer</t>
        </is>
      </c>
      <c r="C5" s="4" t="n">
        <v>400000</v>
      </c>
      <c r="D5" s="4" t="n">
        <v>365000</v>
      </c>
      <c r="E5" s="4">
        <f>D5-C5</f>
        <v/>
      </c>
      <c r="F5" s="5">
        <f>ABS(E5)</f>
        <v/>
      </c>
      <c r="G5" s="6">
        <f>IF(MOD(A5,2)=0,"Even","Odd")</f>
        <v/>
      </c>
      <c r="H5" s="6">
        <f>RANDBETWEEN(1000,9999)</f>
        <v/>
      </c>
      <c r="I5">
        <f>IF(MOD(A5,3)=0,"Audit","")</f>
        <v/>
      </c>
      <c r="J5" t="inlineStr">
        <is>
          <t>Boxes ordered</t>
        </is>
      </c>
      <c r="K5" t="n">
        <v>25</v>
      </c>
    </row>
    <row r="6">
      <c r="A6" t="n">
        <v>5</v>
      </c>
      <c r="B6" t="inlineStr">
        <is>
          <t>Vikram Singh</t>
        </is>
      </c>
      <c r="C6" s="4" t="n">
        <v>550000</v>
      </c>
      <c r="D6" s="4" t="n">
        <v>590000</v>
      </c>
      <c r="E6" s="4">
        <f>D6-C6</f>
        <v/>
      </c>
      <c r="F6" s="5">
        <f>ABS(E6)</f>
        <v/>
      </c>
      <c r="G6" s="6">
        <f>IF(MOD(A6,2)=0,"Even","Odd")</f>
        <v/>
      </c>
      <c r="H6" s="6">
        <f>RANDBETWEEN(1000,9999)</f>
        <v/>
      </c>
      <c r="I6">
        <f>IF(MOD(A6,3)=0,"Audit","")</f>
        <v/>
      </c>
      <c r="J6" t="inlineStr">
        <is>
          <t>Price per box</t>
        </is>
      </c>
      <c r="K6" s="4" t="n">
        <v>480</v>
      </c>
    </row>
    <row r="7">
      <c r="A7" t="n">
        <v>6</v>
      </c>
      <c r="B7" t="inlineStr">
        <is>
          <t>Ananya Rao</t>
        </is>
      </c>
      <c r="C7" s="4" t="n">
        <v>350000</v>
      </c>
      <c r="D7" s="4" t="n">
        <v>372000</v>
      </c>
      <c r="E7" s="4">
        <f>D7-C7</f>
        <v/>
      </c>
      <c r="F7" s="5">
        <f>ABS(E7)</f>
        <v/>
      </c>
      <c r="G7" s="6">
        <f>IF(MOD(A7,2)=0,"Even","Odd")</f>
        <v/>
      </c>
      <c r="H7" s="6">
        <f>RANDBETWEEN(1000,9999)</f>
        <v/>
      </c>
      <c r="I7">
        <f>IF(MOD(A7,3)=0,"Audit","")</f>
        <v/>
      </c>
      <c r="J7" t="inlineStr">
        <is>
          <t>Discount factor (10% off)</t>
        </is>
      </c>
      <c r="K7" t="n">
        <v>0.9</v>
      </c>
    </row>
    <row r="8">
      <c r="A8" t="n">
        <v>7</v>
      </c>
      <c r="B8" t="inlineStr">
        <is>
          <t>Karthik Reddy</t>
        </is>
      </c>
      <c r="C8" s="4" t="n">
        <v>480000</v>
      </c>
      <c r="D8" s="4" t="n">
        <v>455000</v>
      </c>
      <c r="E8" s="4">
        <f>D8-C8</f>
        <v/>
      </c>
      <c r="F8" s="5">
        <f>ABS(E8)</f>
        <v/>
      </c>
      <c r="G8" s="6">
        <f>IF(MOD(A8,2)=0,"Even","Odd")</f>
        <v/>
      </c>
      <c r="H8" s="6">
        <f>RANDBETWEEN(1000,9999)</f>
        <v/>
      </c>
      <c r="I8">
        <f>IF(MOD(A8,3)=0,"Audit","")</f>
        <v/>
      </c>
      <c r="J8" t="inlineStr">
        <is>
          <t>Bill amount (PRODUCT)</t>
        </is>
      </c>
      <c r="K8" s="5">
        <f>PRODUCT(K5:K7)</f>
        <v/>
      </c>
    </row>
    <row r="9">
      <c r="A9" t="n">
        <v>8</v>
      </c>
      <c r="B9" t="inlineStr">
        <is>
          <t>Meera Joshi</t>
        </is>
      </c>
      <c r="C9" s="4" t="n">
        <v>420000</v>
      </c>
      <c r="D9" s="4" t="n">
        <v>447500</v>
      </c>
      <c r="E9" s="4">
        <f>D9-C9</f>
        <v/>
      </c>
      <c r="F9" s="5">
        <f>ABS(E9)</f>
        <v/>
      </c>
      <c r="G9" s="6">
        <f>IF(MOD(A9,2)=0,"Even","Odd")</f>
        <v/>
      </c>
      <c r="H9" s="6">
        <f>RANDBETWEEN(1000,9999)</f>
        <v/>
      </c>
      <c r="I9">
        <f>IF(MOD(A9,3)=0,"Audit","")</f>
        <v/>
      </c>
    </row>
    <row r="10">
      <c r="A10" t="n">
        <v>9</v>
      </c>
      <c r="B10" t="inlineStr">
        <is>
          <t>Arjun Patel</t>
        </is>
      </c>
      <c r="C10" s="4" t="n">
        <v>650000</v>
      </c>
      <c r="D10" s="4" t="n">
        <v>610000</v>
      </c>
      <c r="E10" s="4">
        <f>D10-C10</f>
        <v/>
      </c>
      <c r="F10" s="5">
        <f>ABS(E10)</f>
        <v/>
      </c>
      <c r="G10" s="6">
        <f>IF(MOD(A10,2)=0,"Even","Odd")</f>
        <v/>
      </c>
      <c r="H10" s="6">
        <f>RANDBETWEEN(1000,9999)</f>
        <v/>
      </c>
      <c r="I10">
        <f>IF(MOD(A10,3)=0,"Audit","")</f>
        <v/>
      </c>
    </row>
    <row r="11">
      <c r="A11" t="n">
        <v>10</v>
      </c>
      <c r="B11" t="inlineStr">
        <is>
          <t>Divya Menon</t>
        </is>
      </c>
      <c r="C11" s="4" t="n">
        <v>380000</v>
      </c>
      <c r="D11" s="4" t="n">
        <v>402000</v>
      </c>
      <c r="E11" s="4">
        <f>D11-C11</f>
        <v/>
      </c>
      <c r="F11" s="5">
        <f>ABS(E11)</f>
        <v/>
      </c>
      <c r="G11" s="6">
        <f>IF(MOD(A11,2)=0,"Even","Odd")</f>
        <v/>
      </c>
      <c r="H11" s="6">
        <f>RANDBETWEEN(1000,9999)</f>
        <v/>
      </c>
      <c r="I11">
        <f>IF(MOD(A11,3)=0,"Audit","")</f>
        <v/>
      </c>
      <c r="J11" s="7" t="inlineStr">
        <is>
          <t>Challenge answer: column I, =IF(MOD(A2,3)=0,"Audit","") filled down.</t>
        </is>
      </c>
    </row>
    <row r="12">
      <c r="A12" t="n">
        <v>11</v>
      </c>
      <c r="B12" t="inlineStr">
        <is>
          <t>Rahul Gupta</t>
        </is>
      </c>
      <c r="C12" s="4" t="n">
        <v>520000</v>
      </c>
      <c r="D12" s="4" t="n">
        <v>498000</v>
      </c>
      <c r="E12" s="4">
        <f>D12-C12</f>
        <v/>
      </c>
      <c r="F12" s="5">
        <f>ABS(E12)</f>
        <v/>
      </c>
      <c r="G12" s="6">
        <f>IF(MOD(A12,2)=0,"Even","Odd")</f>
        <v/>
      </c>
      <c r="H12" s="6">
        <f>RANDBETWEEN(1000,9999)</f>
        <v/>
      </c>
      <c r="I12">
        <f>IF(MOD(A12,3)=0,"Audit","")</f>
        <v/>
      </c>
      <c r="J12" s="7" t="inlineStr">
        <is>
          <t>Lucky draw numbers change every time the sheet recalculates.</t>
        </is>
      </c>
    </row>
    <row r="13">
      <c r="A13" t="n">
        <v>12</v>
      </c>
      <c r="B13" t="inlineStr">
        <is>
          <t>Kavya Pillai</t>
        </is>
      </c>
      <c r="C13" s="4" t="n">
        <v>300000</v>
      </c>
      <c r="D13" s="4" t="n">
        <v>326000</v>
      </c>
      <c r="E13" s="4">
        <f>D13-C13</f>
        <v/>
      </c>
      <c r="F13" s="5">
        <f>ABS(E13)</f>
        <v/>
      </c>
      <c r="G13" s="6">
        <f>IF(MOD(A13,2)=0,"Even","Odd")</f>
        <v/>
      </c>
      <c r="H13" s="6">
        <f>RANDBETWEEN(1000,9999)</f>
        <v/>
      </c>
      <c r="I13">
        <f>IF(MOD(A13,3)=0,"Audit","")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5" customWidth="1" min="3" max="3"/>
    <col width="7" customWidth="1" min="4" max="4"/>
    <col width="9" customWidth="1" min="5" max="5"/>
    <col width="3" customWidth="1" min="6" max="6"/>
    <col width="28" customWidth="1" min="7" max="7"/>
    <col width="18" customWidth="1" min="8" max="8"/>
  </cols>
  <sheetData>
    <row r="1">
      <c r="A1" s="3" t="inlineStr">
        <is>
          <t>Salesperson</t>
        </is>
      </c>
      <c r="B1" s="3" t="inlineStr">
        <is>
          <t>Region</t>
        </is>
      </c>
      <c r="C1" s="3" t="inlineStr">
        <is>
          <t>Sales FY25-26</t>
        </is>
      </c>
      <c r="D1" s="3" t="inlineStr">
        <is>
          <t>Rank</t>
        </is>
      </c>
      <c r="E1" s="3" t="inlineStr">
        <is>
          <t>Top 10?</t>
        </is>
      </c>
      <c r="G1" s="3" t="inlineStr">
        <is>
          <t>Measure</t>
        </is>
      </c>
      <c r="H1" s="3" t="inlineStr">
        <is>
          <t>Value</t>
        </is>
      </c>
    </row>
    <row r="2">
      <c r="A2" t="inlineStr">
        <is>
          <t>Aarav Sharma</t>
        </is>
      </c>
      <c r="B2" t="inlineStr">
        <is>
          <t>North</t>
        </is>
      </c>
      <c r="C2" s="4" t="n">
        <v>1845000</v>
      </c>
      <c r="D2" s="6" t="n"/>
      <c r="E2" s="6" t="n"/>
      <c r="G2" t="inlineStr">
        <is>
          <t>Highest sales</t>
        </is>
      </c>
      <c r="H2" s="5" t="n"/>
    </row>
    <row r="3">
      <c r="A3" t="inlineStr">
        <is>
          <t>Priya Nair</t>
        </is>
      </c>
      <c r="B3" t="inlineStr">
        <is>
          <t>South</t>
        </is>
      </c>
      <c r="C3" s="4" t="n">
        <v>2310000</v>
      </c>
      <c r="D3" s="6" t="n"/>
      <c r="E3" s="6" t="n"/>
      <c r="G3" t="inlineStr">
        <is>
          <t>2nd highest</t>
        </is>
      </c>
      <c r="H3" s="5" t="n"/>
    </row>
    <row r="4">
      <c r="A4" t="inlineStr">
        <is>
          <t>Rohan Mehta</t>
        </is>
      </c>
      <c r="B4" t="inlineStr">
        <is>
          <t>West</t>
        </is>
      </c>
      <c r="C4" s="4" t="n">
        <v>1567500</v>
      </c>
      <c r="D4" s="6" t="n"/>
      <c r="E4" s="6" t="n"/>
      <c r="G4" t="inlineStr">
        <is>
          <t>3rd highest</t>
        </is>
      </c>
      <c r="H4" s="5" t="n"/>
    </row>
    <row r="5">
      <c r="A5" t="inlineStr">
        <is>
          <t>Sneha Iyer</t>
        </is>
      </c>
      <c r="B5" t="inlineStr">
        <is>
          <t>East</t>
        </is>
      </c>
      <c r="C5" s="4" t="n">
        <v>2789000</v>
      </c>
      <c r="D5" s="6" t="n"/>
      <c r="E5" s="6" t="n"/>
      <c r="G5" t="inlineStr">
        <is>
          <t>Lowest sales</t>
        </is>
      </c>
      <c r="H5" s="5" t="n"/>
    </row>
    <row r="6">
      <c r="A6" t="inlineStr">
        <is>
          <t>Vikram Singh</t>
        </is>
      </c>
      <c r="B6" t="inlineStr">
        <is>
          <t>North</t>
        </is>
      </c>
      <c r="C6" s="4" t="n">
        <v>1204000</v>
      </c>
      <c r="D6" s="6" t="n"/>
      <c r="E6" s="6" t="n"/>
      <c r="G6" t="inlineStr">
        <is>
          <t>Top 10 cut-off (10th highest)</t>
        </is>
      </c>
      <c r="H6" s="5" t="n"/>
    </row>
    <row r="7">
      <c r="A7" t="inlineStr">
        <is>
          <t>Ananya Rao</t>
        </is>
      </c>
      <c r="B7" t="inlineStr">
        <is>
          <t>South</t>
        </is>
      </c>
      <c r="C7" s="4" t="n">
        <v>1998500</v>
      </c>
      <c r="D7" s="6" t="n"/>
      <c r="E7" s="6" t="n"/>
      <c r="G7" t="inlineStr">
        <is>
          <t>90th percentile</t>
        </is>
      </c>
      <c r="H7" s="5" t="n"/>
    </row>
    <row r="8">
      <c r="A8" t="inlineStr">
        <is>
          <t>Karthik Reddy</t>
        </is>
      </c>
      <c r="B8" t="inlineStr">
        <is>
          <t>West</t>
        </is>
      </c>
      <c r="C8" s="4" t="n">
        <v>2456000</v>
      </c>
      <c r="D8" s="6" t="n"/>
      <c r="E8" s="6" t="n"/>
      <c r="G8" t="inlineStr">
        <is>
          <t>Q1 (25th percentile)</t>
        </is>
      </c>
      <c r="H8" s="5" t="n"/>
    </row>
    <row r="9">
      <c r="A9" t="inlineStr">
        <is>
          <t>Meera Joshi</t>
        </is>
      </c>
      <c r="B9" t="inlineStr">
        <is>
          <t>East</t>
        </is>
      </c>
      <c r="C9" s="4" t="n">
        <v>1732000</v>
      </c>
      <c r="D9" s="6" t="n"/>
      <c r="E9" s="6" t="n"/>
      <c r="G9" t="inlineStr">
        <is>
          <t>Q3 (75th percentile)</t>
        </is>
      </c>
      <c r="H9" s="5" t="n"/>
    </row>
    <row r="10">
      <c r="A10" t="inlineStr">
        <is>
          <t>Arjun Patel</t>
        </is>
      </c>
      <c r="B10" t="inlineStr">
        <is>
          <t>North</t>
        </is>
      </c>
      <c r="C10" s="4" t="n">
        <v>3105000</v>
      </c>
      <c r="D10" s="6" t="n"/>
      <c r="E10" s="6" t="n"/>
      <c r="G10" t="inlineStr">
        <is>
          <t>Top performer</t>
        </is>
      </c>
      <c r="H10" s="6" t="n"/>
    </row>
    <row r="11">
      <c r="A11" t="inlineStr">
        <is>
          <t>Divya Menon</t>
        </is>
      </c>
      <c r="B11" t="inlineStr">
        <is>
          <t>South</t>
        </is>
      </c>
      <c r="C11" s="4" t="n">
        <v>1389500</v>
      </c>
      <c r="D11" s="6" t="n"/>
      <c r="E11" s="6" t="n"/>
    </row>
    <row r="12">
      <c r="A12" t="inlineStr">
        <is>
          <t>Rahul Gupta</t>
        </is>
      </c>
      <c r="B12" t="inlineStr">
        <is>
          <t>West</t>
        </is>
      </c>
      <c r="C12" s="4" t="n">
        <v>2124000</v>
      </c>
      <c r="D12" s="6" t="n"/>
      <c r="E12" s="6" t="n"/>
    </row>
    <row r="13">
      <c r="A13" t="inlineStr">
        <is>
          <t>Kavya Pillai</t>
        </is>
      </c>
      <c r="B13" t="inlineStr">
        <is>
          <t>East</t>
        </is>
      </c>
      <c r="C13" s="4" t="n">
        <v>1655000</v>
      </c>
      <c r="D13" s="6" t="n"/>
      <c r="E13" s="6" t="n"/>
    </row>
    <row r="14">
      <c r="A14" t="inlineStr">
        <is>
          <t>Siddharth Kulkarni</t>
        </is>
      </c>
      <c r="B14" t="inlineStr">
        <is>
          <t>North</t>
        </is>
      </c>
      <c r="C14" s="4" t="n">
        <v>2903500</v>
      </c>
      <c r="D14" s="6" t="n"/>
      <c r="E14" s="6" t="n"/>
    </row>
    <row r="15">
      <c r="A15" t="inlineStr">
        <is>
          <t>Neha Agarwal</t>
        </is>
      </c>
      <c r="B15" t="inlineStr">
        <is>
          <t>South</t>
        </is>
      </c>
      <c r="C15" s="4" t="n">
        <v>1478000</v>
      </c>
      <c r="D15" s="6" t="n"/>
      <c r="E15" s="6" t="n"/>
    </row>
    <row r="16">
      <c r="A16" t="inlineStr">
        <is>
          <t>Manish Yadav</t>
        </is>
      </c>
      <c r="B16" t="inlineStr">
        <is>
          <t>West</t>
        </is>
      </c>
      <c r="C16" s="4" t="n">
        <v>2251000</v>
      </c>
      <c r="D16" s="6" t="n"/>
      <c r="E16" s="6" t="n"/>
    </row>
    <row r="17">
      <c r="A17" t="inlineStr">
        <is>
          <t>Pooja Desai</t>
        </is>
      </c>
      <c r="B17" t="inlineStr">
        <is>
          <t>East</t>
        </is>
      </c>
      <c r="C17" s="4" t="n">
        <v>1912500</v>
      </c>
      <c r="D17" s="6" t="n"/>
      <c r="E17" s="6" t="n"/>
    </row>
    <row r="18">
      <c r="A18" t="inlineStr">
        <is>
          <t>Aditya Chauhan</t>
        </is>
      </c>
      <c r="B18" t="inlineStr">
        <is>
          <t>North</t>
        </is>
      </c>
      <c r="C18" s="4" t="n">
        <v>2640000</v>
      </c>
      <c r="D18" s="6" t="n"/>
      <c r="E18" s="6" t="n"/>
    </row>
    <row r="19">
      <c r="A19" t="inlineStr">
        <is>
          <t>Ritu Bansal</t>
        </is>
      </c>
      <c r="B19" t="inlineStr">
        <is>
          <t>South</t>
        </is>
      </c>
      <c r="C19" s="4" t="n">
        <v>1096000</v>
      </c>
      <c r="D19" s="6" t="n"/>
      <c r="E19" s="6" t="n"/>
    </row>
    <row r="20">
      <c r="A20" t="inlineStr">
        <is>
          <t>Suresh Babu</t>
        </is>
      </c>
      <c r="B20" t="inlineStr">
        <is>
          <t>West</t>
        </is>
      </c>
      <c r="C20" s="4" t="n">
        <v>2018000</v>
      </c>
      <c r="D20" s="6" t="n"/>
      <c r="E20" s="6" t="n"/>
    </row>
    <row r="21">
      <c r="A21" t="inlineStr">
        <is>
          <t>Farhan Qureshi</t>
        </is>
      </c>
      <c r="B21" t="inlineStr">
        <is>
          <t>East</t>
        </is>
      </c>
      <c r="C21" s="4" t="n">
        <v>1823500</v>
      </c>
      <c r="D21" s="6" t="n"/>
      <c r="E21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5" customWidth="1" min="3" max="3"/>
    <col width="7" customWidth="1" min="4" max="4"/>
    <col width="9" customWidth="1" min="5" max="5"/>
    <col width="3" customWidth="1" min="6" max="6"/>
    <col width="28" customWidth="1" min="7" max="7"/>
    <col width="18" customWidth="1" min="8" max="8"/>
  </cols>
  <sheetData>
    <row r="1">
      <c r="A1" s="3" t="inlineStr">
        <is>
          <t>Salesperson</t>
        </is>
      </c>
      <c r="B1" s="3" t="inlineStr">
        <is>
          <t>Region</t>
        </is>
      </c>
      <c r="C1" s="3" t="inlineStr">
        <is>
          <t>Sales FY25-26</t>
        </is>
      </c>
      <c r="D1" s="3" t="inlineStr">
        <is>
          <t>Rank</t>
        </is>
      </c>
      <c r="E1" s="3" t="inlineStr">
        <is>
          <t>Top 10?</t>
        </is>
      </c>
      <c r="G1" s="3" t="inlineStr">
        <is>
          <t>Measure</t>
        </is>
      </c>
      <c r="H1" s="3" t="inlineStr">
        <is>
          <t>Value</t>
        </is>
      </c>
    </row>
    <row r="2">
      <c r="A2" t="inlineStr">
        <is>
          <t>Aarav Sharma</t>
        </is>
      </c>
      <c r="B2" t="inlineStr">
        <is>
          <t>North</t>
        </is>
      </c>
      <c r="C2" s="4" t="n">
        <v>1845000</v>
      </c>
      <c r="D2" s="6">
        <f>_xlfn.RANK.EQ(C2,$C$2:$C$21)</f>
        <v/>
      </c>
      <c r="E2" s="6">
        <f>IF(C2&gt;=$H$6,"Top 10","")</f>
        <v/>
      </c>
      <c r="G2" t="inlineStr">
        <is>
          <t>Highest sales</t>
        </is>
      </c>
      <c r="H2" s="5">
        <f>LARGE($C$2:$C$21,1)</f>
        <v/>
      </c>
    </row>
    <row r="3">
      <c r="A3" t="inlineStr">
        <is>
          <t>Priya Nair</t>
        </is>
      </c>
      <c r="B3" t="inlineStr">
        <is>
          <t>South</t>
        </is>
      </c>
      <c r="C3" s="4" t="n">
        <v>2310000</v>
      </c>
      <c r="D3" s="6">
        <f>_xlfn.RANK.EQ(C3,$C$2:$C$21)</f>
        <v/>
      </c>
      <c r="E3" s="6">
        <f>IF(C3&gt;=$H$6,"Top 10","")</f>
        <v/>
      </c>
      <c r="G3" t="inlineStr">
        <is>
          <t>2nd highest</t>
        </is>
      </c>
      <c r="H3" s="5">
        <f>LARGE($C$2:$C$21,2)</f>
        <v/>
      </c>
    </row>
    <row r="4">
      <c r="A4" t="inlineStr">
        <is>
          <t>Rohan Mehta</t>
        </is>
      </c>
      <c r="B4" t="inlineStr">
        <is>
          <t>West</t>
        </is>
      </c>
      <c r="C4" s="4" t="n">
        <v>1567500</v>
      </c>
      <c r="D4" s="6">
        <f>_xlfn.RANK.EQ(C4,$C$2:$C$21)</f>
        <v/>
      </c>
      <c r="E4" s="6">
        <f>IF(C4&gt;=$H$6,"Top 10","")</f>
        <v/>
      </c>
      <c r="G4" t="inlineStr">
        <is>
          <t>3rd highest</t>
        </is>
      </c>
      <c r="H4" s="5">
        <f>LARGE($C$2:$C$21,3)</f>
        <v/>
      </c>
    </row>
    <row r="5">
      <c r="A5" t="inlineStr">
        <is>
          <t>Sneha Iyer</t>
        </is>
      </c>
      <c r="B5" t="inlineStr">
        <is>
          <t>East</t>
        </is>
      </c>
      <c r="C5" s="4" t="n">
        <v>2789000</v>
      </c>
      <c r="D5" s="6">
        <f>_xlfn.RANK.EQ(C5,$C$2:$C$21)</f>
        <v/>
      </c>
      <c r="E5" s="6">
        <f>IF(C5&gt;=$H$6,"Top 10","")</f>
        <v/>
      </c>
      <c r="G5" t="inlineStr">
        <is>
          <t>Lowest sales</t>
        </is>
      </c>
      <c r="H5" s="5">
        <f>SMALL($C$2:$C$21,1)</f>
        <v/>
      </c>
    </row>
    <row r="6">
      <c r="A6" t="inlineStr">
        <is>
          <t>Vikram Singh</t>
        </is>
      </c>
      <c r="B6" t="inlineStr">
        <is>
          <t>North</t>
        </is>
      </c>
      <c r="C6" s="4" t="n">
        <v>1204000</v>
      </c>
      <c r="D6" s="6">
        <f>_xlfn.RANK.EQ(C6,$C$2:$C$21)</f>
        <v/>
      </c>
      <c r="E6" s="6">
        <f>IF(C6&gt;=$H$6,"Top 10","")</f>
        <v/>
      </c>
      <c r="G6" t="inlineStr">
        <is>
          <t>Top 10 cut-off (10th highest)</t>
        </is>
      </c>
      <c r="H6" s="5">
        <f>LARGE($C$2:$C$21,10)</f>
        <v/>
      </c>
    </row>
    <row r="7">
      <c r="A7" t="inlineStr">
        <is>
          <t>Ananya Rao</t>
        </is>
      </c>
      <c r="B7" t="inlineStr">
        <is>
          <t>South</t>
        </is>
      </c>
      <c r="C7" s="4" t="n">
        <v>1998500</v>
      </c>
      <c r="D7" s="6">
        <f>_xlfn.RANK.EQ(C7,$C$2:$C$21)</f>
        <v/>
      </c>
      <c r="E7" s="6">
        <f>IF(C7&gt;=$H$6,"Top 10","")</f>
        <v/>
      </c>
      <c r="G7" t="inlineStr">
        <is>
          <t>90th percentile</t>
        </is>
      </c>
      <c r="H7" s="5">
        <f>_xlfn.PERCENTILE.INC(C2:C21,0.9)</f>
        <v/>
      </c>
    </row>
    <row r="8">
      <c r="A8" t="inlineStr">
        <is>
          <t>Karthik Reddy</t>
        </is>
      </c>
      <c r="B8" t="inlineStr">
        <is>
          <t>West</t>
        </is>
      </c>
      <c r="C8" s="4" t="n">
        <v>2456000</v>
      </c>
      <c r="D8" s="6">
        <f>_xlfn.RANK.EQ(C8,$C$2:$C$21)</f>
        <v/>
      </c>
      <c r="E8" s="6">
        <f>IF(C8&gt;=$H$6,"Top 10","")</f>
        <v/>
      </c>
      <c r="G8" t="inlineStr">
        <is>
          <t>Q1 (25th percentile)</t>
        </is>
      </c>
      <c r="H8" s="5">
        <f>_xlfn.QUARTILE.INC(C2:C21,1)</f>
        <v/>
      </c>
    </row>
    <row r="9">
      <c r="A9" t="inlineStr">
        <is>
          <t>Meera Joshi</t>
        </is>
      </c>
      <c r="B9" t="inlineStr">
        <is>
          <t>East</t>
        </is>
      </c>
      <c r="C9" s="4" t="n">
        <v>1732000</v>
      </c>
      <c r="D9" s="6">
        <f>_xlfn.RANK.EQ(C9,$C$2:$C$21)</f>
        <v/>
      </c>
      <c r="E9" s="6">
        <f>IF(C9&gt;=$H$6,"Top 10","")</f>
        <v/>
      </c>
      <c r="G9" t="inlineStr">
        <is>
          <t>Q3 (75th percentile)</t>
        </is>
      </c>
      <c r="H9" s="5">
        <f>_xlfn.QUARTILE.INC(C2:C21,3)</f>
        <v/>
      </c>
    </row>
    <row r="10">
      <c r="A10" t="inlineStr">
        <is>
          <t>Arjun Patel</t>
        </is>
      </c>
      <c r="B10" t="inlineStr">
        <is>
          <t>North</t>
        </is>
      </c>
      <c r="C10" s="4" t="n">
        <v>3105000</v>
      </c>
      <c r="D10" s="6">
        <f>_xlfn.RANK.EQ(C10,$C$2:$C$21)</f>
        <v/>
      </c>
      <c r="E10" s="6">
        <f>IF(C10&gt;=$H$6,"Top 10","")</f>
        <v/>
      </c>
      <c r="G10" t="inlineStr">
        <is>
          <t>Top performer</t>
        </is>
      </c>
      <c r="H10" s="6">
        <f>INDEX(A2:A21,MATCH(H2,C2:C21,0))</f>
        <v/>
      </c>
    </row>
    <row r="11">
      <c r="A11" t="inlineStr">
        <is>
          <t>Divya Menon</t>
        </is>
      </c>
      <c r="B11" t="inlineStr">
        <is>
          <t>South</t>
        </is>
      </c>
      <c r="C11" s="4" t="n">
        <v>1389500</v>
      </c>
      <c r="D11" s="6">
        <f>_xlfn.RANK.EQ(C11,$C$2:$C$21)</f>
        <v/>
      </c>
      <c r="E11" s="6">
        <f>IF(C11&gt;=$H$6,"Top 10","")</f>
        <v/>
      </c>
      <c r="G11" s="8" t="inlineStr">
        <is>
          <t>2nd best (challenge)</t>
        </is>
      </c>
      <c r="H11">
        <f>INDEX(A2:A21,MATCH(H3,C2:C21,0))</f>
        <v/>
      </c>
    </row>
    <row r="12">
      <c r="A12" t="inlineStr">
        <is>
          <t>Rahul Gupta</t>
        </is>
      </c>
      <c r="B12" t="inlineStr">
        <is>
          <t>West</t>
        </is>
      </c>
      <c r="C12" s="4" t="n">
        <v>2124000</v>
      </c>
      <c r="D12" s="6">
        <f>_xlfn.RANK.EQ(C12,$C$2:$C$21)</f>
        <v/>
      </c>
      <c r="E12" s="6">
        <f>IF(C12&gt;=$H$6,"Top 10","")</f>
        <v/>
      </c>
    </row>
    <row r="13">
      <c r="A13" t="inlineStr">
        <is>
          <t>Kavya Pillai</t>
        </is>
      </c>
      <c r="B13" t="inlineStr">
        <is>
          <t>East</t>
        </is>
      </c>
      <c r="C13" s="4" t="n">
        <v>1655000</v>
      </c>
      <c r="D13" s="6">
        <f>_xlfn.RANK.EQ(C13,$C$2:$C$21)</f>
        <v/>
      </c>
      <c r="E13" s="6">
        <f>IF(C13&gt;=$H$6,"Top 10","")</f>
        <v/>
      </c>
    </row>
    <row r="14">
      <c r="A14" t="inlineStr">
        <is>
          <t>Siddharth Kulkarni</t>
        </is>
      </c>
      <c r="B14" t="inlineStr">
        <is>
          <t>North</t>
        </is>
      </c>
      <c r="C14" s="4" t="n">
        <v>2903500</v>
      </c>
      <c r="D14" s="6">
        <f>_xlfn.RANK.EQ(C14,$C$2:$C$21)</f>
        <v/>
      </c>
      <c r="E14" s="6">
        <f>IF(C14&gt;=$H$6,"Top 10","")</f>
        <v/>
      </c>
    </row>
    <row r="15">
      <c r="A15" t="inlineStr">
        <is>
          <t>Neha Agarwal</t>
        </is>
      </c>
      <c r="B15" t="inlineStr">
        <is>
          <t>South</t>
        </is>
      </c>
      <c r="C15" s="4" t="n">
        <v>1478000</v>
      </c>
      <c r="D15" s="6">
        <f>_xlfn.RANK.EQ(C15,$C$2:$C$21)</f>
        <v/>
      </c>
      <c r="E15" s="6">
        <f>IF(C15&gt;=$H$6,"Top 10","")</f>
        <v/>
      </c>
    </row>
    <row r="16">
      <c r="A16" t="inlineStr">
        <is>
          <t>Manish Yadav</t>
        </is>
      </c>
      <c r="B16" t="inlineStr">
        <is>
          <t>West</t>
        </is>
      </c>
      <c r="C16" s="4" t="n">
        <v>2251000</v>
      </c>
      <c r="D16" s="6">
        <f>_xlfn.RANK.EQ(C16,$C$2:$C$21)</f>
        <v/>
      </c>
      <c r="E16" s="6">
        <f>IF(C16&gt;=$H$6,"Top 10","")</f>
        <v/>
      </c>
    </row>
    <row r="17">
      <c r="A17" t="inlineStr">
        <is>
          <t>Pooja Desai</t>
        </is>
      </c>
      <c r="B17" t="inlineStr">
        <is>
          <t>East</t>
        </is>
      </c>
      <c r="C17" s="4" t="n">
        <v>1912500</v>
      </c>
      <c r="D17" s="6">
        <f>_xlfn.RANK.EQ(C17,$C$2:$C$21)</f>
        <v/>
      </c>
      <c r="E17" s="6">
        <f>IF(C17&gt;=$H$6,"Top 10","")</f>
        <v/>
      </c>
    </row>
    <row r="18">
      <c r="A18" t="inlineStr">
        <is>
          <t>Aditya Chauhan</t>
        </is>
      </c>
      <c r="B18" t="inlineStr">
        <is>
          <t>North</t>
        </is>
      </c>
      <c r="C18" s="4" t="n">
        <v>2640000</v>
      </c>
      <c r="D18" s="6">
        <f>_xlfn.RANK.EQ(C18,$C$2:$C$21)</f>
        <v/>
      </c>
      <c r="E18" s="6">
        <f>IF(C18&gt;=$H$6,"Top 10","")</f>
        <v/>
      </c>
    </row>
    <row r="19">
      <c r="A19" t="inlineStr">
        <is>
          <t>Ritu Bansal</t>
        </is>
      </c>
      <c r="B19" t="inlineStr">
        <is>
          <t>South</t>
        </is>
      </c>
      <c r="C19" s="4" t="n">
        <v>1096000</v>
      </c>
      <c r="D19" s="6">
        <f>_xlfn.RANK.EQ(C19,$C$2:$C$21)</f>
        <v/>
      </c>
      <c r="E19" s="6">
        <f>IF(C19&gt;=$H$6,"Top 10","")</f>
        <v/>
      </c>
    </row>
    <row r="20">
      <c r="A20" t="inlineStr">
        <is>
          <t>Suresh Babu</t>
        </is>
      </c>
      <c r="B20" t="inlineStr">
        <is>
          <t>West</t>
        </is>
      </c>
      <c r="C20" s="4" t="n">
        <v>2018000</v>
      </c>
      <c r="D20" s="6">
        <f>_xlfn.RANK.EQ(C20,$C$2:$C$21)</f>
        <v/>
      </c>
      <c r="E20" s="6">
        <f>IF(C20&gt;=$H$6,"Top 10","")</f>
        <v/>
      </c>
    </row>
    <row r="21">
      <c r="A21" t="inlineStr">
        <is>
          <t>Farhan Qureshi</t>
        </is>
      </c>
      <c r="B21" t="inlineStr">
        <is>
          <t>East</t>
        </is>
      </c>
      <c r="C21" s="4" t="n">
        <v>1823500</v>
      </c>
      <c r="D21" s="6">
        <f>_xlfn.RANK.EQ(C21,$C$2:$C$21)</f>
        <v/>
      </c>
      <c r="E21" s="6">
        <f>IF(C21&gt;=$H$6,"Top 10","")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8" customWidth="1" min="4" max="4"/>
    <col width="3" customWidth="1" min="5" max="5"/>
    <col width="34" customWidth="1" min="6" max="6"/>
    <col width="15" customWidth="1" min="7" max="7"/>
  </cols>
  <sheetData>
    <row r="1">
      <c r="A1" s="3" t="inlineStr">
        <is>
          <t>Month</t>
        </is>
      </c>
      <c r="B1" s="3" t="inlineStr">
        <is>
          <t>Ad spend</t>
        </is>
      </c>
      <c r="C1" s="3" t="inlineStr">
        <is>
          <t>Sales</t>
        </is>
      </c>
      <c r="D1" s="3" t="inlineStr">
        <is>
          <t>Leads</t>
        </is>
      </c>
      <c r="F1" s="3" t="inlineStr">
        <is>
          <t>Statistic</t>
        </is>
      </c>
      <c r="G1" s="3" t="inlineStr">
        <is>
          <t>Value</t>
        </is>
      </c>
    </row>
    <row r="2">
      <c r="A2" t="inlineStr">
        <is>
          <t>Apr-25</t>
        </is>
      </c>
      <c r="B2" s="4" t="n">
        <v>150000</v>
      </c>
      <c r="C2" s="4" t="n">
        <v>1620000</v>
      </c>
      <c r="D2" t="n">
        <v>410</v>
      </c>
      <c r="F2" t="inlineStr">
        <is>
          <t>Average monthly sales</t>
        </is>
      </c>
      <c r="G2" s="5" t="n"/>
    </row>
    <row r="3">
      <c r="A3" t="inlineStr">
        <is>
          <t>May-25</t>
        </is>
      </c>
      <c r="B3" s="4" t="n">
        <v>180000</v>
      </c>
      <c r="C3" s="4" t="n">
        <v>2140000</v>
      </c>
      <c r="D3" t="n">
        <v>452</v>
      </c>
      <c r="F3" t="inlineStr">
        <is>
          <t>Median monthly sales</t>
        </is>
      </c>
      <c r="G3" s="5" t="n"/>
    </row>
    <row r="4">
      <c r="A4" t="inlineStr">
        <is>
          <t>Jun-25</t>
        </is>
      </c>
      <c r="B4" s="4" t="n">
        <v>120000</v>
      </c>
      <c r="C4" s="4" t="n">
        <v>1350000</v>
      </c>
      <c r="D4" t="n">
        <v>380</v>
      </c>
      <c r="F4" t="inlineStr">
        <is>
          <t>Most common lead count (mode)</t>
        </is>
      </c>
      <c r="G4" s="9" t="n"/>
    </row>
    <row r="5">
      <c r="A5" t="inlineStr">
        <is>
          <t>Jul-25</t>
        </is>
      </c>
      <c r="B5" s="4" t="n">
        <v>200000</v>
      </c>
      <c r="C5" s="4" t="n">
        <v>1980000</v>
      </c>
      <c r="D5" t="n">
        <v>452</v>
      </c>
      <c r="F5" t="inlineStr">
        <is>
          <t>Standard deviation of sales</t>
        </is>
      </c>
      <c r="G5" s="5" t="n"/>
    </row>
    <row r="6">
      <c r="A6" t="inlineStr">
        <is>
          <t>Aug-25</t>
        </is>
      </c>
      <c r="B6" s="4" t="n">
        <v>250000</v>
      </c>
      <c r="C6" s="4" t="n">
        <v>2480000</v>
      </c>
      <c r="D6" t="n">
        <v>515</v>
      </c>
      <c r="F6" t="inlineStr">
        <is>
          <t>Variance of sales</t>
        </is>
      </c>
      <c r="G6" s="10" t="n"/>
    </row>
    <row r="7">
      <c r="A7" t="inlineStr">
        <is>
          <t>Sep-25</t>
        </is>
      </c>
      <c r="B7" s="4" t="n">
        <v>300000</v>
      </c>
      <c r="C7" s="4" t="n">
        <v>2650000</v>
      </c>
      <c r="D7" t="n">
        <v>560</v>
      </c>
      <c r="F7" t="inlineStr">
        <is>
          <t>Correlation: ad spend vs sales</t>
        </is>
      </c>
      <c r="G7" s="11" t="n"/>
    </row>
    <row r="8">
      <c r="A8" t="inlineStr">
        <is>
          <t>Oct-25</t>
        </is>
      </c>
      <c r="B8" s="4" t="n">
        <v>350000</v>
      </c>
      <c r="C8" s="4" t="n">
        <v>3650000</v>
      </c>
      <c r="D8" t="n">
        <v>610</v>
      </c>
    </row>
    <row r="9">
      <c r="A9" t="inlineStr">
        <is>
          <t>Nov-25</t>
        </is>
      </c>
      <c r="B9" s="4" t="n">
        <v>220000</v>
      </c>
      <c r="C9" s="4" t="n">
        <v>2260000</v>
      </c>
      <c r="D9" t="n">
        <v>488</v>
      </c>
    </row>
    <row r="10">
      <c r="A10" t="inlineStr">
        <is>
          <t>Dec-25</t>
        </is>
      </c>
      <c r="B10" s="4" t="n">
        <v>160000</v>
      </c>
      <c r="C10" s="4" t="n">
        <v>2250000</v>
      </c>
      <c r="D10" t="n">
        <v>425</v>
      </c>
    </row>
    <row r="11">
      <c r="A11" t="inlineStr">
        <is>
          <t>Jan-26</t>
        </is>
      </c>
      <c r="B11" s="4" t="n">
        <v>140000</v>
      </c>
      <c r="C11" s="4" t="n">
        <v>1980000</v>
      </c>
      <c r="D11" t="n">
        <v>380</v>
      </c>
    </row>
    <row r="12">
      <c r="A12" t="inlineStr">
        <is>
          <t>Feb-26</t>
        </is>
      </c>
      <c r="B12" s="4" t="n">
        <v>210000</v>
      </c>
      <c r="C12" s="4" t="n">
        <v>1890000</v>
      </c>
      <c r="D12" t="n">
        <v>452</v>
      </c>
    </row>
    <row r="13">
      <c r="A13" t="inlineStr">
        <is>
          <t>Mar-26</t>
        </is>
      </c>
      <c r="B13" s="4" t="n">
        <v>280000</v>
      </c>
      <c r="C13" s="4" t="n">
        <v>2870000</v>
      </c>
      <c r="D13" t="n">
        <v>540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8" customWidth="1" min="4" max="4"/>
    <col width="3" customWidth="1" min="5" max="5"/>
    <col width="34" customWidth="1" min="6" max="6"/>
    <col width="15" customWidth="1" min="7" max="7"/>
  </cols>
  <sheetData>
    <row r="1">
      <c r="A1" s="3" t="inlineStr">
        <is>
          <t>Month</t>
        </is>
      </c>
      <c r="B1" s="3" t="inlineStr">
        <is>
          <t>Ad spend</t>
        </is>
      </c>
      <c r="C1" s="3" t="inlineStr">
        <is>
          <t>Sales</t>
        </is>
      </c>
      <c r="D1" s="3" t="inlineStr">
        <is>
          <t>Leads</t>
        </is>
      </c>
      <c r="F1" s="3" t="inlineStr">
        <is>
          <t>Statistic</t>
        </is>
      </c>
      <c r="G1" s="3" t="inlineStr">
        <is>
          <t>Value</t>
        </is>
      </c>
    </row>
    <row r="2">
      <c r="A2" t="inlineStr">
        <is>
          <t>Apr-25</t>
        </is>
      </c>
      <c r="B2" s="4" t="n">
        <v>150000</v>
      </c>
      <c r="C2" s="4" t="n">
        <v>1620000</v>
      </c>
      <c r="D2" t="n">
        <v>410</v>
      </c>
      <c r="F2" t="inlineStr">
        <is>
          <t>Average monthly sales</t>
        </is>
      </c>
      <c r="G2" s="5">
        <f>AVERAGE(C2:C13)</f>
        <v/>
      </c>
    </row>
    <row r="3">
      <c r="A3" t="inlineStr">
        <is>
          <t>May-25</t>
        </is>
      </c>
      <c r="B3" s="4" t="n">
        <v>180000</v>
      </c>
      <c r="C3" s="4" t="n">
        <v>2140000</v>
      </c>
      <c r="D3" t="n">
        <v>452</v>
      </c>
      <c r="F3" t="inlineStr">
        <is>
          <t>Median monthly sales</t>
        </is>
      </c>
      <c r="G3" s="5">
        <f>MEDIAN(C2:C13)</f>
        <v/>
      </c>
    </row>
    <row r="4">
      <c r="A4" t="inlineStr">
        <is>
          <t>Jun-25</t>
        </is>
      </c>
      <c r="B4" s="4" t="n">
        <v>120000</v>
      </c>
      <c r="C4" s="4" t="n">
        <v>1350000</v>
      </c>
      <c r="D4" t="n">
        <v>380</v>
      </c>
      <c r="F4" t="inlineStr">
        <is>
          <t>Most common lead count (mode)</t>
        </is>
      </c>
      <c r="G4" s="9">
        <f>_xlfn.MODE.SNGL(D2:D13)</f>
        <v/>
      </c>
    </row>
    <row r="5">
      <c r="A5" t="inlineStr">
        <is>
          <t>Jul-25</t>
        </is>
      </c>
      <c r="B5" s="4" t="n">
        <v>200000</v>
      </c>
      <c r="C5" s="4" t="n">
        <v>1980000</v>
      </c>
      <c r="D5" t="n">
        <v>452</v>
      </c>
      <c r="F5" t="inlineStr">
        <is>
          <t>Standard deviation of sales</t>
        </is>
      </c>
      <c r="G5" s="5">
        <f>_xlfn.STDEV.S(C2:C13)</f>
        <v/>
      </c>
    </row>
    <row r="6">
      <c r="A6" t="inlineStr">
        <is>
          <t>Aug-25</t>
        </is>
      </c>
      <c r="B6" s="4" t="n">
        <v>250000</v>
      </c>
      <c r="C6" s="4" t="n">
        <v>2480000</v>
      </c>
      <c r="D6" t="n">
        <v>515</v>
      </c>
      <c r="F6" t="inlineStr">
        <is>
          <t>Variance of sales</t>
        </is>
      </c>
      <c r="G6" s="10">
        <f>_xlfn.VAR.S(C2:C13)</f>
        <v/>
      </c>
    </row>
    <row r="7">
      <c r="A7" t="inlineStr">
        <is>
          <t>Sep-25</t>
        </is>
      </c>
      <c r="B7" s="4" t="n">
        <v>300000</v>
      </c>
      <c r="C7" s="4" t="n">
        <v>2650000</v>
      </c>
      <c r="D7" t="n">
        <v>560</v>
      </c>
      <c r="F7" t="inlineStr">
        <is>
          <t>Correlation: ad spend vs sales</t>
        </is>
      </c>
      <c r="G7" s="11">
        <f>CORREL(B2:B13,C2:C13)</f>
        <v/>
      </c>
    </row>
    <row r="8">
      <c r="A8" t="inlineStr">
        <is>
          <t>Oct-25</t>
        </is>
      </c>
      <c r="B8" s="4" t="n">
        <v>350000</v>
      </c>
      <c r="C8" s="4" t="n">
        <v>3650000</v>
      </c>
      <c r="D8" t="n">
        <v>610</v>
      </c>
    </row>
    <row r="9">
      <c r="A9" t="inlineStr">
        <is>
          <t>Nov-25</t>
        </is>
      </c>
      <c r="B9" s="4" t="n">
        <v>220000</v>
      </c>
      <c r="C9" s="4" t="n">
        <v>2260000</v>
      </c>
      <c r="D9" t="n">
        <v>488</v>
      </c>
      <c r="F9" s="8" t="inlineStr">
        <is>
          <t>Coefficient of variation (challenge)</t>
        </is>
      </c>
      <c r="G9" s="12">
        <f>G5/G2</f>
        <v/>
      </c>
    </row>
    <row r="10">
      <c r="A10" t="inlineStr">
        <is>
          <t>Dec-25</t>
        </is>
      </c>
      <c r="B10" s="4" t="n">
        <v>160000</v>
      </c>
      <c r="C10" s="4" t="n">
        <v>2250000</v>
      </c>
      <c r="D10" t="n">
        <v>425</v>
      </c>
    </row>
    <row r="11">
      <c r="A11" t="inlineStr">
        <is>
          <t>Jan-26</t>
        </is>
      </c>
      <c r="B11" s="4" t="n">
        <v>140000</v>
      </c>
      <c r="C11" s="4" t="n">
        <v>1980000</v>
      </c>
      <c r="D11" t="n">
        <v>380</v>
      </c>
    </row>
    <row r="12">
      <c r="A12" t="inlineStr">
        <is>
          <t>Feb-26</t>
        </is>
      </c>
      <c r="B12" s="4" t="n">
        <v>210000</v>
      </c>
      <c r="C12" s="4" t="n">
        <v>1890000</v>
      </c>
      <c r="D12" t="n">
        <v>452</v>
      </c>
    </row>
    <row r="13">
      <c r="A13" t="inlineStr">
        <is>
          <t>Mar-26</t>
        </is>
      </c>
      <c r="B13" s="4" t="n">
        <v>280000</v>
      </c>
      <c r="C13" s="4" t="n">
        <v>2870000</v>
      </c>
      <c r="D13" t="n">
        <v>540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34" customWidth="1" min="4" max="4"/>
    <col width="13" customWidth="1" min="5" max="5"/>
    <col width="12" customWidth="1" min="6" max="6"/>
  </cols>
  <sheetData>
    <row r="1">
      <c r="A1" s="3" t="inlineStr">
        <is>
          <t>Invoice</t>
        </is>
      </c>
      <c r="B1" s="3" t="inlineStr">
        <is>
          <t>Date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</t>
        </is>
      </c>
      <c r="F1" s="3" t="inlineStr">
        <is>
          <t>Incentive</t>
        </is>
      </c>
    </row>
    <row r="2">
      <c r="A2" t="inlineStr">
        <is>
          <t>INV-2501</t>
        </is>
      </c>
      <c r="B2" s="13" t="n">
        <v>45748</v>
      </c>
      <c r="C2" t="inlineStr">
        <is>
          <t>North</t>
        </is>
      </c>
      <c r="D2" t="inlineStr">
        <is>
          <t>Jaipur</t>
        </is>
      </c>
      <c r="E2" s="4" t="n">
        <v>102000</v>
      </c>
      <c r="F2" s="4">
        <f>ROUND(E2*2%,0)</f>
        <v/>
      </c>
    </row>
    <row r="3">
      <c r="A3" t="inlineStr">
        <is>
          <t>INV-2502</t>
        </is>
      </c>
      <c r="B3" s="13" t="n">
        <v>45749</v>
      </c>
      <c r="C3" t="inlineStr">
        <is>
          <t>East</t>
        </is>
      </c>
      <c r="D3" t="inlineStr">
        <is>
          <t>Patna</t>
        </is>
      </c>
      <c r="E3" s="4" t="n">
        <v>185500</v>
      </c>
      <c r="F3" s="4">
        <f>ROUND(E3*2%,0)</f>
        <v/>
      </c>
    </row>
    <row r="4">
      <c r="A4" t="inlineStr">
        <is>
          <t>INV-2503</t>
        </is>
      </c>
      <c r="B4" s="13" t="n">
        <v>45750</v>
      </c>
      <c r="C4" t="inlineStr">
        <is>
          <t>West</t>
        </is>
      </c>
      <c r="D4" t="inlineStr">
        <is>
          <t>Mumbai</t>
        </is>
      </c>
      <c r="E4" s="4" t="n">
        <v>116000</v>
      </c>
      <c r="F4" s="4">
        <f>ROUND(E4*2%,0)</f>
        <v/>
      </c>
    </row>
    <row r="5">
      <c r="A5" t="inlineStr">
        <is>
          <t>INV-2504</t>
        </is>
      </c>
      <c r="B5" s="13" t="n">
        <v>45751</v>
      </c>
      <c r="C5" t="inlineStr">
        <is>
          <t>South</t>
        </is>
      </c>
      <c r="D5" t="inlineStr">
        <is>
          <t>Kochi</t>
        </is>
      </c>
      <c r="E5" s="4" t="n">
        <v>324000</v>
      </c>
      <c r="F5" s="4">
        <f>ROUND(E5*2%,0)</f>
        <v/>
      </c>
    </row>
    <row r="6">
      <c r="A6" t="inlineStr">
        <is>
          <t>INV-2505</t>
        </is>
      </c>
      <c r="B6" s="13" t="n">
        <v>45752</v>
      </c>
      <c r="C6" t="inlineStr">
        <is>
          <t>South</t>
        </is>
      </c>
      <c r="D6" t="inlineStr">
        <is>
          <t>Kochi</t>
        </is>
      </c>
      <c r="E6" s="4" t="n">
        <v>261000</v>
      </c>
      <c r="F6" s="4">
        <f>ROUND(E6*2%,0)</f>
        <v/>
      </c>
    </row>
    <row r="7">
      <c r="A7" t="inlineStr">
        <is>
          <t>INV-2506</t>
        </is>
      </c>
      <c r="B7" s="13" t="n">
        <v>45753</v>
      </c>
      <c r="C7" t="inlineStr">
        <is>
          <t>North</t>
        </is>
      </c>
      <c r="D7" t="inlineStr">
        <is>
          <t>Delhi</t>
        </is>
      </c>
      <c r="E7" s="4" t="n">
        <v>92500</v>
      </c>
      <c r="F7" s="4">
        <f>NA()</f>
        <v/>
      </c>
    </row>
    <row r="8">
      <c r="A8" t="inlineStr">
        <is>
          <t>INV-2507</t>
        </is>
      </c>
      <c r="B8" s="13" t="n">
        <v>45754</v>
      </c>
      <c r="C8" t="inlineStr">
        <is>
          <t>East</t>
        </is>
      </c>
      <c r="D8" t="inlineStr">
        <is>
          <t>Kolkata</t>
        </is>
      </c>
      <c r="E8" s="4" t="n">
        <v>303500</v>
      </c>
      <c r="F8" s="4">
        <f>ROUND(E8*2%,0)</f>
        <v/>
      </c>
    </row>
    <row r="9">
      <c r="A9" t="inlineStr">
        <is>
          <t>INV-2508</t>
        </is>
      </c>
      <c r="B9" s="13" t="n">
        <v>45756</v>
      </c>
      <c r="C9" t="inlineStr">
        <is>
          <t>West</t>
        </is>
      </c>
      <c r="D9" t="inlineStr">
        <is>
          <t>Ahmedabad</t>
        </is>
      </c>
      <c r="E9" s="4" t="n">
        <v>146500</v>
      </c>
      <c r="F9" s="4">
        <f>ROUND(E9*2%,0)</f>
        <v/>
      </c>
    </row>
    <row r="10">
      <c r="A10" t="inlineStr">
        <is>
          <t>INV-2509</t>
        </is>
      </c>
      <c r="B10" s="13" t="n">
        <v>45757</v>
      </c>
      <c r="C10" t="inlineStr">
        <is>
          <t>West</t>
        </is>
      </c>
      <c r="D10" t="inlineStr">
        <is>
          <t>Mumbai</t>
        </is>
      </c>
      <c r="E10" s="4" t="n">
        <v>274500</v>
      </c>
      <c r="F10" s="4">
        <f>ROUND(E10*2%,0)</f>
        <v/>
      </c>
    </row>
    <row r="11">
      <c r="A11" t="inlineStr">
        <is>
          <t>INV-2510</t>
        </is>
      </c>
      <c r="B11" s="13" t="n">
        <v>45758</v>
      </c>
      <c r="C11" t="inlineStr">
        <is>
          <t>South</t>
        </is>
      </c>
      <c r="D11" t="inlineStr">
        <is>
          <t>Chennai</t>
        </is>
      </c>
      <c r="E11" s="4" t="n">
        <v>126500</v>
      </c>
      <c r="F11" s="4">
        <f>ROUND(E11*2%,0)</f>
        <v/>
      </c>
    </row>
    <row r="12">
      <c r="A12" t="inlineStr">
        <is>
          <t>INV-2511</t>
        </is>
      </c>
      <c r="B12" s="13" t="n">
        <v>45758</v>
      </c>
      <c r="C12" t="inlineStr">
        <is>
          <t>North</t>
        </is>
      </c>
      <c r="D12" t="inlineStr">
        <is>
          <t>Lucknow</t>
        </is>
      </c>
      <c r="E12" s="4" t="n">
        <v>187000</v>
      </c>
      <c r="F12" s="4">
        <f>ROUND(E12*2%,0)</f>
        <v/>
      </c>
    </row>
    <row r="13">
      <c r="A13" t="inlineStr">
        <is>
          <t>INV-2512</t>
        </is>
      </c>
      <c r="B13" s="13" t="n">
        <v>45759</v>
      </c>
      <c r="C13" t="inlineStr">
        <is>
          <t>East</t>
        </is>
      </c>
      <c r="D13" t="inlineStr">
        <is>
          <t>Kolkata</t>
        </is>
      </c>
      <c r="E13" s="4" t="n">
        <v>217000</v>
      </c>
      <c r="F13" s="4">
        <f>ROUND(E13*2%,0)</f>
        <v/>
      </c>
    </row>
    <row r="14">
      <c r="A14" t="inlineStr">
        <is>
          <t>INV-2513</t>
        </is>
      </c>
      <c r="B14" s="13" t="n">
        <v>45760</v>
      </c>
      <c r="C14" t="inlineStr">
        <is>
          <t>East</t>
        </is>
      </c>
      <c r="D14" t="inlineStr">
        <is>
          <t>Kolkata</t>
        </is>
      </c>
      <c r="E14" s="4" t="n">
        <v>239500</v>
      </c>
      <c r="F14" s="4">
        <f>ROUND(E14*2%,0)</f>
        <v/>
      </c>
    </row>
    <row r="15">
      <c r="A15" t="inlineStr">
        <is>
          <t>INV-2514</t>
        </is>
      </c>
      <c r="B15" s="13" t="n">
        <v>45762</v>
      </c>
      <c r="C15" t="inlineStr">
        <is>
          <t>West</t>
        </is>
      </c>
      <c r="D15" t="inlineStr">
        <is>
          <t>Pune</t>
        </is>
      </c>
      <c r="E15" s="4" t="n">
        <v>221000</v>
      </c>
      <c r="F15" s="4">
        <f>NA()</f>
        <v/>
      </c>
    </row>
    <row r="16">
      <c r="A16" t="inlineStr">
        <is>
          <t>INV-2515</t>
        </is>
      </c>
      <c r="B16" s="13" t="n">
        <v>45762</v>
      </c>
      <c r="C16" t="inlineStr">
        <is>
          <t>South</t>
        </is>
      </c>
      <c r="D16" t="inlineStr">
        <is>
          <t>Chennai</t>
        </is>
      </c>
      <c r="E16" s="4" t="n">
        <v>280000</v>
      </c>
      <c r="F16" s="4">
        <f>ROUND(E16*2%,0)</f>
        <v/>
      </c>
    </row>
    <row r="17">
      <c r="A17" t="inlineStr">
        <is>
          <t>INV-2516</t>
        </is>
      </c>
      <c r="B17" s="13" t="n">
        <v>45764</v>
      </c>
      <c r="C17" t="inlineStr">
        <is>
          <t>North</t>
        </is>
      </c>
      <c r="D17" t="inlineStr">
        <is>
          <t>Lucknow</t>
        </is>
      </c>
      <c r="E17" s="4" t="n">
        <v>85000</v>
      </c>
      <c r="F17" s="4">
        <f>ROUND(E17*2%,0)</f>
        <v/>
      </c>
    </row>
    <row r="18">
      <c r="A18" t="inlineStr">
        <is>
          <t>INV-2517</t>
        </is>
      </c>
      <c r="B18" s="13" t="n">
        <v>45765</v>
      </c>
      <c r="C18" t="inlineStr">
        <is>
          <t>North</t>
        </is>
      </c>
      <c r="D18" t="inlineStr">
        <is>
          <t>Jaipur</t>
        </is>
      </c>
      <c r="E18" s="4" t="n">
        <v>361500</v>
      </c>
      <c r="F18" s="4">
        <f>ROUND(E18*2%,0)</f>
        <v/>
      </c>
    </row>
    <row r="19">
      <c r="A19" t="inlineStr">
        <is>
          <t>INV-2518</t>
        </is>
      </c>
      <c r="B19" s="13" t="n">
        <v>45765</v>
      </c>
      <c r="C19" t="inlineStr">
        <is>
          <t>East</t>
        </is>
      </c>
      <c r="D19" t="inlineStr">
        <is>
          <t>Patna</t>
        </is>
      </c>
      <c r="E19" s="4" t="n">
        <v>143000</v>
      </c>
      <c r="F19" s="4">
        <f>ROUND(E19*2%,0)</f>
        <v/>
      </c>
    </row>
    <row r="20">
      <c r="A20" t="inlineStr">
        <is>
          <t>INV-2519</t>
        </is>
      </c>
      <c r="B20" s="13" t="n">
        <v>45766</v>
      </c>
      <c r="C20" t="inlineStr">
        <is>
          <t>West</t>
        </is>
      </c>
      <c r="D20" t="inlineStr">
        <is>
          <t>Mumbai</t>
        </is>
      </c>
      <c r="E20" s="4" t="n">
        <v>383500</v>
      </c>
      <c r="F20" s="4">
        <f>ROUND(E20*2%,0)</f>
        <v/>
      </c>
    </row>
    <row r="21">
      <c r="A21" t="inlineStr">
        <is>
          <t>INV-2520</t>
        </is>
      </c>
      <c r="B21" s="13" t="n">
        <v>45767</v>
      </c>
      <c r="C21" t="inlineStr">
        <is>
          <t>South</t>
        </is>
      </c>
      <c r="D21" t="inlineStr">
        <is>
          <t>Bengaluru</t>
        </is>
      </c>
      <c r="E21" s="4" t="n">
        <v>85500</v>
      </c>
      <c r="F21" s="4">
        <f>ROUND(E21*2%,0)</f>
        <v/>
      </c>
    </row>
    <row r="23">
      <c r="D23" s="8" t="inlineStr">
        <is>
          <t>SUM</t>
        </is>
      </c>
      <c r="E23" s="5" t="n"/>
      <c r="F23" s="4" t="n"/>
    </row>
    <row r="24">
      <c r="D24" s="8" t="inlineStr">
        <is>
          <t>SUBTOTAL 9</t>
        </is>
      </c>
      <c r="E24" s="5" t="n"/>
      <c r="F24" s="4" t="n"/>
    </row>
    <row r="25">
      <c r="D25" s="8" t="inlineStr">
        <is>
          <t>SUBTOTAL 109</t>
        </is>
      </c>
      <c r="E25" s="5" t="n"/>
      <c r="F25" s="4" t="n"/>
    </row>
    <row r="26">
      <c r="D26" s="8" t="inlineStr">
        <is>
          <t>Incentive: SUM</t>
        </is>
      </c>
      <c r="E26" s="4" t="n"/>
      <c r="F26" s="5" t="n"/>
    </row>
    <row r="27">
      <c r="D27" s="8" t="inlineStr">
        <is>
          <t>Incentive: AGGREGATE</t>
        </is>
      </c>
      <c r="E27" s="4" t="n"/>
      <c r="F27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34" customWidth="1" min="4" max="4"/>
    <col width="13" customWidth="1" min="5" max="5"/>
    <col width="12" customWidth="1" min="6" max="6"/>
  </cols>
  <sheetData>
    <row r="1">
      <c r="A1" s="3" t="inlineStr">
        <is>
          <t>Invoice</t>
        </is>
      </c>
      <c r="B1" s="3" t="inlineStr">
        <is>
          <t>Date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</t>
        </is>
      </c>
      <c r="F1" s="3" t="inlineStr">
        <is>
          <t>Incentive</t>
        </is>
      </c>
      <c r="H1" s="7" t="inlineStr">
        <is>
          <t>Rows 5 to 8 are hidden (Control 9). SUBTOTAL 109 and AGGREGATE option 7 skip them.</t>
        </is>
      </c>
    </row>
    <row r="2">
      <c r="A2" t="inlineStr">
        <is>
          <t>INV-2501</t>
        </is>
      </c>
      <c r="B2" s="13" t="n">
        <v>45748</v>
      </c>
      <c r="C2" t="inlineStr">
        <is>
          <t>North</t>
        </is>
      </c>
      <c r="D2" t="inlineStr">
        <is>
          <t>Jaipur</t>
        </is>
      </c>
      <c r="E2" s="4" t="n">
        <v>102000</v>
      </c>
      <c r="F2" s="4">
        <f>ROUND(E2*2%,0)</f>
        <v/>
      </c>
    </row>
    <row r="3">
      <c r="A3" t="inlineStr">
        <is>
          <t>INV-2502</t>
        </is>
      </c>
      <c r="B3" s="13" t="n">
        <v>45749</v>
      </c>
      <c r="C3" t="inlineStr">
        <is>
          <t>East</t>
        </is>
      </c>
      <c r="D3" t="inlineStr">
        <is>
          <t>Patna</t>
        </is>
      </c>
      <c r="E3" s="4" t="n">
        <v>185500</v>
      </c>
      <c r="F3" s="4">
        <f>ROUND(E3*2%,0)</f>
        <v/>
      </c>
    </row>
    <row r="4">
      <c r="A4" t="inlineStr">
        <is>
          <t>INV-2503</t>
        </is>
      </c>
      <c r="B4" s="13" t="n">
        <v>45750</v>
      </c>
      <c r="C4" t="inlineStr">
        <is>
          <t>West</t>
        </is>
      </c>
      <c r="D4" t="inlineStr">
        <is>
          <t>Mumbai</t>
        </is>
      </c>
      <c r="E4" s="4" t="n">
        <v>116000</v>
      </c>
      <c r="F4" s="4">
        <f>ROUND(E4*2%,0)</f>
        <v/>
      </c>
    </row>
    <row r="5" hidden="1">
      <c r="A5" t="inlineStr">
        <is>
          <t>INV-2504</t>
        </is>
      </c>
      <c r="B5" s="13" t="n">
        <v>45751</v>
      </c>
      <c r="C5" t="inlineStr">
        <is>
          <t>South</t>
        </is>
      </c>
      <c r="D5" t="inlineStr">
        <is>
          <t>Kochi</t>
        </is>
      </c>
      <c r="E5" s="4" t="n">
        <v>324000</v>
      </c>
      <c r="F5" s="4">
        <f>ROUND(E5*2%,0)</f>
        <v/>
      </c>
    </row>
    <row r="6" hidden="1">
      <c r="A6" t="inlineStr">
        <is>
          <t>INV-2505</t>
        </is>
      </c>
      <c r="B6" s="13" t="n">
        <v>45752</v>
      </c>
      <c r="C6" t="inlineStr">
        <is>
          <t>South</t>
        </is>
      </c>
      <c r="D6" t="inlineStr">
        <is>
          <t>Kochi</t>
        </is>
      </c>
      <c r="E6" s="4" t="n">
        <v>261000</v>
      </c>
      <c r="F6" s="4">
        <f>ROUND(E6*2%,0)</f>
        <v/>
      </c>
    </row>
    <row r="7" hidden="1">
      <c r="A7" t="inlineStr">
        <is>
          <t>INV-2506</t>
        </is>
      </c>
      <c r="B7" s="13" t="n">
        <v>45753</v>
      </c>
      <c r="C7" t="inlineStr">
        <is>
          <t>North</t>
        </is>
      </c>
      <c r="D7" t="inlineStr">
        <is>
          <t>Delhi</t>
        </is>
      </c>
      <c r="E7" s="4" t="n">
        <v>92500</v>
      </c>
      <c r="F7" s="4">
        <f>NA()</f>
        <v/>
      </c>
    </row>
    <row r="8" hidden="1">
      <c r="A8" t="inlineStr">
        <is>
          <t>INV-2507</t>
        </is>
      </c>
      <c r="B8" s="13" t="n">
        <v>45754</v>
      </c>
      <c r="C8" t="inlineStr">
        <is>
          <t>East</t>
        </is>
      </c>
      <c r="D8" t="inlineStr">
        <is>
          <t>Kolkata</t>
        </is>
      </c>
      <c r="E8" s="4" t="n">
        <v>303500</v>
      </c>
      <c r="F8" s="4">
        <f>ROUND(E8*2%,0)</f>
        <v/>
      </c>
    </row>
    <row r="9">
      <c r="A9" t="inlineStr">
        <is>
          <t>INV-2508</t>
        </is>
      </c>
      <c r="B9" s="13" t="n">
        <v>45756</v>
      </c>
      <c r="C9" t="inlineStr">
        <is>
          <t>West</t>
        </is>
      </c>
      <c r="D9" t="inlineStr">
        <is>
          <t>Ahmedabad</t>
        </is>
      </c>
      <c r="E9" s="4" t="n">
        <v>146500</v>
      </c>
      <c r="F9" s="4">
        <f>ROUND(E9*2%,0)</f>
        <v/>
      </c>
    </row>
    <row r="10">
      <c r="A10" t="inlineStr">
        <is>
          <t>INV-2509</t>
        </is>
      </c>
      <c r="B10" s="13" t="n">
        <v>45757</v>
      </c>
      <c r="C10" t="inlineStr">
        <is>
          <t>West</t>
        </is>
      </c>
      <c r="D10" t="inlineStr">
        <is>
          <t>Mumbai</t>
        </is>
      </c>
      <c r="E10" s="4" t="n">
        <v>274500</v>
      </c>
      <c r="F10" s="4">
        <f>ROUND(E10*2%,0)</f>
        <v/>
      </c>
    </row>
    <row r="11">
      <c r="A11" t="inlineStr">
        <is>
          <t>INV-2510</t>
        </is>
      </c>
      <c r="B11" s="13" t="n">
        <v>45758</v>
      </c>
      <c r="C11" t="inlineStr">
        <is>
          <t>South</t>
        </is>
      </c>
      <c r="D11" t="inlineStr">
        <is>
          <t>Chennai</t>
        </is>
      </c>
      <c r="E11" s="4" t="n">
        <v>126500</v>
      </c>
      <c r="F11" s="4">
        <f>ROUND(E11*2%,0)</f>
        <v/>
      </c>
    </row>
    <row r="12">
      <c r="A12" t="inlineStr">
        <is>
          <t>INV-2511</t>
        </is>
      </c>
      <c r="B12" s="13" t="n">
        <v>45758</v>
      </c>
      <c r="C12" t="inlineStr">
        <is>
          <t>North</t>
        </is>
      </c>
      <c r="D12" t="inlineStr">
        <is>
          <t>Lucknow</t>
        </is>
      </c>
      <c r="E12" s="4" t="n">
        <v>187000</v>
      </c>
      <c r="F12" s="4">
        <f>ROUND(E12*2%,0)</f>
        <v/>
      </c>
    </row>
    <row r="13">
      <c r="A13" t="inlineStr">
        <is>
          <t>INV-2512</t>
        </is>
      </c>
      <c r="B13" s="13" t="n">
        <v>45759</v>
      </c>
      <c r="C13" t="inlineStr">
        <is>
          <t>East</t>
        </is>
      </c>
      <c r="D13" t="inlineStr">
        <is>
          <t>Kolkata</t>
        </is>
      </c>
      <c r="E13" s="4" t="n">
        <v>217000</v>
      </c>
      <c r="F13" s="4">
        <f>ROUND(E13*2%,0)</f>
        <v/>
      </c>
    </row>
    <row r="14">
      <c r="A14" t="inlineStr">
        <is>
          <t>INV-2513</t>
        </is>
      </c>
      <c r="B14" s="13" t="n">
        <v>45760</v>
      </c>
      <c r="C14" t="inlineStr">
        <is>
          <t>East</t>
        </is>
      </c>
      <c r="D14" t="inlineStr">
        <is>
          <t>Kolkata</t>
        </is>
      </c>
      <c r="E14" s="4" t="n">
        <v>239500</v>
      </c>
      <c r="F14" s="4">
        <f>ROUND(E14*2%,0)</f>
        <v/>
      </c>
    </row>
    <row r="15">
      <c r="A15" t="inlineStr">
        <is>
          <t>INV-2514</t>
        </is>
      </c>
      <c r="B15" s="13" t="n">
        <v>45762</v>
      </c>
      <c r="C15" t="inlineStr">
        <is>
          <t>West</t>
        </is>
      </c>
      <c r="D15" t="inlineStr">
        <is>
          <t>Pune</t>
        </is>
      </c>
      <c r="E15" s="4" t="n">
        <v>221000</v>
      </c>
      <c r="F15" s="4">
        <f>NA()</f>
        <v/>
      </c>
    </row>
    <row r="16">
      <c r="A16" t="inlineStr">
        <is>
          <t>INV-2515</t>
        </is>
      </c>
      <c r="B16" s="13" t="n">
        <v>45762</v>
      </c>
      <c r="C16" t="inlineStr">
        <is>
          <t>South</t>
        </is>
      </c>
      <c r="D16" t="inlineStr">
        <is>
          <t>Chennai</t>
        </is>
      </c>
      <c r="E16" s="4" t="n">
        <v>280000</v>
      </c>
      <c r="F16" s="4">
        <f>ROUND(E16*2%,0)</f>
        <v/>
      </c>
    </row>
    <row r="17">
      <c r="A17" t="inlineStr">
        <is>
          <t>INV-2516</t>
        </is>
      </c>
      <c r="B17" s="13" t="n">
        <v>45764</v>
      </c>
      <c r="C17" t="inlineStr">
        <is>
          <t>North</t>
        </is>
      </c>
      <c r="D17" t="inlineStr">
        <is>
          <t>Lucknow</t>
        </is>
      </c>
      <c r="E17" s="4" t="n">
        <v>85000</v>
      </c>
      <c r="F17" s="4">
        <f>ROUND(E17*2%,0)</f>
        <v/>
      </c>
    </row>
    <row r="18">
      <c r="A18" t="inlineStr">
        <is>
          <t>INV-2517</t>
        </is>
      </c>
      <c r="B18" s="13" t="n">
        <v>45765</v>
      </c>
      <c r="C18" t="inlineStr">
        <is>
          <t>North</t>
        </is>
      </c>
      <c r="D18" t="inlineStr">
        <is>
          <t>Jaipur</t>
        </is>
      </c>
      <c r="E18" s="4" t="n">
        <v>361500</v>
      </c>
      <c r="F18" s="4">
        <f>ROUND(E18*2%,0)</f>
        <v/>
      </c>
    </row>
    <row r="19">
      <c r="A19" t="inlineStr">
        <is>
          <t>INV-2518</t>
        </is>
      </c>
      <c r="B19" s="13" t="n">
        <v>45765</v>
      </c>
      <c r="C19" t="inlineStr">
        <is>
          <t>East</t>
        </is>
      </c>
      <c r="D19" t="inlineStr">
        <is>
          <t>Patna</t>
        </is>
      </c>
      <c r="E19" s="4" t="n">
        <v>143000</v>
      </c>
      <c r="F19" s="4">
        <f>ROUND(E19*2%,0)</f>
        <v/>
      </c>
    </row>
    <row r="20">
      <c r="A20" t="inlineStr">
        <is>
          <t>INV-2519</t>
        </is>
      </c>
      <c r="B20" s="13" t="n">
        <v>45766</v>
      </c>
      <c r="C20" t="inlineStr">
        <is>
          <t>West</t>
        </is>
      </c>
      <c r="D20" t="inlineStr">
        <is>
          <t>Mumbai</t>
        </is>
      </c>
      <c r="E20" s="4" t="n">
        <v>383500</v>
      </c>
      <c r="F20" s="4">
        <f>ROUND(E20*2%,0)</f>
        <v/>
      </c>
    </row>
    <row r="21">
      <c r="A21" t="inlineStr">
        <is>
          <t>INV-2520</t>
        </is>
      </c>
      <c r="B21" s="13" t="n">
        <v>45767</v>
      </c>
      <c r="C21" t="inlineStr">
        <is>
          <t>South</t>
        </is>
      </c>
      <c r="D21" t="inlineStr">
        <is>
          <t>Bengaluru</t>
        </is>
      </c>
      <c r="E21" s="4" t="n">
        <v>85500</v>
      </c>
      <c r="F21" s="4">
        <f>ROUND(E21*2%,0)</f>
        <v/>
      </c>
    </row>
    <row r="23">
      <c r="D23" s="8" t="inlineStr">
        <is>
          <t>SUM</t>
        </is>
      </c>
      <c r="E23" s="5">
        <f>SUM(E2:E21)</f>
        <v/>
      </c>
      <c r="F23" s="4" t="n"/>
    </row>
    <row r="24">
      <c r="D24" s="8" t="inlineStr">
        <is>
          <t>SUBTOTAL 9</t>
        </is>
      </c>
      <c r="E24" s="5">
        <f>SUBTOTAL(9,E2:E21)</f>
        <v/>
      </c>
      <c r="F24" s="4" t="n"/>
    </row>
    <row r="25">
      <c r="D25" s="8" t="inlineStr">
        <is>
          <t>SUBTOTAL 109</t>
        </is>
      </c>
      <c r="E25" s="5">
        <f>SUBTOTAL(109,E2:E21)</f>
        <v/>
      </c>
      <c r="F25" s="4" t="n"/>
    </row>
    <row r="26">
      <c r="D26" s="8" t="inlineStr">
        <is>
          <t>Incentive: SUM</t>
        </is>
      </c>
      <c r="E26" s="4" t="n"/>
      <c r="F26" s="5">
        <f>SUM(F2:F21)</f>
        <v/>
      </c>
    </row>
    <row r="27">
      <c r="D27" s="8" t="inlineStr">
        <is>
          <t>Incentive: AGGREGATE</t>
        </is>
      </c>
      <c r="E27" s="4" t="n"/>
      <c r="F27" s="5">
        <f>_xlfn.AGGREGATE(9,6,F2:F21)</f>
        <v/>
      </c>
    </row>
    <row r="28">
      <c r="D28" s="8" t="inlineStr">
        <is>
          <t>Incentive, visible rows only (challenge)</t>
        </is>
      </c>
      <c r="F28" s="4">
        <f>_xlfn.AGGREGATE(9,7,F2:F21)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14" customWidth="1" min="4" max="4"/>
    <col width="3" customWidth="1" min="5" max="5"/>
    <col width="13" customWidth="1" min="6" max="6"/>
    <col width="21" customWidth="1" min="7" max="7"/>
    <col width="11" customWidth="1" min="8" max="8"/>
    <col width="3" customWidth="1" min="9" max="9"/>
    <col width="10" customWidth="1" min="10" max="10"/>
    <col width="10" customWidth="1" min="11" max="11"/>
    <col width="11" customWidth="1" min="12" max="12"/>
  </cols>
  <sheetData>
    <row r="1">
      <c r="A1" s="3" t="inlineStr">
        <is>
          <t>Emp ID</t>
        </is>
      </c>
      <c r="B1" s="3" t="inlineStr">
        <is>
          <t>Name</t>
        </is>
      </c>
      <c r="C1" s="3" t="inlineStr">
        <is>
          <t>Age</t>
        </is>
      </c>
      <c r="D1" s="3" t="inlineStr">
        <is>
          <t>Monthly salary</t>
        </is>
      </c>
      <c r="F1" s="3" t="inlineStr">
        <is>
          <t>Salary up to</t>
        </is>
      </c>
      <c r="G1" s="3" t="inlineStr">
        <is>
          <t>Band</t>
        </is>
      </c>
      <c r="H1" s="3" t="inlineStr">
        <is>
          <t>Employees</t>
        </is>
      </c>
      <c r="J1" s="3" t="inlineStr">
        <is>
          <t>Age from</t>
        </is>
      </c>
      <c r="K1" s="3" t="inlineStr">
        <is>
          <t>Age to</t>
        </is>
      </c>
      <c r="L1" s="3" t="inlineStr">
        <is>
          <t>Employees</t>
        </is>
      </c>
    </row>
    <row r="2">
      <c r="A2" t="inlineStr">
        <is>
          <t>E101</t>
        </is>
      </c>
      <c r="B2" t="inlineStr">
        <is>
          <t>Amit Kapoor</t>
        </is>
      </c>
      <c r="C2" t="n">
        <v>42</v>
      </c>
      <c r="D2" s="4" t="n">
        <v>68000</v>
      </c>
      <c r="F2" s="4" t="n">
        <v>25000</v>
      </c>
      <c r="G2" t="inlineStr">
        <is>
          <t>Up to ₹25,000</t>
        </is>
      </c>
      <c r="H2" s="6" t="n"/>
      <c r="J2" t="n">
        <v>21</v>
      </c>
      <c r="K2" t="n">
        <v>30</v>
      </c>
      <c r="L2" s="6" t="n"/>
    </row>
    <row r="3">
      <c r="A3" t="inlineStr">
        <is>
          <t>E102</t>
        </is>
      </c>
      <c r="B3" t="inlineStr">
        <is>
          <t>Bhavna Naidu</t>
        </is>
      </c>
      <c r="C3" t="n">
        <v>25</v>
      </c>
      <c r="D3" s="4" t="n">
        <v>18500</v>
      </c>
      <c r="F3" s="4" t="n">
        <v>50000</v>
      </c>
      <c r="G3" t="inlineStr">
        <is>
          <t>₹25,001 to ₹50,000</t>
        </is>
      </c>
      <c r="H3" s="6" t="n"/>
      <c r="J3" t="n">
        <v>31</v>
      </c>
      <c r="K3" t="n">
        <v>40</v>
      </c>
      <c r="L3" s="6" t="n"/>
    </row>
    <row r="4">
      <c r="A4" t="inlineStr">
        <is>
          <t>E103</t>
        </is>
      </c>
      <c r="B4" t="inlineStr">
        <is>
          <t>Chetan Saxena</t>
        </is>
      </c>
      <c r="C4" t="n">
        <v>36</v>
      </c>
      <c r="D4" s="4" t="n">
        <v>61000</v>
      </c>
      <c r="F4" s="4" t="n">
        <v>75000</v>
      </c>
      <c r="G4" t="inlineStr">
        <is>
          <t>₹50,001 to ₹75,000</t>
        </is>
      </c>
      <c r="H4" s="6" t="n"/>
      <c r="J4" t="n">
        <v>41</v>
      </c>
      <c r="K4" t="n">
        <v>50</v>
      </c>
      <c r="L4" s="6" t="n"/>
    </row>
    <row r="5">
      <c r="A5" t="inlineStr">
        <is>
          <t>E104</t>
        </is>
      </c>
      <c r="B5" t="inlineStr">
        <is>
          <t>Deepa Malhotra</t>
        </is>
      </c>
      <c r="C5" t="n">
        <v>24</v>
      </c>
      <c r="D5" s="4" t="n">
        <v>105000</v>
      </c>
      <c r="F5" s="4" t="n">
        <v>100000</v>
      </c>
      <c r="G5" t="inlineStr">
        <is>
          <t>₹75,001 to ₹1,00,000</t>
        </is>
      </c>
      <c r="H5" s="6" t="n">
        <v>12</v>
      </c>
      <c r="J5" t="n">
        <v>51</v>
      </c>
      <c r="K5" t="n">
        <v>60</v>
      </c>
      <c r="L5" s="6" t="n"/>
    </row>
    <row r="6">
      <c r="A6" t="inlineStr">
        <is>
          <t>E105</t>
        </is>
      </c>
      <c r="B6" t="inlineStr">
        <is>
          <t>Ganesh Shah</t>
        </is>
      </c>
      <c r="C6" t="n">
        <v>42</v>
      </c>
      <c r="D6" s="4" t="n">
        <v>79000</v>
      </c>
      <c r="G6" t="inlineStr">
        <is>
          <t>Above ₹1,00,000</t>
        </is>
      </c>
      <c r="H6" s="6" t="n"/>
    </row>
    <row r="7">
      <c r="A7" t="inlineStr">
        <is>
          <t>E106</t>
        </is>
      </c>
      <c r="B7" t="inlineStr">
        <is>
          <t>Harini Verma</t>
        </is>
      </c>
      <c r="C7" t="n">
        <v>47</v>
      </c>
      <c r="D7" s="4" t="n">
        <v>42000</v>
      </c>
      <c r="G7" s="8" t="inlineStr">
        <is>
          <t>Total</t>
        </is>
      </c>
      <c r="H7">
        <f>SUM(H2:H6)</f>
        <v/>
      </c>
    </row>
    <row r="8">
      <c r="A8" t="inlineStr">
        <is>
          <t>E107</t>
        </is>
      </c>
      <c r="B8" t="inlineStr">
        <is>
          <t>Imran Shah</t>
        </is>
      </c>
      <c r="C8" t="n">
        <v>39</v>
      </c>
      <c r="D8" s="4" t="n">
        <v>48000</v>
      </c>
    </row>
    <row r="9">
      <c r="A9" t="inlineStr">
        <is>
          <t>E108</t>
        </is>
      </c>
      <c r="B9" t="inlineStr">
        <is>
          <t>Jyoti Naidu</t>
        </is>
      </c>
      <c r="C9" t="n">
        <v>26</v>
      </c>
      <c r="D9" s="4" t="n">
        <v>135000</v>
      </c>
    </row>
    <row r="10">
      <c r="A10" t="inlineStr">
        <is>
          <t>E109</t>
        </is>
      </c>
      <c r="B10" t="inlineStr">
        <is>
          <t>Kunal Naidu</t>
        </is>
      </c>
      <c r="C10" t="n">
        <v>35</v>
      </c>
      <c r="D10" s="4" t="n">
        <v>24000</v>
      </c>
    </row>
    <row r="11">
      <c r="A11" t="inlineStr">
        <is>
          <t>E110</t>
        </is>
      </c>
      <c r="B11" t="inlineStr">
        <is>
          <t>Lata Khan</t>
        </is>
      </c>
      <c r="C11" t="n">
        <v>58</v>
      </c>
      <c r="D11" s="4" t="n">
        <v>22000</v>
      </c>
    </row>
    <row r="12">
      <c r="A12" t="inlineStr">
        <is>
          <t>E111</t>
        </is>
      </c>
      <c r="B12" t="inlineStr">
        <is>
          <t>Mohit Pandey</t>
        </is>
      </c>
      <c r="C12" t="n">
        <v>42</v>
      </c>
      <c r="D12" s="4" t="n">
        <v>118000</v>
      </c>
    </row>
    <row r="13">
      <c r="A13" t="inlineStr">
        <is>
          <t>E112</t>
        </is>
      </c>
      <c r="B13" t="inlineStr">
        <is>
          <t>Nisha Shah</t>
        </is>
      </c>
      <c r="C13" t="n">
        <v>35</v>
      </c>
      <c r="D13" s="4" t="n">
        <v>98000</v>
      </c>
    </row>
    <row r="14">
      <c r="A14" t="inlineStr">
        <is>
          <t>E113</t>
        </is>
      </c>
      <c r="B14" t="inlineStr">
        <is>
          <t>Omkar Khan</t>
        </is>
      </c>
      <c r="C14" t="n">
        <v>53</v>
      </c>
      <c r="D14" s="4" t="n">
        <v>72000</v>
      </c>
    </row>
    <row r="15">
      <c r="A15" t="inlineStr">
        <is>
          <t>E114</t>
        </is>
      </c>
      <c r="B15" t="inlineStr">
        <is>
          <t>Pallavi Khan</t>
        </is>
      </c>
      <c r="C15" t="n">
        <v>47</v>
      </c>
      <c r="D15" s="4" t="n">
        <v>31000</v>
      </c>
    </row>
    <row r="16">
      <c r="A16" t="inlineStr">
        <is>
          <t>E115</t>
        </is>
      </c>
      <c r="B16" t="inlineStr">
        <is>
          <t>Qadir Pandey</t>
        </is>
      </c>
      <c r="C16" t="n">
        <v>51</v>
      </c>
      <c r="D16" s="4" t="n">
        <v>50000</v>
      </c>
    </row>
    <row r="17">
      <c r="A17" t="inlineStr">
        <is>
          <t>E116</t>
        </is>
      </c>
      <c r="B17" t="inlineStr">
        <is>
          <t>Rekha Malhotra</t>
        </is>
      </c>
      <c r="C17" t="n">
        <v>31</v>
      </c>
      <c r="D17" s="4" t="n">
        <v>38500</v>
      </c>
    </row>
    <row r="18">
      <c r="A18" t="inlineStr">
        <is>
          <t>E117</t>
        </is>
      </c>
      <c r="B18" t="inlineStr">
        <is>
          <t>Sandeep Saxena</t>
        </is>
      </c>
      <c r="C18" t="n">
        <v>38</v>
      </c>
      <c r="D18" s="4" t="n">
        <v>74500</v>
      </c>
    </row>
    <row r="19">
      <c r="A19" t="inlineStr">
        <is>
          <t>E118</t>
        </is>
      </c>
      <c r="B19" t="inlineStr">
        <is>
          <t>Tanvi Hegde</t>
        </is>
      </c>
      <c r="C19" t="n">
        <v>30</v>
      </c>
      <c r="D19" s="4" t="n">
        <v>85000</v>
      </c>
    </row>
    <row r="20">
      <c r="A20" t="inlineStr">
        <is>
          <t>E119</t>
        </is>
      </c>
      <c r="B20" t="inlineStr">
        <is>
          <t>Uday Saxena</t>
        </is>
      </c>
      <c r="C20" t="n">
        <v>37</v>
      </c>
      <c r="D20" s="4" t="n">
        <v>35000</v>
      </c>
    </row>
    <row r="21">
      <c r="A21" t="inlineStr">
        <is>
          <t>E120</t>
        </is>
      </c>
      <c r="B21" t="inlineStr">
        <is>
          <t>Varsha Verma</t>
        </is>
      </c>
      <c r="C21" t="n">
        <v>57</v>
      </c>
      <c r="D21" s="4" t="n">
        <v>52500</v>
      </c>
    </row>
    <row r="22">
      <c r="A22" t="inlineStr">
        <is>
          <t>E121</t>
        </is>
      </c>
      <c r="B22" t="inlineStr">
        <is>
          <t>Yash Shah</t>
        </is>
      </c>
      <c r="C22" t="n">
        <v>56</v>
      </c>
      <c r="D22" s="4" t="n">
        <v>92000</v>
      </c>
    </row>
    <row r="23">
      <c r="A23" t="inlineStr">
        <is>
          <t>E122</t>
        </is>
      </c>
      <c r="B23" t="inlineStr">
        <is>
          <t>Zoya Saxena</t>
        </is>
      </c>
      <c r="C23" t="n">
        <v>38</v>
      </c>
      <c r="D23" s="4" t="n">
        <v>64500</v>
      </c>
    </row>
    <row r="24">
      <c r="A24" t="inlineStr">
        <is>
          <t>E123</t>
        </is>
      </c>
      <c r="B24" t="inlineStr">
        <is>
          <t>Abhishek Hegde</t>
        </is>
      </c>
      <c r="C24" t="n">
        <v>49</v>
      </c>
      <c r="D24" s="4" t="n">
        <v>45000</v>
      </c>
    </row>
    <row r="25">
      <c r="A25" t="inlineStr">
        <is>
          <t>E124</t>
        </is>
      </c>
      <c r="B25" t="inlineStr">
        <is>
          <t>Swati Bose</t>
        </is>
      </c>
      <c r="C25" t="n">
        <v>47</v>
      </c>
      <c r="D25" s="4" t="n">
        <v>56000</v>
      </c>
    </row>
    <row r="26">
      <c r="A26" t="inlineStr">
        <is>
          <t>E125</t>
        </is>
      </c>
      <c r="B26" t="inlineStr">
        <is>
          <t>Naveen Shah</t>
        </is>
      </c>
      <c r="C26" t="n">
        <v>45</v>
      </c>
      <c r="D26" s="4" t="n">
        <v>27500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14" customWidth="1" min="4" max="4"/>
    <col width="3" customWidth="1" min="5" max="5"/>
    <col width="13" customWidth="1" min="6" max="6"/>
    <col width="21" customWidth="1" min="7" max="7"/>
    <col width="11" customWidth="1" min="8" max="8"/>
    <col width="3" customWidth="1" min="9" max="9"/>
    <col width="10" customWidth="1" min="10" max="10"/>
    <col width="10" customWidth="1" min="11" max="11"/>
    <col width="11" customWidth="1" min="12" max="12"/>
  </cols>
  <sheetData>
    <row r="1">
      <c r="A1" s="3" t="inlineStr">
        <is>
          <t>Emp ID</t>
        </is>
      </c>
      <c r="B1" s="3" t="inlineStr">
        <is>
          <t>Name</t>
        </is>
      </c>
      <c r="C1" s="3" t="inlineStr">
        <is>
          <t>Age</t>
        </is>
      </c>
      <c r="D1" s="3" t="inlineStr">
        <is>
          <t>Monthly salary</t>
        </is>
      </c>
      <c r="F1" s="3" t="inlineStr">
        <is>
          <t>Salary up to</t>
        </is>
      </c>
      <c r="G1" s="3" t="inlineStr">
        <is>
          <t>Band</t>
        </is>
      </c>
      <c r="H1" s="3" t="inlineStr">
        <is>
          <t>Employees</t>
        </is>
      </c>
      <c r="J1" s="3" t="inlineStr">
        <is>
          <t>Age from</t>
        </is>
      </c>
      <c r="K1" s="3" t="inlineStr">
        <is>
          <t>Age to</t>
        </is>
      </c>
      <c r="L1" s="3" t="inlineStr">
        <is>
          <t>Employees</t>
        </is>
      </c>
    </row>
    <row r="2">
      <c r="A2" t="inlineStr">
        <is>
          <t>E101</t>
        </is>
      </c>
      <c r="B2" t="inlineStr">
        <is>
          <t>Amit Kapoor</t>
        </is>
      </c>
      <c r="C2" t="n">
        <v>42</v>
      </c>
      <c r="D2" s="4" t="n">
        <v>68000</v>
      </c>
      <c r="F2" s="4" t="n">
        <v>25000</v>
      </c>
      <c r="G2" t="inlineStr">
        <is>
          <t>Up to ₹25,000</t>
        </is>
      </c>
      <c r="H2" s="6" cm="1">
        <f t="array" ref="H2:H6">FREQUENCY(D2:D26,F2:F5)</f>
        <v/>
      </c>
      <c r="J2" t="n">
        <v>21</v>
      </c>
      <c r="K2" t="n">
        <v>30</v>
      </c>
      <c r="L2" s="6">
        <f>COUNTIFS($C$2:$C$26,"&gt;="&amp;J2,$C$2:$C$26,"&lt;="&amp;K2)</f>
        <v/>
      </c>
    </row>
    <row r="3">
      <c r="A3" t="inlineStr">
        <is>
          <t>E102</t>
        </is>
      </c>
      <c r="B3" t="inlineStr">
        <is>
          <t>Bhavna Naidu</t>
        </is>
      </c>
      <c r="C3" t="n">
        <v>25</v>
      </c>
      <c r="D3" s="4" t="n">
        <v>18500</v>
      </c>
      <c r="F3" s="4" t="n">
        <v>50000</v>
      </c>
      <c r="G3" t="inlineStr">
        <is>
          <t>₹25,001 to ₹50,000</t>
        </is>
      </c>
      <c r="H3" s="6" t="n"/>
      <c r="J3" t="n">
        <v>31</v>
      </c>
      <c r="K3" t="n">
        <v>40</v>
      </c>
      <c r="L3" s="6">
        <f>COUNTIFS($C$2:$C$26,"&gt;="&amp;J3,$C$2:$C$26,"&lt;="&amp;K3)</f>
        <v/>
      </c>
    </row>
    <row r="4">
      <c r="A4" t="inlineStr">
        <is>
          <t>E103</t>
        </is>
      </c>
      <c r="B4" t="inlineStr">
        <is>
          <t>Chetan Saxena</t>
        </is>
      </c>
      <c r="C4" t="n">
        <v>36</v>
      </c>
      <c r="D4" s="4" t="n">
        <v>61000</v>
      </c>
      <c r="F4" s="4" t="n">
        <v>75000</v>
      </c>
      <c r="G4" t="inlineStr">
        <is>
          <t>₹50,001 to ₹75,000</t>
        </is>
      </c>
      <c r="H4" s="6" t="n"/>
      <c r="J4" t="n">
        <v>41</v>
      </c>
      <c r="K4" t="n">
        <v>50</v>
      </c>
      <c r="L4" s="6">
        <f>COUNTIFS($C$2:$C$26,"&gt;="&amp;J4,$C$2:$C$26,"&lt;="&amp;K4)</f>
        <v/>
      </c>
    </row>
    <row r="5">
      <c r="A5" t="inlineStr">
        <is>
          <t>E104</t>
        </is>
      </c>
      <c r="B5" t="inlineStr">
        <is>
          <t>Deepa Malhotra</t>
        </is>
      </c>
      <c r="C5" t="n">
        <v>24</v>
      </c>
      <c r="D5" s="4" t="n">
        <v>105000</v>
      </c>
      <c r="F5" s="4" t="n">
        <v>100000</v>
      </c>
      <c r="G5" t="inlineStr">
        <is>
          <t>₹75,001 to ₹1,00,000</t>
        </is>
      </c>
      <c r="H5" s="6" t="n"/>
      <c r="J5" t="n">
        <v>51</v>
      </c>
      <c r="K5" t="n">
        <v>60</v>
      </c>
      <c r="L5" s="6">
        <f>COUNTIFS($C$2:$C$26,"&gt;="&amp;J5,$C$2:$C$26,"&lt;="&amp;K5)</f>
        <v/>
      </c>
    </row>
    <row r="6">
      <c r="A6" t="inlineStr">
        <is>
          <t>E105</t>
        </is>
      </c>
      <c r="B6" t="inlineStr">
        <is>
          <t>Ganesh Shah</t>
        </is>
      </c>
      <c r="C6" t="n">
        <v>42</v>
      </c>
      <c r="D6" s="4" t="n">
        <v>79000</v>
      </c>
      <c r="G6" t="inlineStr">
        <is>
          <t>Above ₹1,00,000</t>
        </is>
      </c>
      <c r="H6" s="6" t="n"/>
    </row>
    <row r="7">
      <c r="A7" t="inlineStr">
        <is>
          <t>E106</t>
        </is>
      </c>
      <c r="B7" t="inlineStr">
        <is>
          <t>Harini Verma</t>
        </is>
      </c>
      <c r="C7" t="n">
        <v>47</v>
      </c>
      <c r="D7" s="4" t="n">
        <v>42000</v>
      </c>
      <c r="G7" s="8" t="inlineStr">
        <is>
          <t>Total</t>
        </is>
      </c>
      <c r="H7">
        <f>SUM(H2:H6)</f>
        <v/>
      </c>
    </row>
    <row r="8">
      <c r="A8" t="inlineStr">
        <is>
          <t>E107</t>
        </is>
      </c>
      <c r="B8" t="inlineStr">
        <is>
          <t>Imran Shah</t>
        </is>
      </c>
      <c r="C8" t="n">
        <v>39</v>
      </c>
      <c r="D8" s="4" t="n">
        <v>48000</v>
      </c>
    </row>
    <row r="9">
      <c r="A9" t="inlineStr">
        <is>
          <t>E108</t>
        </is>
      </c>
      <c r="B9" t="inlineStr">
        <is>
          <t>Jyoti Naidu</t>
        </is>
      </c>
      <c r="C9" t="n">
        <v>26</v>
      </c>
      <c r="D9" s="4" t="n">
        <v>135000</v>
      </c>
      <c r="J9" s="3" t="inlineStr">
        <is>
          <t>Age up to</t>
        </is>
      </c>
      <c r="K9" s="3" t="inlineStr">
        <is>
          <t>Employees (challenge)</t>
        </is>
      </c>
    </row>
    <row r="10">
      <c r="A10" t="inlineStr">
        <is>
          <t>E109</t>
        </is>
      </c>
      <c r="B10" t="inlineStr">
        <is>
          <t>Kunal Naidu</t>
        </is>
      </c>
      <c r="C10" t="n">
        <v>35</v>
      </c>
      <c r="D10" s="4" t="n">
        <v>24000</v>
      </c>
      <c r="J10" t="n">
        <v>30</v>
      </c>
      <c r="K10" cm="1">
        <f t="array" ref="K10:K13">FREQUENCY(C2:C26,J10:J12)</f>
        <v/>
      </c>
    </row>
    <row r="11">
      <c r="A11" t="inlineStr">
        <is>
          <t>E110</t>
        </is>
      </c>
      <c r="B11" t="inlineStr">
        <is>
          <t>Lata Khan</t>
        </is>
      </c>
      <c r="C11" t="n">
        <v>58</v>
      </c>
      <c r="D11" s="4" t="n">
        <v>22000</v>
      </c>
      <c r="J11" t="n">
        <v>40</v>
      </c>
    </row>
    <row r="12">
      <c r="A12" t="inlineStr">
        <is>
          <t>E111</t>
        </is>
      </c>
      <c r="B12" t="inlineStr">
        <is>
          <t>Mohit Pandey</t>
        </is>
      </c>
      <c r="C12" t="n">
        <v>42</v>
      </c>
      <c r="D12" s="4" t="n">
        <v>118000</v>
      </c>
      <c r="J12" t="n">
        <v>50</v>
      </c>
    </row>
    <row r="13">
      <c r="A13" t="inlineStr">
        <is>
          <t>E112</t>
        </is>
      </c>
      <c r="B13" t="inlineStr">
        <is>
          <t>Nisha Shah</t>
        </is>
      </c>
      <c r="C13" t="n">
        <v>35</v>
      </c>
      <c r="D13" s="4" t="n">
        <v>98000</v>
      </c>
      <c r="J13" t="inlineStr">
        <is>
          <t>Above 50</t>
        </is>
      </c>
    </row>
    <row r="14">
      <c r="A14" t="inlineStr">
        <is>
          <t>E113</t>
        </is>
      </c>
      <c r="B14" t="inlineStr">
        <is>
          <t>Omkar Khan</t>
        </is>
      </c>
      <c r="C14" t="n">
        <v>53</v>
      </c>
      <c r="D14" s="4" t="n">
        <v>72000</v>
      </c>
    </row>
    <row r="15">
      <c r="A15" t="inlineStr">
        <is>
          <t>E114</t>
        </is>
      </c>
      <c r="B15" t="inlineStr">
        <is>
          <t>Pallavi Khan</t>
        </is>
      </c>
      <c r="C15" t="n">
        <v>47</v>
      </c>
      <c r="D15" s="4" t="n">
        <v>31000</v>
      </c>
    </row>
    <row r="16">
      <c r="A16" t="inlineStr">
        <is>
          <t>E115</t>
        </is>
      </c>
      <c r="B16" t="inlineStr">
        <is>
          <t>Qadir Pandey</t>
        </is>
      </c>
      <c r="C16" t="n">
        <v>51</v>
      </c>
      <c r="D16" s="4" t="n">
        <v>50000</v>
      </c>
    </row>
    <row r="17">
      <c r="A17" t="inlineStr">
        <is>
          <t>E116</t>
        </is>
      </c>
      <c r="B17" t="inlineStr">
        <is>
          <t>Rekha Malhotra</t>
        </is>
      </c>
      <c r="C17" t="n">
        <v>31</v>
      </c>
      <c r="D17" s="4" t="n">
        <v>38500</v>
      </c>
    </row>
    <row r="18">
      <c r="A18" t="inlineStr">
        <is>
          <t>E117</t>
        </is>
      </c>
      <c r="B18" t="inlineStr">
        <is>
          <t>Sandeep Saxena</t>
        </is>
      </c>
      <c r="C18" t="n">
        <v>38</v>
      </c>
      <c r="D18" s="4" t="n">
        <v>74500</v>
      </c>
    </row>
    <row r="19">
      <c r="A19" t="inlineStr">
        <is>
          <t>E118</t>
        </is>
      </c>
      <c r="B19" t="inlineStr">
        <is>
          <t>Tanvi Hegde</t>
        </is>
      </c>
      <c r="C19" t="n">
        <v>30</v>
      </c>
      <c r="D19" s="4" t="n">
        <v>85000</v>
      </c>
    </row>
    <row r="20">
      <c r="A20" t="inlineStr">
        <is>
          <t>E119</t>
        </is>
      </c>
      <c r="B20" t="inlineStr">
        <is>
          <t>Uday Saxena</t>
        </is>
      </c>
      <c r="C20" t="n">
        <v>37</v>
      </c>
      <c r="D20" s="4" t="n">
        <v>35000</v>
      </c>
    </row>
    <row r="21">
      <c r="A21" t="inlineStr">
        <is>
          <t>E120</t>
        </is>
      </c>
      <c r="B21" t="inlineStr">
        <is>
          <t>Varsha Verma</t>
        </is>
      </c>
      <c r="C21" t="n">
        <v>57</v>
      </c>
      <c r="D21" s="4" t="n">
        <v>52500</v>
      </c>
    </row>
    <row r="22">
      <c r="A22" t="inlineStr">
        <is>
          <t>E121</t>
        </is>
      </c>
      <c r="B22" t="inlineStr">
        <is>
          <t>Yash Shah</t>
        </is>
      </c>
      <c r="C22" t="n">
        <v>56</v>
      </c>
      <c r="D22" s="4" t="n">
        <v>92000</v>
      </c>
    </row>
    <row r="23">
      <c r="A23" t="inlineStr">
        <is>
          <t>E122</t>
        </is>
      </c>
      <c r="B23" t="inlineStr">
        <is>
          <t>Zoya Saxena</t>
        </is>
      </c>
      <c r="C23" t="n">
        <v>38</v>
      </c>
      <c r="D23" s="4" t="n">
        <v>64500</v>
      </c>
    </row>
    <row r="24">
      <c r="A24" t="inlineStr">
        <is>
          <t>E123</t>
        </is>
      </c>
      <c r="B24" t="inlineStr">
        <is>
          <t>Abhishek Hegde</t>
        </is>
      </c>
      <c r="C24" t="n">
        <v>49</v>
      </c>
      <c r="D24" s="4" t="n">
        <v>45000</v>
      </c>
    </row>
    <row r="25">
      <c r="A25" t="inlineStr">
        <is>
          <t>E124</t>
        </is>
      </c>
      <c r="B25" t="inlineStr">
        <is>
          <t>Swati Bose</t>
        </is>
      </c>
      <c r="C25" t="n">
        <v>47</v>
      </c>
      <c r="D25" s="4" t="n">
        <v>56000</v>
      </c>
    </row>
    <row r="26">
      <c r="A26" t="inlineStr">
        <is>
          <t>E125</t>
        </is>
      </c>
      <c r="B26" t="inlineStr">
        <is>
          <t>Naveen Shah</t>
        </is>
      </c>
      <c r="C26" t="n">
        <v>45</v>
      </c>
      <c r="D26" s="4" t="n">
        <v>27500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" customWidth="1" min="3" max="3"/>
    <col width="7" customWidth="1" min="4" max="4"/>
    <col width="16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4" t="inlineStr">
        <is>
          <t>Home loan: EMI and amortisation</t>
        </is>
      </c>
    </row>
    <row r="3">
      <c r="A3" s="8" t="inlineStr">
        <is>
          <t>Loan amount</t>
        </is>
      </c>
      <c r="B3" s="4" t="n">
        <v>5000000</v>
      </c>
      <c r="D3" s="3" t="inlineStr">
        <is>
          <t>Month</t>
        </is>
      </c>
      <c r="E3" s="3" t="inlineStr">
        <is>
          <t>Opening balance</t>
        </is>
      </c>
      <c r="F3" s="3" t="inlineStr">
        <is>
          <t>EMI</t>
        </is>
      </c>
      <c r="G3" s="3" t="inlineStr">
        <is>
          <t>Interest</t>
        </is>
      </c>
      <c r="H3" s="3" t="inlineStr">
        <is>
          <t>Principal</t>
        </is>
      </c>
      <c r="I3" s="3" t="inlineStr">
        <is>
          <t>Closing balance</t>
        </is>
      </c>
    </row>
    <row r="4">
      <c r="A4" s="8" t="inlineStr">
        <is>
          <t>Interest rate (yearly)</t>
        </is>
      </c>
      <c r="B4" s="15" t="n">
        <v>0.08500000000000001</v>
      </c>
      <c r="D4" t="n">
        <v>1</v>
      </c>
      <c r="E4" s="5" t="n"/>
      <c r="F4" s="5" t="n"/>
      <c r="G4" s="5" t="n"/>
      <c r="H4" s="5" t="n"/>
      <c r="I4" s="5" t="n"/>
    </row>
    <row r="5">
      <c r="A5" s="8" t="inlineStr">
        <is>
          <t>Tenure (years)</t>
        </is>
      </c>
      <c r="B5" s="16" t="n">
        <v>20</v>
      </c>
      <c r="D5" t="n">
        <v>2</v>
      </c>
      <c r="E5" s="5" t="n"/>
      <c r="F5" s="5" t="n"/>
      <c r="G5" s="5" t="n"/>
      <c r="H5" s="5" t="n"/>
      <c r="I5" s="5" t="n"/>
    </row>
    <row r="6">
      <c r="A6" s="8" t="inlineStr">
        <is>
          <t>Monthly EMI</t>
        </is>
      </c>
      <c r="B6" s="5" t="n"/>
      <c r="D6" t="n">
        <v>3</v>
      </c>
      <c r="E6" s="4" t="n"/>
      <c r="F6" s="4" t="n"/>
      <c r="G6" s="4" t="n"/>
      <c r="H6" s="4" t="n"/>
      <c r="I6" s="4" t="n"/>
    </row>
    <row r="7">
      <c r="A7" s="8" t="inlineStr">
        <is>
          <t>Total payment</t>
        </is>
      </c>
      <c r="B7" s="4">
        <f>B6*B5*12</f>
        <v/>
      </c>
      <c r="D7" t="n">
        <v>4</v>
      </c>
      <c r="E7" s="4" t="n"/>
      <c r="F7" s="4" t="n"/>
      <c r="G7" s="4" t="n"/>
      <c r="H7" s="4" t="n"/>
      <c r="I7" s="4" t="n"/>
    </row>
    <row r="8">
      <c r="A8" s="8" t="inlineStr">
        <is>
          <t>Total interest</t>
        </is>
      </c>
      <c r="B8" s="4">
        <f>B7-B3</f>
        <v/>
      </c>
      <c r="D8" t="n">
        <v>5</v>
      </c>
      <c r="E8" s="4" t="n"/>
      <c r="F8" s="4" t="n"/>
      <c r="G8" s="4" t="n"/>
      <c r="H8" s="4" t="n"/>
      <c r="I8" s="4" t="n"/>
    </row>
    <row r="9">
      <c r="D9" t="n">
        <v>6</v>
      </c>
      <c r="E9" s="4" t="n"/>
      <c r="F9" s="4" t="n"/>
      <c r="G9" s="4" t="n"/>
      <c r="H9" s="4" t="n"/>
      <c r="I9" s="4" t="n"/>
    </row>
    <row r="10">
      <c r="D10" t="n">
        <v>7</v>
      </c>
      <c r="E10" s="4" t="n"/>
      <c r="F10" s="4" t="n"/>
      <c r="G10" s="4" t="n"/>
      <c r="H10" s="4" t="n"/>
      <c r="I10" s="4" t="n"/>
    </row>
    <row r="11">
      <c r="D11" t="n">
        <v>8</v>
      </c>
      <c r="E11" s="4" t="n"/>
      <c r="F11" s="4" t="n"/>
      <c r="G11" s="4" t="n"/>
      <c r="H11" s="4" t="n"/>
      <c r="I11" s="4" t="n"/>
    </row>
    <row r="12">
      <c r="D12" t="n">
        <v>9</v>
      </c>
      <c r="E12" s="4" t="n"/>
      <c r="F12" s="4" t="n"/>
      <c r="G12" s="4" t="n"/>
      <c r="H12" s="4" t="n"/>
      <c r="I12" s="4" t="n"/>
    </row>
    <row r="13">
      <c r="D13" t="n">
        <v>10</v>
      </c>
      <c r="E13" s="4" t="n"/>
      <c r="F13" s="4" t="n"/>
      <c r="G13" s="4" t="n"/>
      <c r="H13" s="4" t="n"/>
      <c r="I13" s="4" t="n"/>
    </row>
    <row r="14">
      <c r="D14" t="n">
        <v>11</v>
      </c>
      <c r="E14" s="4" t="n"/>
      <c r="F14" s="4" t="n"/>
      <c r="G14" s="4" t="n"/>
      <c r="H14" s="4" t="n"/>
      <c r="I14" s="4" t="n"/>
    </row>
    <row r="15">
      <c r="D15" t="n">
        <v>12</v>
      </c>
      <c r="E15" s="4" t="n"/>
      <c r="F15" s="4" t="n"/>
      <c r="G15" s="4" t="n"/>
      <c r="H15" s="4" t="n"/>
      <c r="I15" s="4" t="n"/>
    </row>
    <row r="16">
      <c r="D16" t="n">
        <v>13</v>
      </c>
      <c r="E16" s="4" t="n"/>
      <c r="F16" s="4" t="n"/>
      <c r="G16" s="4" t="n"/>
      <c r="H16" s="4" t="n"/>
      <c r="I16" s="4" t="n"/>
    </row>
    <row r="17">
      <c r="D17" t="n">
        <v>14</v>
      </c>
      <c r="E17" s="4" t="n"/>
      <c r="F17" s="4" t="n"/>
      <c r="G17" s="4" t="n"/>
      <c r="H17" s="4" t="n"/>
      <c r="I17" s="4" t="n"/>
    </row>
    <row r="18">
      <c r="D18" t="n">
        <v>15</v>
      </c>
      <c r="E18" s="4" t="n"/>
      <c r="F18" s="4" t="n"/>
      <c r="G18" s="4" t="n"/>
      <c r="H18" s="4" t="n"/>
      <c r="I18" s="4" t="n"/>
    </row>
    <row r="19">
      <c r="D19" t="n">
        <v>16</v>
      </c>
      <c r="E19" s="4" t="n"/>
      <c r="F19" s="4" t="n"/>
      <c r="G19" s="4" t="n"/>
      <c r="H19" s="4" t="n"/>
      <c r="I19" s="4" t="n"/>
    </row>
    <row r="20">
      <c r="D20" t="n">
        <v>17</v>
      </c>
      <c r="E20" s="4" t="n"/>
      <c r="F20" s="4" t="n"/>
      <c r="G20" s="4" t="n"/>
      <c r="H20" s="4" t="n"/>
      <c r="I20" s="4" t="n"/>
    </row>
    <row r="21">
      <c r="D21" t="n">
        <v>18</v>
      </c>
      <c r="E21" s="4" t="n"/>
      <c r="F21" s="4" t="n"/>
      <c r="G21" s="4" t="n"/>
      <c r="H21" s="4" t="n"/>
      <c r="I21" s="4" t="n"/>
    </row>
    <row r="22">
      <c r="D22" t="n">
        <v>19</v>
      </c>
      <c r="E22" s="4" t="n"/>
      <c r="F22" s="4" t="n"/>
      <c r="G22" s="4" t="n"/>
      <c r="H22" s="4" t="n"/>
      <c r="I22" s="4" t="n"/>
    </row>
    <row r="23">
      <c r="D23" t="n">
        <v>20</v>
      </c>
      <c r="E23" s="4" t="n"/>
      <c r="F23" s="4" t="n"/>
      <c r="G23" s="4" t="n"/>
      <c r="H23" s="4" t="n"/>
      <c r="I23" s="4" t="n"/>
    </row>
    <row r="24">
      <c r="D24" t="n">
        <v>21</v>
      </c>
      <c r="E24" s="4" t="n"/>
      <c r="F24" s="4" t="n"/>
      <c r="G24" s="4" t="n"/>
      <c r="H24" s="4" t="n"/>
      <c r="I24" s="4" t="n"/>
    </row>
    <row r="25">
      <c r="D25" t="n">
        <v>22</v>
      </c>
      <c r="E25" s="4" t="n"/>
      <c r="F25" s="4" t="n"/>
      <c r="G25" s="4" t="n"/>
      <c r="H25" s="4" t="n"/>
      <c r="I25" s="4" t="n"/>
    </row>
    <row r="26">
      <c r="D26" t="n">
        <v>23</v>
      </c>
      <c r="E26" s="4" t="n"/>
      <c r="F26" s="4" t="n"/>
      <c r="G26" s="4" t="n"/>
      <c r="H26" s="4" t="n"/>
      <c r="I26" s="4" t="n"/>
    </row>
    <row r="27">
      <c r="D27" t="n">
        <v>24</v>
      </c>
      <c r="E27" s="4" t="n"/>
      <c r="F27" s="4" t="n"/>
      <c r="G27" s="4" t="n"/>
      <c r="H27" s="4" t="n"/>
      <c r="I27" s="4" t="n"/>
    </row>
    <row r="28">
      <c r="D28" t="n">
        <v>25</v>
      </c>
      <c r="E28" s="4" t="n"/>
      <c r="F28" s="4" t="n"/>
      <c r="G28" s="4" t="n"/>
      <c r="H28" s="4" t="n"/>
      <c r="I28" s="4" t="n"/>
    </row>
    <row r="29">
      <c r="D29" t="n">
        <v>26</v>
      </c>
      <c r="E29" s="4" t="n"/>
      <c r="F29" s="4" t="n"/>
      <c r="G29" s="4" t="n"/>
      <c r="H29" s="4" t="n"/>
      <c r="I29" s="4" t="n"/>
    </row>
    <row r="30">
      <c r="D30" t="n">
        <v>27</v>
      </c>
      <c r="E30" s="4" t="n"/>
      <c r="F30" s="4" t="n"/>
      <c r="G30" s="4" t="n"/>
      <c r="H30" s="4" t="n"/>
      <c r="I30" s="4" t="n"/>
    </row>
    <row r="31">
      <c r="D31" t="n">
        <v>28</v>
      </c>
      <c r="E31" s="4" t="n"/>
      <c r="F31" s="4" t="n"/>
      <c r="G31" s="4" t="n"/>
      <c r="H31" s="4" t="n"/>
      <c r="I31" s="4" t="n"/>
    </row>
    <row r="32">
      <c r="D32" t="n">
        <v>29</v>
      </c>
      <c r="E32" s="4" t="n"/>
      <c r="F32" s="4" t="n"/>
      <c r="G32" s="4" t="n"/>
      <c r="H32" s="4" t="n"/>
      <c r="I32" s="4" t="n"/>
    </row>
    <row r="33">
      <c r="D33" t="n">
        <v>30</v>
      </c>
      <c r="E33" s="4" t="n"/>
      <c r="F33" s="4" t="n"/>
      <c r="G33" s="4" t="n"/>
      <c r="H33" s="4" t="n"/>
      <c r="I33" s="4" t="n"/>
    </row>
    <row r="34">
      <c r="D34" t="n">
        <v>31</v>
      </c>
      <c r="E34" s="4" t="n"/>
      <c r="F34" s="4" t="n"/>
      <c r="G34" s="4" t="n"/>
      <c r="H34" s="4" t="n"/>
      <c r="I34" s="4" t="n"/>
    </row>
    <row r="35">
      <c r="D35" t="n">
        <v>32</v>
      </c>
      <c r="E35" s="4" t="n"/>
      <c r="F35" s="4" t="n"/>
      <c r="G35" s="4" t="n"/>
      <c r="H35" s="4" t="n"/>
      <c r="I35" s="4" t="n"/>
    </row>
    <row r="36">
      <c r="D36" t="n">
        <v>33</v>
      </c>
      <c r="E36" s="4" t="n"/>
      <c r="F36" s="4" t="n"/>
      <c r="G36" s="4" t="n"/>
      <c r="H36" s="4" t="n"/>
      <c r="I36" s="4" t="n"/>
    </row>
    <row r="37">
      <c r="D37" t="n">
        <v>34</v>
      </c>
      <c r="E37" s="4" t="n"/>
      <c r="F37" s="4" t="n"/>
      <c r="G37" s="4" t="n"/>
      <c r="H37" s="4" t="n"/>
      <c r="I37" s="4" t="n"/>
    </row>
    <row r="38">
      <c r="D38" t="n">
        <v>35</v>
      </c>
      <c r="E38" s="4" t="n"/>
      <c r="F38" s="4" t="n"/>
      <c r="G38" s="4" t="n"/>
      <c r="H38" s="4" t="n"/>
      <c r="I38" s="4" t="n"/>
    </row>
    <row r="39">
      <c r="D39" t="n">
        <v>36</v>
      </c>
      <c r="E39" s="4" t="n"/>
      <c r="F39" s="4" t="n"/>
      <c r="G39" s="4" t="n"/>
      <c r="H39" s="4" t="n"/>
      <c r="I39" s="4" t="n"/>
    </row>
    <row r="40">
      <c r="D40" t="n">
        <v>37</v>
      </c>
      <c r="E40" s="4" t="n"/>
      <c r="F40" s="4" t="n"/>
      <c r="G40" s="4" t="n"/>
      <c r="H40" s="4" t="n"/>
      <c r="I40" s="4" t="n"/>
    </row>
    <row r="41">
      <c r="D41" t="n">
        <v>38</v>
      </c>
      <c r="E41" s="4" t="n"/>
      <c r="F41" s="4" t="n"/>
      <c r="G41" s="4" t="n"/>
      <c r="H41" s="4" t="n"/>
      <c r="I41" s="4" t="n"/>
    </row>
    <row r="42">
      <c r="D42" t="n">
        <v>39</v>
      </c>
      <c r="E42" s="4" t="n"/>
      <c r="F42" s="4" t="n"/>
      <c r="G42" s="4" t="n"/>
      <c r="H42" s="4" t="n"/>
      <c r="I42" s="4" t="n"/>
    </row>
    <row r="43">
      <c r="D43" t="n">
        <v>40</v>
      </c>
      <c r="E43" s="4" t="n"/>
      <c r="F43" s="4" t="n"/>
      <c r="G43" s="4" t="n"/>
      <c r="H43" s="4" t="n"/>
      <c r="I43" s="4" t="n"/>
    </row>
    <row r="44">
      <c r="D44" t="n">
        <v>41</v>
      </c>
      <c r="E44" s="4" t="n"/>
      <c r="F44" s="4" t="n"/>
      <c r="G44" s="4" t="n"/>
      <c r="H44" s="4" t="n"/>
      <c r="I44" s="4" t="n"/>
    </row>
    <row r="45">
      <c r="D45" t="n">
        <v>42</v>
      </c>
      <c r="E45" s="4" t="n"/>
      <c r="F45" s="4" t="n"/>
      <c r="G45" s="4" t="n"/>
      <c r="H45" s="4" t="n"/>
      <c r="I45" s="4" t="n"/>
    </row>
    <row r="46">
      <c r="D46" t="n">
        <v>43</v>
      </c>
      <c r="E46" s="4" t="n"/>
      <c r="F46" s="4" t="n"/>
      <c r="G46" s="4" t="n"/>
      <c r="H46" s="4" t="n"/>
      <c r="I46" s="4" t="n"/>
    </row>
    <row r="47">
      <c r="D47" t="n">
        <v>44</v>
      </c>
      <c r="E47" s="4" t="n"/>
      <c r="F47" s="4" t="n"/>
      <c r="G47" s="4" t="n"/>
      <c r="H47" s="4" t="n"/>
      <c r="I47" s="4" t="n"/>
    </row>
    <row r="48">
      <c r="D48" t="n">
        <v>45</v>
      </c>
      <c r="E48" s="4" t="n"/>
      <c r="F48" s="4" t="n"/>
      <c r="G48" s="4" t="n"/>
      <c r="H48" s="4" t="n"/>
      <c r="I48" s="4" t="n"/>
    </row>
    <row r="49">
      <c r="D49" t="n">
        <v>46</v>
      </c>
      <c r="E49" s="4" t="n"/>
      <c r="F49" s="4" t="n"/>
      <c r="G49" s="4" t="n"/>
      <c r="H49" s="4" t="n"/>
      <c r="I49" s="4" t="n"/>
    </row>
    <row r="50">
      <c r="D50" t="n">
        <v>47</v>
      </c>
      <c r="E50" s="4" t="n"/>
      <c r="F50" s="4" t="n"/>
      <c r="G50" s="4" t="n"/>
      <c r="H50" s="4" t="n"/>
      <c r="I50" s="4" t="n"/>
    </row>
    <row r="51">
      <c r="D51" t="n">
        <v>48</v>
      </c>
      <c r="E51" s="4" t="n"/>
      <c r="F51" s="4" t="n"/>
      <c r="G51" s="4" t="n"/>
      <c r="H51" s="4" t="n"/>
      <c r="I51" s="4" t="n"/>
    </row>
    <row r="52">
      <c r="D52" t="n">
        <v>49</v>
      </c>
      <c r="E52" s="4" t="n"/>
      <c r="F52" s="4" t="n"/>
      <c r="G52" s="4" t="n"/>
      <c r="H52" s="4" t="n"/>
      <c r="I52" s="4" t="n"/>
    </row>
    <row r="53">
      <c r="D53" t="n">
        <v>50</v>
      </c>
      <c r="E53" s="4" t="n"/>
      <c r="F53" s="4" t="n"/>
      <c r="G53" s="4" t="n"/>
      <c r="H53" s="4" t="n"/>
      <c r="I53" s="4" t="n"/>
    </row>
    <row r="54">
      <c r="D54" t="n">
        <v>51</v>
      </c>
      <c r="E54" s="4" t="n"/>
      <c r="F54" s="4" t="n"/>
      <c r="G54" s="4" t="n"/>
      <c r="H54" s="4" t="n"/>
      <c r="I54" s="4" t="n"/>
    </row>
    <row r="55">
      <c r="D55" t="n">
        <v>52</v>
      </c>
      <c r="E55" s="4" t="n"/>
      <c r="F55" s="4" t="n"/>
      <c r="G55" s="4" t="n"/>
      <c r="H55" s="4" t="n"/>
      <c r="I55" s="4" t="n"/>
    </row>
    <row r="56">
      <c r="D56" t="n">
        <v>53</v>
      </c>
      <c r="E56" s="4" t="n"/>
      <c r="F56" s="4" t="n"/>
      <c r="G56" s="4" t="n"/>
      <c r="H56" s="4" t="n"/>
      <c r="I56" s="4" t="n"/>
    </row>
    <row r="57">
      <c r="D57" t="n">
        <v>54</v>
      </c>
      <c r="E57" s="4" t="n"/>
      <c r="F57" s="4" t="n"/>
      <c r="G57" s="4" t="n"/>
      <c r="H57" s="4" t="n"/>
      <c r="I57" s="4" t="n"/>
    </row>
    <row r="58">
      <c r="D58" t="n">
        <v>55</v>
      </c>
      <c r="E58" s="4" t="n"/>
      <c r="F58" s="4" t="n"/>
      <c r="G58" s="4" t="n"/>
      <c r="H58" s="4" t="n"/>
      <c r="I58" s="4" t="n"/>
    </row>
    <row r="59">
      <c r="D59" t="n">
        <v>56</v>
      </c>
      <c r="E59" s="4" t="n"/>
      <c r="F59" s="4" t="n"/>
      <c r="G59" s="4" t="n"/>
      <c r="H59" s="4" t="n"/>
      <c r="I59" s="4" t="n"/>
    </row>
    <row r="60">
      <c r="D60" t="n">
        <v>57</v>
      </c>
      <c r="E60" s="4" t="n"/>
      <c r="F60" s="4" t="n"/>
      <c r="G60" s="4" t="n"/>
      <c r="H60" s="4" t="n"/>
      <c r="I60" s="4" t="n"/>
    </row>
    <row r="61">
      <c r="D61" t="n">
        <v>58</v>
      </c>
      <c r="E61" s="4" t="n"/>
      <c r="F61" s="4" t="n"/>
      <c r="G61" s="4" t="n"/>
      <c r="H61" s="4" t="n"/>
      <c r="I61" s="4" t="n"/>
    </row>
    <row r="62">
      <c r="D62" t="n">
        <v>59</v>
      </c>
      <c r="E62" s="4" t="n"/>
      <c r="F62" s="4" t="n"/>
      <c r="G62" s="4" t="n"/>
      <c r="H62" s="4" t="n"/>
      <c r="I62" s="4" t="n"/>
    </row>
    <row r="63">
      <c r="D63" t="n">
        <v>60</v>
      </c>
      <c r="E63" s="4" t="n"/>
      <c r="F63" s="4" t="n"/>
      <c r="G63" s="4" t="n"/>
      <c r="H63" s="4" t="n"/>
      <c r="I63" s="4" t="n"/>
    </row>
    <row r="64">
      <c r="D64" t="n">
        <v>61</v>
      </c>
      <c r="E64" s="4" t="n"/>
      <c r="F64" s="4" t="n"/>
      <c r="G64" s="4" t="n"/>
      <c r="H64" s="4" t="n"/>
      <c r="I64" s="4" t="n"/>
    </row>
    <row r="65">
      <c r="D65" t="n">
        <v>62</v>
      </c>
      <c r="E65" s="4" t="n"/>
      <c r="F65" s="4" t="n"/>
      <c r="G65" s="4" t="n"/>
      <c r="H65" s="4" t="n"/>
      <c r="I65" s="4" t="n"/>
    </row>
    <row r="66">
      <c r="D66" t="n">
        <v>63</v>
      </c>
      <c r="E66" s="4" t="n"/>
      <c r="F66" s="4" t="n"/>
      <c r="G66" s="4" t="n"/>
      <c r="H66" s="4" t="n"/>
      <c r="I66" s="4" t="n"/>
    </row>
    <row r="67">
      <c r="D67" t="n">
        <v>64</v>
      </c>
      <c r="E67" s="4" t="n"/>
      <c r="F67" s="4" t="n"/>
      <c r="G67" s="4" t="n"/>
      <c r="H67" s="4" t="n"/>
      <c r="I67" s="4" t="n"/>
    </row>
    <row r="68">
      <c r="D68" t="n">
        <v>65</v>
      </c>
      <c r="E68" s="4" t="n"/>
      <c r="F68" s="4" t="n"/>
      <c r="G68" s="4" t="n"/>
      <c r="H68" s="4" t="n"/>
      <c r="I68" s="4" t="n"/>
    </row>
    <row r="69">
      <c r="D69" t="n">
        <v>66</v>
      </c>
      <c r="E69" s="4" t="n"/>
      <c r="F69" s="4" t="n"/>
      <c r="G69" s="4" t="n"/>
      <c r="H69" s="4" t="n"/>
      <c r="I69" s="4" t="n"/>
    </row>
    <row r="70">
      <c r="D70" t="n">
        <v>67</v>
      </c>
      <c r="E70" s="4" t="n"/>
      <c r="F70" s="4" t="n"/>
      <c r="G70" s="4" t="n"/>
      <c r="H70" s="4" t="n"/>
      <c r="I70" s="4" t="n"/>
    </row>
    <row r="71">
      <c r="D71" t="n">
        <v>68</v>
      </c>
      <c r="E71" s="4" t="n"/>
      <c r="F71" s="4" t="n"/>
      <c r="G71" s="4" t="n"/>
      <c r="H71" s="4" t="n"/>
      <c r="I71" s="4" t="n"/>
    </row>
    <row r="72">
      <c r="D72" t="n">
        <v>69</v>
      </c>
      <c r="E72" s="4" t="n"/>
      <c r="F72" s="4" t="n"/>
      <c r="G72" s="4" t="n"/>
      <c r="H72" s="4" t="n"/>
      <c r="I72" s="4" t="n"/>
    </row>
    <row r="73">
      <c r="D73" t="n">
        <v>70</v>
      </c>
      <c r="E73" s="4" t="n"/>
      <c r="F73" s="4" t="n"/>
      <c r="G73" s="4" t="n"/>
      <c r="H73" s="4" t="n"/>
      <c r="I73" s="4" t="n"/>
    </row>
    <row r="74">
      <c r="D74" t="n">
        <v>71</v>
      </c>
      <c r="E74" s="4" t="n"/>
      <c r="F74" s="4" t="n"/>
      <c r="G74" s="4" t="n"/>
      <c r="H74" s="4" t="n"/>
      <c r="I74" s="4" t="n"/>
    </row>
    <row r="75">
      <c r="D75" t="n">
        <v>72</v>
      </c>
      <c r="E75" s="4" t="n"/>
      <c r="F75" s="4" t="n"/>
      <c r="G75" s="4" t="n"/>
      <c r="H75" s="4" t="n"/>
      <c r="I75" s="4" t="n"/>
    </row>
    <row r="76">
      <c r="D76" t="n">
        <v>73</v>
      </c>
      <c r="E76" s="4" t="n"/>
      <c r="F76" s="4" t="n"/>
      <c r="G76" s="4" t="n"/>
      <c r="H76" s="4" t="n"/>
      <c r="I76" s="4" t="n"/>
    </row>
    <row r="77">
      <c r="D77" t="n">
        <v>74</v>
      </c>
      <c r="E77" s="4" t="n"/>
      <c r="F77" s="4" t="n"/>
      <c r="G77" s="4" t="n"/>
      <c r="H77" s="4" t="n"/>
      <c r="I77" s="4" t="n"/>
    </row>
    <row r="78">
      <c r="D78" t="n">
        <v>75</v>
      </c>
      <c r="E78" s="4" t="n"/>
      <c r="F78" s="4" t="n"/>
      <c r="G78" s="4" t="n"/>
      <c r="H78" s="4" t="n"/>
      <c r="I78" s="4" t="n"/>
    </row>
    <row r="79">
      <c r="D79" t="n">
        <v>76</v>
      </c>
      <c r="E79" s="4" t="n"/>
      <c r="F79" s="4" t="n"/>
      <c r="G79" s="4" t="n"/>
      <c r="H79" s="4" t="n"/>
      <c r="I79" s="4" t="n"/>
    </row>
    <row r="80">
      <c r="D80" t="n">
        <v>77</v>
      </c>
      <c r="E80" s="4" t="n"/>
      <c r="F80" s="4" t="n"/>
      <c r="G80" s="4" t="n"/>
      <c r="H80" s="4" t="n"/>
      <c r="I80" s="4" t="n"/>
    </row>
    <row r="81">
      <c r="D81" t="n">
        <v>78</v>
      </c>
      <c r="E81" s="4" t="n"/>
      <c r="F81" s="4" t="n"/>
      <c r="G81" s="4" t="n"/>
      <c r="H81" s="4" t="n"/>
      <c r="I81" s="4" t="n"/>
    </row>
    <row r="82">
      <c r="D82" t="n">
        <v>79</v>
      </c>
      <c r="E82" s="4" t="n"/>
      <c r="F82" s="4" t="n"/>
      <c r="G82" s="4" t="n"/>
      <c r="H82" s="4" t="n"/>
      <c r="I82" s="4" t="n"/>
    </row>
    <row r="83">
      <c r="D83" t="n">
        <v>80</v>
      </c>
      <c r="E83" s="4" t="n"/>
      <c r="F83" s="4" t="n"/>
      <c r="G83" s="4" t="n"/>
      <c r="H83" s="4" t="n"/>
      <c r="I83" s="4" t="n"/>
    </row>
    <row r="84">
      <c r="D84" t="n">
        <v>81</v>
      </c>
      <c r="E84" s="4" t="n"/>
      <c r="F84" s="4" t="n"/>
      <c r="G84" s="4" t="n"/>
      <c r="H84" s="4" t="n"/>
      <c r="I84" s="4" t="n"/>
    </row>
    <row r="85">
      <c r="D85" t="n">
        <v>82</v>
      </c>
      <c r="E85" s="4" t="n"/>
      <c r="F85" s="4" t="n"/>
      <c r="G85" s="4" t="n"/>
      <c r="H85" s="4" t="n"/>
      <c r="I85" s="4" t="n"/>
    </row>
    <row r="86">
      <c r="D86" t="n">
        <v>83</v>
      </c>
      <c r="E86" s="4" t="n"/>
      <c r="F86" s="4" t="n"/>
      <c r="G86" s="4" t="n"/>
      <c r="H86" s="4" t="n"/>
      <c r="I86" s="4" t="n"/>
    </row>
    <row r="87">
      <c r="D87" t="n">
        <v>84</v>
      </c>
      <c r="E87" s="4" t="n"/>
      <c r="F87" s="4" t="n"/>
      <c r="G87" s="4" t="n"/>
      <c r="H87" s="4" t="n"/>
      <c r="I87" s="4" t="n"/>
    </row>
    <row r="88">
      <c r="D88" t="n">
        <v>85</v>
      </c>
      <c r="E88" s="4" t="n"/>
      <c r="F88" s="4" t="n"/>
      <c r="G88" s="4" t="n"/>
      <c r="H88" s="4" t="n"/>
      <c r="I88" s="4" t="n"/>
    </row>
    <row r="89">
      <c r="D89" t="n">
        <v>86</v>
      </c>
      <c r="E89" s="4" t="n"/>
      <c r="F89" s="4" t="n"/>
      <c r="G89" s="4" t="n"/>
      <c r="H89" s="4" t="n"/>
      <c r="I89" s="4" t="n"/>
    </row>
    <row r="90">
      <c r="D90" t="n">
        <v>87</v>
      </c>
      <c r="E90" s="4" t="n"/>
      <c r="F90" s="4" t="n"/>
      <c r="G90" s="4" t="n"/>
      <c r="H90" s="4" t="n"/>
      <c r="I90" s="4" t="n"/>
    </row>
    <row r="91">
      <c r="D91" t="n">
        <v>88</v>
      </c>
      <c r="E91" s="4" t="n"/>
      <c r="F91" s="4" t="n"/>
      <c r="G91" s="4" t="n"/>
      <c r="H91" s="4" t="n"/>
      <c r="I91" s="4" t="n"/>
    </row>
    <row r="92">
      <c r="D92" t="n">
        <v>89</v>
      </c>
      <c r="E92" s="4" t="n"/>
      <c r="F92" s="4" t="n"/>
      <c r="G92" s="4" t="n"/>
      <c r="H92" s="4" t="n"/>
      <c r="I92" s="4" t="n"/>
    </row>
    <row r="93">
      <c r="D93" t="n">
        <v>90</v>
      </c>
      <c r="E93" s="4" t="n"/>
      <c r="F93" s="4" t="n"/>
      <c r="G93" s="4" t="n"/>
      <c r="H93" s="4" t="n"/>
      <c r="I93" s="4" t="n"/>
    </row>
    <row r="94">
      <c r="D94" t="n">
        <v>91</v>
      </c>
      <c r="E94" s="4" t="n"/>
      <c r="F94" s="4" t="n"/>
      <c r="G94" s="4" t="n"/>
      <c r="H94" s="4" t="n"/>
      <c r="I94" s="4" t="n"/>
    </row>
    <row r="95">
      <c r="D95" t="n">
        <v>92</v>
      </c>
      <c r="E95" s="4" t="n"/>
      <c r="F95" s="4" t="n"/>
      <c r="G95" s="4" t="n"/>
      <c r="H95" s="4" t="n"/>
      <c r="I95" s="4" t="n"/>
    </row>
    <row r="96">
      <c r="D96" t="n">
        <v>93</v>
      </c>
      <c r="E96" s="4" t="n"/>
      <c r="F96" s="4" t="n"/>
      <c r="G96" s="4" t="n"/>
      <c r="H96" s="4" t="n"/>
      <c r="I96" s="4" t="n"/>
    </row>
    <row r="97">
      <c r="D97" t="n">
        <v>94</v>
      </c>
      <c r="E97" s="4" t="n"/>
      <c r="F97" s="4" t="n"/>
      <c r="G97" s="4" t="n"/>
      <c r="H97" s="4" t="n"/>
      <c r="I97" s="4" t="n"/>
    </row>
    <row r="98">
      <c r="D98" t="n">
        <v>95</v>
      </c>
      <c r="E98" s="4" t="n"/>
      <c r="F98" s="4" t="n"/>
      <c r="G98" s="4" t="n"/>
      <c r="H98" s="4" t="n"/>
      <c r="I98" s="4" t="n"/>
    </row>
    <row r="99">
      <c r="D99" t="n">
        <v>96</v>
      </c>
      <c r="E99" s="4" t="n"/>
      <c r="F99" s="4" t="n"/>
      <c r="G99" s="4" t="n"/>
      <c r="H99" s="4" t="n"/>
      <c r="I99" s="4" t="n"/>
    </row>
    <row r="100">
      <c r="D100" t="n">
        <v>97</v>
      </c>
      <c r="E100" s="4" t="n"/>
      <c r="F100" s="4" t="n"/>
      <c r="G100" s="4" t="n"/>
      <c r="H100" s="4" t="n"/>
      <c r="I100" s="4" t="n"/>
    </row>
    <row r="101">
      <c r="D101" t="n">
        <v>98</v>
      </c>
      <c r="E101" s="4" t="n"/>
      <c r="F101" s="4" t="n"/>
      <c r="G101" s="4" t="n"/>
      <c r="H101" s="4" t="n"/>
      <c r="I101" s="4" t="n"/>
    </row>
    <row r="102">
      <c r="D102" t="n">
        <v>99</v>
      </c>
      <c r="E102" s="4" t="n"/>
      <c r="F102" s="4" t="n"/>
      <c r="G102" s="4" t="n"/>
      <c r="H102" s="4" t="n"/>
      <c r="I102" s="4" t="n"/>
    </row>
    <row r="103">
      <c r="D103" t="n">
        <v>100</v>
      </c>
      <c r="E103" s="4" t="n"/>
      <c r="F103" s="4" t="n"/>
      <c r="G103" s="4" t="n"/>
      <c r="H103" s="4" t="n"/>
      <c r="I103" s="4" t="n"/>
    </row>
    <row r="104">
      <c r="D104" t="n">
        <v>101</v>
      </c>
      <c r="E104" s="4" t="n"/>
      <c r="F104" s="4" t="n"/>
      <c r="G104" s="4" t="n"/>
      <c r="H104" s="4" t="n"/>
      <c r="I104" s="4" t="n"/>
    </row>
    <row r="105">
      <c r="D105" t="n">
        <v>102</v>
      </c>
      <c r="E105" s="4" t="n"/>
      <c r="F105" s="4" t="n"/>
      <c r="G105" s="4" t="n"/>
      <c r="H105" s="4" t="n"/>
      <c r="I105" s="4" t="n"/>
    </row>
    <row r="106">
      <c r="D106" t="n">
        <v>103</v>
      </c>
      <c r="E106" s="4" t="n"/>
      <c r="F106" s="4" t="n"/>
      <c r="G106" s="4" t="n"/>
      <c r="H106" s="4" t="n"/>
      <c r="I106" s="4" t="n"/>
    </row>
    <row r="107">
      <c r="D107" t="n">
        <v>104</v>
      </c>
      <c r="E107" s="4" t="n"/>
      <c r="F107" s="4" t="n"/>
      <c r="G107" s="4" t="n"/>
      <c r="H107" s="4" t="n"/>
      <c r="I107" s="4" t="n"/>
    </row>
    <row r="108">
      <c r="D108" t="n">
        <v>105</v>
      </c>
      <c r="E108" s="4" t="n"/>
      <c r="F108" s="4" t="n"/>
      <c r="G108" s="4" t="n"/>
      <c r="H108" s="4" t="n"/>
      <c r="I108" s="4" t="n"/>
    </row>
    <row r="109">
      <c r="D109" t="n">
        <v>106</v>
      </c>
      <c r="E109" s="4" t="n"/>
      <c r="F109" s="4" t="n"/>
      <c r="G109" s="4" t="n"/>
      <c r="H109" s="4" t="n"/>
      <c r="I109" s="4" t="n"/>
    </row>
    <row r="110">
      <c r="D110" t="n">
        <v>107</v>
      </c>
      <c r="E110" s="4" t="n"/>
      <c r="F110" s="4" t="n"/>
      <c r="G110" s="4" t="n"/>
      <c r="H110" s="4" t="n"/>
      <c r="I110" s="4" t="n"/>
    </row>
    <row r="111">
      <c r="D111" t="n">
        <v>108</v>
      </c>
      <c r="E111" s="4" t="n"/>
      <c r="F111" s="4" t="n"/>
      <c r="G111" s="4" t="n"/>
      <c r="H111" s="4" t="n"/>
      <c r="I111" s="4" t="n"/>
    </row>
    <row r="112">
      <c r="D112" t="n">
        <v>109</v>
      </c>
      <c r="E112" s="4" t="n"/>
      <c r="F112" s="4" t="n"/>
      <c r="G112" s="4" t="n"/>
      <c r="H112" s="4" t="n"/>
      <c r="I112" s="4" t="n"/>
    </row>
    <row r="113">
      <c r="D113" t="n">
        <v>110</v>
      </c>
      <c r="E113" s="4" t="n"/>
      <c r="F113" s="4" t="n"/>
      <c r="G113" s="4" t="n"/>
      <c r="H113" s="4" t="n"/>
      <c r="I113" s="4" t="n"/>
    </row>
    <row r="114">
      <c r="D114" t="n">
        <v>111</v>
      </c>
      <c r="E114" s="4" t="n"/>
      <c r="F114" s="4" t="n"/>
      <c r="G114" s="4" t="n"/>
      <c r="H114" s="4" t="n"/>
      <c r="I114" s="4" t="n"/>
    </row>
    <row r="115">
      <c r="D115" t="n">
        <v>112</v>
      </c>
      <c r="E115" s="4" t="n"/>
      <c r="F115" s="4" t="n"/>
      <c r="G115" s="4" t="n"/>
      <c r="H115" s="4" t="n"/>
      <c r="I115" s="4" t="n"/>
    </row>
    <row r="116">
      <c r="D116" t="n">
        <v>113</v>
      </c>
      <c r="E116" s="4" t="n"/>
      <c r="F116" s="4" t="n"/>
      <c r="G116" s="4" t="n"/>
      <c r="H116" s="4" t="n"/>
      <c r="I116" s="4" t="n"/>
    </row>
    <row r="117">
      <c r="D117" t="n">
        <v>114</v>
      </c>
      <c r="E117" s="4" t="n"/>
      <c r="F117" s="4" t="n"/>
      <c r="G117" s="4" t="n"/>
      <c r="H117" s="4" t="n"/>
      <c r="I117" s="4" t="n"/>
    </row>
    <row r="118">
      <c r="D118" t="n">
        <v>115</v>
      </c>
      <c r="E118" s="4" t="n"/>
      <c r="F118" s="4" t="n"/>
      <c r="G118" s="4" t="n"/>
      <c r="H118" s="4" t="n"/>
      <c r="I118" s="4" t="n"/>
    </row>
    <row r="119">
      <c r="D119" t="n">
        <v>116</v>
      </c>
      <c r="E119" s="4" t="n"/>
      <c r="F119" s="4" t="n"/>
      <c r="G119" s="4" t="n"/>
      <c r="H119" s="4" t="n"/>
      <c r="I119" s="4" t="n"/>
    </row>
    <row r="120">
      <c r="D120" t="n">
        <v>117</v>
      </c>
      <c r="E120" s="4" t="n"/>
      <c r="F120" s="4" t="n"/>
      <c r="G120" s="4" t="n"/>
      <c r="H120" s="4" t="n"/>
      <c r="I120" s="4" t="n"/>
    </row>
    <row r="121">
      <c r="D121" t="n">
        <v>118</v>
      </c>
      <c r="E121" s="4" t="n"/>
      <c r="F121" s="4" t="n"/>
      <c r="G121" s="4" t="n"/>
      <c r="H121" s="4" t="n"/>
      <c r="I121" s="4" t="n"/>
    </row>
    <row r="122">
      <c r="D122" t="n">
        <v>119</v>
      </c>
      <c r="E122" s="4" t="n"/>
      <c r="F122" s="4" t="n"/>
      <c r="G122" s="4" t="n"/>
      <c r="H122" s="4" t="n"/>
      <c r="I122" s="4" t="n"/>
    </row>
    <row r="123">
      <c r="D123" t="n">
        <v>120</v>
      </c>
      <c r="E123" s="4" t="n"/>
      <c r="F123" s="4" t="n"/>
      <c r="G123" s="4" t="n"/>
      <c r="H123" s="4" t="n"/>
      <c r="I123" s="4" t="n"/>
    </row>
    <row r="124">
      <c r="D124" t="n">
        <v>121</v>
      </c>
      <c r="E124" s="4" t="n"/>
      <c r="F124" s="4" t="n"/>
      <c r="G124" s="4" t="n"/>
      <c r="H124" s="4" t="n"/>
      <c r="I124" s="4" t="n"/>
    </row>
    <row r="125">
      <c r="D125" t="n">
        <v>122</v>
      </c>
      <c r="E125" s="4" t="n"/>
      <c r="F125" s="4" t="n"/>
      <c r="G125" s="4" t="n"/>
      <c r="H125" s="4" t="n"/>
      <c r="I125" s="4" t="n"/>
    </row>
    <row r="126">
      <c r="D126" t="n">
        <v>123</v>
      </c>
      <c r="E126" s="4" t="n"/>
      <c r="F126" s="4" t="n"/>
      <c r="G126" s="4" t="n"/>
      <c r="H126" s="4" t="n"/>
      <c r="I126" s="4" t="n"/>
    </row>
    <row r="127">
      <c r="D127" t="n">
        <v>124</v>
      </c>
      <c r="E127" s="4" t="n"/>
      <c r="F127" s="4" t="n"/>
      <c r="G127" s="4" t="n"/>
      <c r="H127" s="4" t="n"/>
      <c r="I127" s="4" t="n"/>
    </row>
    <row r="128">
      <c r="D128" t="n">
        <v>125</v>
      </c>
      <c r="E128" s="4" t="n"/>
      <c r="F128" s="4" t="n"/>
      <c r="G128" s="4" t="n"/>
      <c r="H128" s="4" t="n"/>
      <c r="I128" s="4" t="n"/>
    </row>
    <row r="129">
      <c r="D129" t="n">
        <v>126</v>
      </c>
      <c r="E129" s="4" t="n"/>
      <c r="F129" s="4" t="n"/>
      <c r="G129" s="4" t="n"/>
      <c r="H129" s="4" t="n"/>
      <c r="I129" s="4" t="n"/>
    </row>
    <row r="130">
      <c r="D130" t="n">
        <v>127</v>
      </c>
      <c r="E130" s="4" t="n"/>
      <c r="F130" s="4" t="n"/>
      <c r="G130" s="4" t="n"/>
      <c r="H130" s="4" t="n"/>
      <c r="I130" s="4" t="n"/>
    </row>
    <row r="131">
      <c r="D131" t="n">
        <v>128</v>
      </c>
      <c r="E131" s="4" t="n"/>
      <c r="F131" s="4" t="n"/>
      <c r="G131" s="4" t="n"/>
      <c r="H131" s="4" t="n"/>
      <c r="I131" s="4" t="n"/>
    </row>
    <row r="132">
      <c r="D132" t="n">
        <v>129</v>
      </c>
      <c r="E132" s="4" t="n"/>
      <c r="F132" s="4" t="n"/>
      <c r="G132" s="4" t="n"/>
      <c r="H132" s="4" t="n"/>
      <c r="I132" s="4" t="n"/>
    </row>
    <row r="133">
      <c r="D133" t="n">
        <v>130</v>
      </c>
      <c r="E133" s="4" t="n"/>
      <c r="F133" s="4" t="n"/>
      <c r="G133" s="4" t="n"/>
      <c r="H133" s="4" t="n"/>
      <c r="I133" s="4" t="n"/>
    </row>
    <row r="134">
      <c r="D134" t="n">
        <v>131</v>
      </c>
      <c r="E134" s="4" t="n"/>
      <c r="F134" s="4" t="n"/>
      <c r="G134" s="4" t="n"/>
      <c r="H134" s="4" t="n"/>
      <c r="I134" s="4" t="n"/>
    </row>
    <row r="135">
      <c r="D135" t="n">
        <v>132</v>
      </c>
      <c r="E135" s="4" t="n"/>
      <c r="F135" s="4" t="n"/>
      <c r="G135" s="4" t="n"/>
      <c r="H135" s="4" t="n"/>
      <c r="I135" s="4" t="n"/>
    </row>
    <row r="136">
      <c r="D136" t="n">
        <v>133</v>
      </c>
      <c r="E136" s="4" t="n"/>
      <c r="F136" s="4" t="n"/>
      <c r="G136" s="4" t="n"/>
      <c r="H136" s="4" t="n"/>
      <c r="I136" s="4" t="n"/>
    </row>
    <row r="137">
      <c r="D137" t="n">
        <v>134</v>
      </c>
      <c r="E137" s="4" t="n"/>
      <c r="F137" s="4" t="n"/>
      <c r="G137" s="4" t="n"/>
      <c r="H137" s="4" t="n"/>
      <c r="I137" s="4" t="n"/>
    </row>
    <row r="138">
      <c r="D138" t="n">
        <v>135</v>
      </c>
      <c r="E138" s="4" t="n"/>
      <c r="F138" s="4" t="n"/>
      <c r="G138" s="4" t="n"/>
      <c r="H138" s="4" t="n"/>
      <c r="I138" s="4" t="n"/>
    </row>
    <row r="139">
      <c r="D139" t="n">
        <v>136</v>
      </c>
      <c r="E139" s="4" t="n"/>
      <c r="F139" s="4" t="n"/>
      <c r="G139" s="4" t="n"/>
      <c r="H139" s="4" t="n"/>
      <c r="I139" s="4" t="n"/>
    </row>
    <row r="140">
      <c r="D140" t="n">
        <v>137</v>
      </c>
      <c r="E140" s="4" t="n"/>
      <c r="F140" s="4" t="n"/>
      <c r="G140" s="4" t="n"/>
      <c r="H140" s="4" t="n"/>
      <c r="I140" s="4" t="n"/>
    </row>
    <row r="141">
      <c r="D141" t="n">
        <v>138</v>
      </c>
      <c r="E141" s="4" t="n"/>
      <c r="F141" s="4" t="n"/>
      <c r="G141" s="4" t="n"/>
      <c r="H141" s="4" t="n"/>
      <c r="I141" s="4" t="n"/>
    </row>
    <row r="142">
      <c r="D142" t="n">
        <v>139</v>
      </c>
      <c r="E142" s="4" t="n"/>
      <c r="F142" s="4" t="n"/>
      <c r="G142" s="4" t="n"/>
      <c r="H142" s="4" t="n"/>
      <c r="I142" s="4" t="n"/>
    </row>
    <row r="143">
      <c r="D143" t="n">
        <v>140</v>
      </c>
      <c r="E143" s="4" t="n"/>
      <c r="F143" s="4" t="n"/>
      <c r="G143" s="4" t="n"/>
      <c r="H143" s="4" t="n"/>
      <c r="I143" s="4" t="n"/>
    </row>
    <row r="144">
      <c r="D144" t="n">
        <v>141</v>
      </c>
      <c r="E144" s="4" t="n"/>
      <c r="F144" s="4" t="n"/>
      <c r="G144" s="4" t="n"/>
      <c r="H144" s="4" t="n"/>
      <c r="I144" s="4" t="n"/>
    </row>
    <row r="145">
      <c r="D145" t="n">
        <v>142</v>
      </c>
      <c r="E145" s="4" t="n"/>
      <c r="F145" s="4" t="n"/>
      <c r="G145" s="4" t="n"/>
      <c r="H145" s="4" t="n"/>
      <c r="I145" s="4" t="n"/>
    </row>
    <row r="146">
      <c r="D146" t="n">
        <v>143</v>
      </c>
      <c r="E146" s="4" t="n"/>
      <c r="F146" s="4" t="n"/>
      <c r="G146" s="4" t="n"/>
      <c r="H146" s="4" t="n"/>
      <c r="I146" s="4" t="n"/>
    </row>
    <row r="147">
      <c r="D147" t="n">
        <v>144</v>
      </c>
      <c r="E147" s="4" t="n"/>
      <c r="F147" s="4" t="n"/>
      <c r="G147" s="4" t="n"/>
      <c r="H147" s="4" t="n"/>
      <c r="I147" s="4" t="n"/>
    </row>
    <row r="148">
      <c r="D148" t="n">
        <v>145</v>
      </c>
      <c r="E148" s="4" t="n"/>
      <c r="F148" s="4" t="n"/>
      <c r="G148" s="4" t="n"/>
      <c r="H148" s="4" t="n"/>
      <c r="I148" s="4" t="n"/>
    </row>
    <row r="149">
      <c r="D149" t="n">
        <v>146</v>
      </c>
      <c r="E149" s="4" t="n"/>
      <c r="F149" s="4" t="n"/>
      <c r="G149" s="4" t="n"/>
      <c r="H149" s="4" t="n"/>
      <c r="I149" s="4" t="n"/>
    </row>
    <row r="150">
      <c r="D150" t="n">
        <v>147</v>
      </c>
      <c r="E150" s="4" t="n"/>
      <c r="F150" s="4" t="n"/>
      <c r="G150" s="4" t="n"/>
      <c r="H150" s="4" t="n"/>
      <c r="I150" s="4" t="n"/>
    </row>
    <row r="151">
      <c r="D151" t="n">
        <v>148</v>
      </c>
      <c r="E151" s="4" t="n"/>
      <c r="F151" s="4" t="n"/>
      <c r="G151" s="4" t="n"/>
      <c r="H151" s="4" t="n"/>
      <c r="I151" s="4" t="n"/>
    </row>
    <row r="152">
      <c r="D152" t="n">
        <v>149</v>
      </c>
      <c r="E152" s="4" t="n"/>
      <c r="F152" s="4" t="n"/>
      <c r="G152" s="4" t="n"/>
      <c r="H152" s="4" t="n"/>
      <c r="I152" s="4" t="n"/>
    </row>
    <row r="153">
      <c r="D153" t="n">
        <v>150</v>
      </c>
      <c r="E153" s="4" t="n"/>
      <c r="F153" s="4" t="n"/>
      <c r="G153" s="4" t="n"/>
      <c r="H153" s="4" t="n"/>
      <c r="I153" s="4" t="n"/>
    </row>
    <row r="154">
      <c r="D154" t="n">
        <v>151</v>
      </c>
      <c r="E154" s="4" t="n"/>
      <c r="F154" s="4" t="n"/>
      <c r="G154" s="4" t="n"/>
      <c r="H154" s="4" t="n"/>
      <c r="I154" s="4" t="n"/>
    </row>
    <row r="155">
      <c r="D155" t="n">
        <v>152</v>
      </c>
      <c r="E155" s="4" t="n"/>
      <c r="F155" s="4" t="n"/>
      <c r="G155" s="4" t="n"/>
      <c r="H155" s="4" t="n"/>
      <c r="I155" s="4" t="n"/>
    </row>
    <row r="156">
      <c r="D156" t="n">
        <v>153</v>
      </c>
      <c r="E156" s="4" t="n"/>
      <c r="F156" s="4" t="n"/>
      <c r="G156" s="4" t="n"/>
      <c r="H156" s="4" t="n"/>
      <c r="I156" s="4" t="n"/>
    </row>
    <row r="157">
      <c r="D157" t="n">
        <v>154</v>
      </c>
      <c r="E157" s="4" t="n"/>
      <c r="F157" s="4" t="n"/>
      <c r="G157" s="4" t="n"/>
      <c r="H157" s="4" t="n"/>
      <c r="I157" s="4" t="n"/>
    </row>
    <row r="158">
      <c r="D158" t="n">
        <v>155</v>
      </c>
      <c r="E158" s="4" t="n"/>
      <c r="F158" s="4" t="n"/>
      <c r="G158" s="4" t="n"/>
      <c r="H158" s="4" t="n"/>
      <c r="I158" s="4" t="n"/>
    </row>
    <row r="159">
      <c r="D159" t="n">
        <v>156</v>
      </c>
      <c r="E159" s="4" t="n"/>
      <c r="F159" s="4" t="n"/>
      <c r="G159" s="4" t="n"/>
      <c r="H159" s="4" t="n"/>
      <c r="I159" s="4" t="n"/>
    </row>
    <row r="160">
      <c r="D160" t="n">
        <v>157</v>
      </c>
      <c r="E160" s="4" t="n"/>
      <c r="F160" s="4" t="n"/>
      <c r="G160" s="4" t="n"/>
      <c r="H160" s="4" t="n"/>
      <c r="I160" s="4" t="n"/>
    </row>
    <row r="161">
      <c r="D161" t="n">
        <v>158</v>
      </c>
      <c r="E161" s="4" t="n"/>
      <c r="F161" s="4" t="n"/>
      <c r="G161" s="4" t="n"/>
      <c r="H161" s="4" t="n"/>
      <c r="I161" s="4" t="n"/>
    </row>
    <row r="162">
      <c r="D162" t="n">
        <v>159</v>
      </c>
      <c r="E162" s="4" t="n"/>
      <c r="F162" s="4" t="n"/>
      <c r="G162" s="4" t="n"/>
      <c r="H162" s="4" t="n"/>
      <c r="I162" s="4" t="n"/>
    </row>
    <row r="163">
      <c r="D163" t="n">
        <v>160</v>
      </c>
      <c r="E163" s="4" t="n"/>
      <c r="F163" s="4" t="n"/>
      <c r="G163" s="4" t="n"/>
      <c r="H163" s="4" t="n"/>
      <c r="I163" s="4" t="n"/>
    </row>
    <row r="164">
      <c r="D164" t="n">
        <v>161</v>
      </c>
      <c r="E164" s="4" t="n"/>
      <c r="F164" s="4" t="n"/>
      <c r="G164" s="4" t="n"/>
      <c r="H164" s="4" t="n"/>
      <c r="I164" s="4" t="n"/>
    </row>
    <row r="165">
      <c r="D165" t="n">
        <v>162</v>
      </c>
      <c r="E165" s="4" t="n"/>
      <c r="F165" s="4" t="n"/>
      <c r="G165" s="4" t="n"/>
      <c r="H165" s="4" t="n"/>
      <c r="I165" s="4" t="n"/>
    </row>
    <row r="166">
      <c r="D166" t="n">
        <v>163</v>
      </c>
      <c r="E166" s="4" t="n"/>
      <c r="F166" s="4" t="n"/>
      <c r="G166" s="4" t="n"/>
      <c r="H166" s="4" t="n"/>
      <c r="I166" s="4" t="n"/>
    </row>
    <row r="167">
      <c r="D167" t="n">
        <v>164</v>
      </c>
      <c r="E167" s="4" t="n"/>
      <c r="F167" s="4" t="n"/>
      <c r="G167" s="4" t="n"/>
      <c r="H167" s="4" t="n"/>
      <c r="I167" s="4" t="n"/>
    </row>
    <row r="168">
      <c r="D168" t="n">
        <v>165</v>
      </c>
      <c r="E168" s="4" t="n"/>
      <c r="F168" s="4" t="n"/>
      <c r="G168" s="4" t="n"/>
      <c r="H168" s="4" t="n"/>
      <c r="I168" s="4" t="n"/>
    </row>
    <row r="169">
      <c r="D169" t="n">
        <v>166</v>
      </c>
      <c r="E169" s="4" t="n"/>
      <c r="F169" s="4" t="n"/>
      <c r="G169" s="4" t="n"/>
      <c r="H169" s="4" t="n"/>
      <c r="I169" s="4" t="n"/>
    </row>
    <row r="170">
      <c r="D170" t="n">
        <v>167</v>
      </c>
      <c r="E170" s="4" t="n"/>
      <c r="F170" s="4" t="n"/>
      <c r="G170" s="4" t="n"/>
      <c r="H170" s="4" t="n"/>
      <c r="I170" s="4" t="n"/>
    </row>
    <row r="171">
      <c r="D171" t="n">
        <v>168</v>
      </c>
      <c r="E171" s="4" t="n"/>
      <c r="F171" s="4" t="n"/>
      <c r="G171" s="4" t="n"/>
      <c r="H171" s="4" t="n"/>
      <c r="I171" s="4" t="n"/>
    </row>
    <row r="172">
      <c r="D172" t="n">
        <v>169</v>
      </c>
      <c r="E172" s="4" t="n"/>
      <c r="F172" s="4" t="n"/>
      <c r="G172" s="4" t="n"/>
      <c r="H172" s="4" t="n"/>
      <c r="I172" s="4" t="n"/>
    </row>
    <row r="173">
      <c r="D173" t="n">
        <v>170</v>
      </c>
      <c r="E173" s="4" t="n"/>
      <c r="F173" s="4" t="n"/>
      <c r="G173" s="4" t="n"/>
      <c r="H173" s="4" t="n"/>
      <c r="I173" s="4" t="n"/>
    </row>
    <row r="174">
      <c r="D174" t="n">
        <v>171</v>
      </c>
      <c r="E174" s="4" t="n"/>
      <c r="F174" s="4" t="n"/>
      <c r="G174" s="4" t="n"/>
      <c r="H174" s="4" t="n"/>
      <c r="I174" s="4" t="n"/>
    </row>
    <row r="175">
      <c r="D175" t="n">
        <v>172</v>
      </c>
      <c r="E175" s="4" t="n"/>
      <c r="F175" s="4" t="n"/>
      <c r="G175" s="4" t="n"/>
      <c r="H175" s="4" t="n"/>
      <c r="I175" s="4" t="n"/>
    </row>
    <row r="176">
      <c r="D176" t="n">
        <v>173</v>
      </c>
      <c r="E176" s="4" t="n"/>
      <c r="F176" s="4" t="n"/>
      <c r="G176" s="4" t="n"/>
      <c r="H176" s="4" t="n"/>
      <c r="I176" s="4" t="n"/>
    </row>
    <row r="177">
      <c r="D177" t="n">
        <v>174</v>
      </c>
      <c r="E177" s="4" t="n"/>
      <c r="F177" s="4" t="n"/>
      <c r="G177" s="4" t="n"/>
      <c r="H177" s="4" t="n"/>
      <c r="I177" s="4" t="n"/>
    </row>
    <row r="178">
      <c r="D178" t="n">
        <v>175</v>
      </c>
      <c r="E178" s="4" t="n"/>
      <c r="F178" s="4" t="n"/>
      <c r="G178" s="4" t="n"/>
      <c r="H178" s="4" t="n"/>
      <c r="I178" s="4" t="n"/>
    </row>
    <row r="179">
      <c r="D179" t="n">
        <v>176</v>
      </c>
      <c r="E179" s="4" t="n"/>
      <c r="F179" s="4" t="n"/>
      <c r="G179" s="4" t="n"/>
      <c r="H179" s="4" t="n"/>
      <c r="I179" s="4" t="n"/>
    </row>
    <row r="180">
      <c r="D180" t="n">
        <v>177</v>
      </c>
      <c r="E180" s="4" t="n"/>
      <c r="F180" s="4" t="n"/>
      <c r="G180" s="4" t="n"/>
      <c r="H180" s="4" t="n"/>
      <c r="I180" s="4" t="n"/>
    </row>
    <row r="181">
      <c r="D181" t="n">
        <v>178</v>
      </c>
      <c r="E181" s="4" t="n"/>
      <c r="F181" s="4" t="n"/>
      <c r="G181" s="4" t="n"/>
      <c r="H181" s="4" t="n"/>
      <c r="I181" s="4" t="n"/>
    </row>
    <row r="182">
      <c r="D182" t="n">
        <v>179</v>
      </c>
      <c r="E182" s="4" t="n"/>
      <c r="F182" s="4" t="n"/>
      <c r="G182" s="4" t="n"/>
      <c r="H182" s="4" t="n"/>
      <c r="I182" s="4" t="n"/>
    </row>
    <row r="183">
      <c r="D183" t="n">
        <v>180</v>
      </c>
      <c r="E183" s="4" t="n"/>
      <c r="F183" s="4" t="n"/>
      <c r="G183" s="4" t="n"/>
      <c r="H183" s="4" t="n"/>
      <c r="I183" s="4" t="n"/>
    </row>
    <row r="184">
      <c r="D184" t="n">
        <v>181</v>
      </c>
      <c r="E184" s="4" t="n"/>
      <c r="F184" s="4" t="n"/>
      <c r="G184" s="4" t="n"/>
      <c r="H184" s="4" t="n"/>
      <c r="I184" s="4" t="n"/>
    </row>
    <row r="185">
      <c r="D185" t="n">
        <v>182</v>
      </c>
      <c r="E185" s="4" t="n"/>
      <c r="F185" s="4" t="n"/>
      <c r="G185" s="4" t="n"/>
      <c r="H185" s="4" t="n"/>
      <c r="I185" s="4" t="n"/>
    </row>
    <row r="186">
      <c r="D186" t="n">
        <v>183</v>
      </c>
      <c r="E186" s="4" t="n"/>
      <c r="F186" s="4" t="n"/>
      <c r="G186" s="4" t="n"/>
      <c r="H186" s="4" t="n"/>
      <c r="I186" s="4" t="n"/>
    </row>
    <row r="187">
      <c r="D187" t="n">
        <v>184</v>
      </c>
      <c r="E187" s="4" t="n"/>
      <c r="F187" s="4" t="n"/>
      <c r="G187" s="4" t="n"/>
      <c r="H187" s="4" t="n"/>
      <c r="I187" s="4" t="n"/>
    </row>
    <row r="188">
      <c r="D188" t="n">
        <v>185</v>
      </c>
      <c r="E188" s="4" t="n"/>
      <c r="F188" s="4" t="n"/>
      <c r="G188" s="4" t="n"/>
      <c r="H188" s="4" t="n"/>
      <c r="I188" s="4" t="n"/>
    </row>
    <row r="189">
      <c r="D189" t="n">
        <v>186</v>
      </c>
      <c r="E189" s="4" t="n"/>
      <c r="F189" s="4" t="n"/>
      <c r="G189" s="4" t="n"/>
      <c r="H189" s="4" t="n"/>
      <c r="I189" s="4" t="n"/>
    </row>
    <row r="190">
      <c r="D190" t="n">
        <v>187</v>
      </c>
      <c r="E190" s="4" t="n"/>
      <c r="F190" s="4" t="n"/>
      <c r="G190" s="4" t="n"/>
      <c r="H190" s="4" t="n"/>
      <c r="I190" s="4" t="n"/>
    </row>
    <row r="191">
      <c r="D191" t="n">
        <v>188</v>
      </c>
      <c r="E191" s="4" t="n"/>
      <c r="F191" s="4" t="n"/>
      <c r="G191" s="4" t="n"/>
      <c r="H191" s="4" t="n"/>
      <c r="I191" s="4" t="n"/>
    </row>
    <row r="192">
      <c r="D192" t="n">
        <v>189</v>
      </c>
      <c r="E192" s="4" t="n"/>
      <c r="F192" s="4" t="n"/>
      <c r="G192" s="4" t="n"/>
      <c r="H192" s="4" t="n"/>
      <c r="I192" s="4" t="n"/>
    </row>
    <row r="193">
      <c r="D193" t="n">
        <v>190</v>
      </c>
      <c r="E193" s="4" t="n"/>
      <c r="F193" s="4" t="n"/>
      <c r="G193" s="4" t="n"/>
      <c r="H193" s="4" t="n"/>
      <c r="I193" s="4" t="n"/>
    </row>
    <row r="194">
      <c r="D194" t="n">
        <v>191</v>
      </c>
      <c r="E194" s="4" t="n"/>
      <c r="F194" s="4" t="n"/>
      <c r="G194" s="4" t="n"/>
      <c r="H194" s="4" t="n"/>
      <c r="I194" s="4" t="n"/>
    </row>
    <row r="195">
      <c r="D195" t="n">
        <v>192</v>
      </c>
      <c r="E195" s="4" t="n"/>
      <c r="F195" s="4" t="n"/>
      <c r="G195" s="4" t="n"/>
      <c r="H195" s="4" t="n"/>
      <c r="I195" s="4" t="n"/>
    </row>
    <row r="196">
      <c r="D196" t="n">
        <v>193</v>
      </c>
      <c r="E196" s="4" t="n"/>
      <c r="F196" s="4" t="n"/>
      <c r="G196" s="4" t="n"/>
      <c r="H196" s="4" t="n"/>
      <c r="I196" s="4" t="n"/>
    </row>
    <row r="197">
      <c r="D197" t="n">
        <v>194</v>
      </c>
      <c r="E197" s="4" t="n"/>
      <c r="F197" s="4" t="n"/>
      <c r="G197" s="4" t="n"/>
      <c r="H197" s="4" t="n"/>
      <c r="I197" s="4" t="n"/>
    </row>
    <row r="198">
      <c r="D198" t="n">
        <v>195</v>
      </c>
      <c r="E198" s="4" t="n"/>
      <c r="F198" s="4" t="n"/>
      <c r="G198" s="4" t="n"/>
      <c r="H198" s="4" t="n"/>
      <c r="I198" s="4" t="n"/>
    </row>
    <row r="199">
      <c r="D199" t="n">
        <v>196</v>
      </c>
      <c r="E199" s="4" t="n"/>
      <c r="F199" s="4" t="n"/>
      <c r="G199" s="4" t="n"/>
      <c r="H199" s="4" t="n"/>
      <c r="I199" s="4" t="n"/>
    </row>
    <row r="200">
      <c r="D200" t="n">
        <v>197</v>
      </c>
      <c r="E200" s="4" t="n"/>
      <c r="F200" s="4" t="n"/>
      <c r="G200" s="4" t="n"/>
      <c r="H200" s="4" t="n"/>
      <c r="I200" s="4" t="n"/>
    </row>
    <row r="201">
      <c r="D201" t="n">
        <v>198</v>
      </c>
      <c r="E201" s="4" t="n"/>
      <c r="F201" s="4" t="n"/>
      <c r="G201" s="4" t="n"/>
      <c r="H201" s="4" t="n"/>
      <c r="I201" s="4" t="n"/>
    </row>
    <row r="202">
      <c r="D202" t="n">
        <v>199</v>
      </c>
      <c r="E202" s="4" t="n"/>
      <c r="F202" s="4" t="n"/>
      <c r="G202" s="4" t="n"/>
      <c r="H202" s="4" t="n"/>
      <c r="I202" s="4" t="n"/>
    </row>
    <row r="203">
      <c r="D203" t="n">
        <v>200</v>
      </c>
      <c r="E203" s="4" t="n"/>
      <c r="F203" s="4" t="n"/>
      <c r="G203" s="4" t="n"/>
      <c r="H203" s="4" t="n"/>
      <c r="I203" s="4" t="n"/>
    </row>
    <row r="204">
      <c r="D204" t="n">
        <v>201</v>
      </c>
      <c r="E204" s="4" t="n"/>
      <c r="F204" s="4" t="n"/>
      <c r="G204" s="4" t="n"/>
      <c r="H204" s="4" t="n"/>
      <c r="I204" s="4" t="n"/>
    </row>
    <row r="205">
      <c r="D205" t="n">
        <v>202</v>
      </c>
      <c r="E205" s="4" t="n"/>
      <c r="F205" s="4" t="n"/>
      <c r="G205" s="4" t="n"/>
      <c r="H205" s="4" t="n"/>
      <c r="I205" s="4" t="n"/>
    </row>
    <row r="206">
      <c r="D206" t="n">
        <v>203</v>
      </c>
      <c r="E206" s="4" t="n"/>
      <c r="F206" s="4" t="n"/>
      <c r="G206" s="4" t="n"/>
      <c r="H206" s="4" t="n"/>
      <c r="I206" s="4" t="n"/>
    </row>
    <row r="207">
      <c r="D207" t="n">
        <v>204</v>
      </c>
      <c r="E207" s="4" t="n"/>
      <c r="F207" s="4" t="n"/>
      <c r="G207" s="4" t="n"/>
      <c r="H207" s="4" t="n"/>
      <c r="I207" s="4" t="n"/>
    </row>
    <row r="208">
      <c r="D208" t="n">
        <v>205</v>
      </c>
      <c r="E208" s="4" t="n"/>
      <c r="F208" s="4" t="n"/>
      <c r="G208" s="4" t="n"/>
      <c r="H208" s="4" t="n"/>
      <c r="I208" s="4" t="n"/>
    </row>
    <row r="209">
      <c r="D209" t="n">
        <v>206</v>
      </c>
      <c r="E209" s="4" t="n"/>
      <c r="F209" s="4" t="n"/>
      <c r="G209" s="4" t="n"/>
      <c r="H209" s="4" t="n"/>
      <c r="I209" s="4" t="n"/>
    </row>
    <row r="210">
      <c r="D210" t="n">
        <v>207</v>
      </c>
      <c r="E210" s="4" t="n"/>
      <c r="F210" s="4" t="n"/>
      <c r="G210" s="4" t="n"/>
      <c r="H210" s="4" t="n"/>
      <c r="I210" s="4" t="n"/>
    </row>
    <row r="211">
      <c r="D211" t="n">
        <v>208</v>
      </c>
      <c r="E211" s="4" t="n"/>
      <c r="F211" s="4" t="n"/>
      <c r="G211" s="4" t="n"/>
      <c r="H211" s="4" t="n"/>
      <c r="I211" s="4" t="n"/>
    </row>
    <row r="212">
      <c r="D212" t="n">
        <v>209</v>
      </c>
      <c r="E212" s="4" t="n"/>
      <c r="F212" s="4" t="n"/>
      <c r="G212" s="4" t="n"/>
      <c r="H212" s="4" t="n"/>
      <c r="I212" s="4" t="n"/>
    </row>
    <row r="213">
      <c r="D213" t="n">
        <v>210</v>
      </c>
      <c r="E213" s="4" t="n"/>
      <c r="F213" s="4" t="n"/>
      <c r="G213" s="4" t="n"/>
      <c r="H213" s="4" t="n"/>
      <c r="I213" s="4" t="n"/>
    </row>
    <row r="214">
      <c r="D214" t="n">
        <v>211</v>
      </c>
      <c r="E214" s="4" t="n"/>
      <c r="F214" s="4" t="n"/>
      <c r="G214" s="4" t="n"/>
      <c r="H214" s="4" t="n"/>
      <c r="I214" s="4" t="n"/>
    </row>
    <row r="215">
      <c r="D215" t="n">
        <v>212</v>
      </c>
      <c r="E215" s="4" t="n"/>
      <c r="F215" s="4" t="n"/>
      <c r="G215" s="4" t="n"/>
      <c r="H215" s="4" t="n"/>
      <c r="I215" s="4" t="n"/>
    </row>
    <row r="216">
      <c r="D216" t="n">
        <v>213</v>
      </c>
      <c r="E216" s="4" t="n"/>
      <c r="F216" s="4" t="n"/>
      <c r="G216" s="4" t="n"/>
      <c r="H216" s="4" t="n"/>
      <c r="I216" s="4" t="n"/>
    </row>
    <row r="217">
      <c r="D217" t="n">
        <v>214</v>
      </c>
      <c r="E217" s="4" t="n"/>
      <c r="F217" s="4" t="n"/>
      <c r="G217" s="4" t="n"/>
      <c r="H217" s="4" t="n"/>
      <c r="I217" s="4" t="n"/>
    </row>
    <row r="218">
      <c r="D218" t="n">
        <v>215</v>
      </c>
      <c r="E218" s="4" t="n"/>
      <c r="F218" s="4" t="n"/>
      <c r="G218" s="4" t="n"/>
      <c r="H218" s="4" t="n"/>
      <c r="I218" s="4" t="n"/>
    </row>
    <row r="219">
      <c r="D219" t="n">
        <v>216</v>
      </c>
      <c r="E219" s="4" t="n"/>
      <c r="F219" s="4" t="n"/>
      <c r="G219" s="4" t="n"/>
      <c r="H219" s="4" t="n"/>
      <c r="I219" s="4" t="n"/>
    </row>
    <row r="220">
      <c r="D220" t="n">
        <v>217</v>
      </c>
      <c r="E220" s="4" t="n"/>
      <c r="F220" s="4" t="n"/>
      <c r="G220" s="4" t="n"/>
      <c r="H220" s="4" t="n"/>
      <c r="I220" s="4" t="n"/>
    </row>
    <row r="221">
      <c r="D221" t="n">
        <v>218</v>
      </c>
      <c r="E221" s="4" t="n"/>
      <c r="F221" s="4" t="n"/>
      <c r="G221" s="4" t="n"/>
      <c r="H221" s="4" t="n"/>
      <c r="I221" s="4" t="n"/>
    </row>
    <row r="222">
      <c r="D222" t="n">
        <v>219</v>
      </c>
      <c r="E222" s="4" t="n"/>
      <c r="F222" s="4" t="n"/>
      <c r="G222" s="4" t="n"/>
      <c r="H222" s="4" t="n"/>
      <c r="I222" s="4" t="n"/>
    </row>
    <row r="223">
      <c r="D223" t="n">
        <v>220</v>
      </c>
      <c r="E223" s="4" t="n"/>
      <c r="F223" s="4" t="n"/>
      <c r="G223" s="4" t="n"/>
      <c r="H223" s="4" t="n"/>
      <c r="I223" s="4" t="n"/>
    </row>
    <row r="224">
      <c r="D224" t="n">
        <v>221</v>
      </c>
      <c r="E224" s="4" t="n"/>
      <c r="F224" s="4" t="n"/>
      <c r="G224" s="4" t="n"/>
      <c r="H224" s="4" t="n"/>
      <c r="I224" s="4" t="n"/>
    </row>
    <row r="225">
      <c r="D225" t="n">
        <v>222</v>
      </c>
      <c r="E225" s="4" t="n"/>
      <c r="F225" s="4" t="n"/>
      <c r="G225" s="4" t="n"/>
      <c r="H225" s="4" t="n"/>
      <c r="I225" s="4" t="n"/>
    </row>
    <row r="226">
      <c r="D226" t="n">
        <v>223</v>
      </c>
      <c r="E226" s="4" t="n"/>
      <c r="F226" s="4" t="n"/>
      <c r="G226" s="4" t="n"/>
      <c r="H226" s="4" t="n"/>
      <c r="I226" s="4" t="n"/>
    </row>
    <row r="227">
      <c r="D227" t="n">
        <v>224</v>
      </c>
      <c r="E227" s="4" t="n"/>
      <c r="F227" s="4" t="n"/>
      <c r="G227" s="4" t="n"/>
      <c r="H227" s="4" t="n"/>
      <c r="I227" s="4" t="n"/>
    </row>
    <row r="228">
      <c r="D228" t="n">
        <v>225</v>
      </c>
      <c r="E228" s="4" t="n"/>
      <c r="F228" s="4" t="n"/>
      <c r="G228" s="4" t="n"/>
      <c r="H228" s="4" t="n"/>
      <c r="I228" s="4" t="n"/>
    </row>
    <row r="229">
      <c r="D229" t="n">
        <v>226</v>
      </c>
      <c r="E229" s="4" t="n"/>
      <c r="F229" s="4" t="n"/>
      <c r="G229" s="4" t="n"/>
      <c r="H229" s="4" t="n"/>
      <c r="I229" s="4" t="n"/>
    </row>
    <row r="230">
      <c r="D230" t="n">
        <v>227</v>
      </c>
      <c r="E230" s="4" t="n"/>
      <c r="F230" s="4" t="n"/>
      <c r="G230" s="4" t="n"/>
      <c r="H230" s="4" t="n"/>
      <c r="I230" s="4" t="n"/>
    </row>
    <row r="231">
      <c r="D231" t="n">
        <v>228</v>
      </c>
      <c r="E231" s="4" t="n"/>
      <c r="F231" s="4" t="n"/>
      <c r="G231" s="4" t="n"/>
      <c r="H231" s="4" t="n"/>
      <c r="I231" s="4" t="n"/>
    </row>
    <row r="232">
      <c r="D232" t="n">
        <v>229</v>
      </c>
      <c r="E232" s="4" t="n"/>
      <c r="F232" s="4" t="n"/>
      <c r="G232" s="4" t="n"/>
      <c r="H232" s="4" t="n"/>
      <c r="I232" s="4" t="n"/>
    </row>
    <row r="233">
      <c r="D233" t="n">
        <v>230</v>
      </c>
      <c r="E233" s="4" t="n"/>
      <c r="F233" s="4" t="n"/>
      <c r="G233" s="4" t="n"/>
      <c r="H233" s="4" t="n"/>
      <c r="I233" s="4" t="n"/>
    </row>
    <row r="234">
      <c r="D234" t="n">
        <v>231</v>
      </c>
      <c r="E234" s="4" t="n"/>
      <c r="F234" s="4" t="n"/>
      <c r="G234" s="4" t="n"/>
      <c r="H234" s="4" t="n"/>
      <c r="I234" s="4" t="n"/>
    </row>
    <row r="235">
      <c r="D235" t="n">
        <v>232</v>
      </c>
      <c r="E235" s="4" t="n"/>
      <c r="F235" s="4" t="n"/>
      <c r="G235" s="4" t="n"/>
      <c r="H235" s="4" t="n"/>
      <c r="I235" s="4" t="n"/>
    </row>
    <row r="236">
      <c r="D236" t="n">
        <v>233</v>
      </c>
      <c r="E236" s="4" t="n"/>
      <c r="F236" s="4" t="n"/>
      <c r="G236" s="4" t="n"/>
      <c r="H236" s="4" t="n"/>
      <c r="I236" s="4" t="n"/>
    </row>
    <row r="237">
      <c r="D237" t="n">
        <v>234</v>
      </c>
      <c r="E237" s="4" t="n"/>
      <c r="F237" s="4" t="n"/>
      <c r="G237" s="4" t="n"/>
      <c r="H237" s="4" t="n"/>
      <c r="I237" s="4" t="n"/>
    </row>
    <row r="238">
      <c r="D238" t="n">
        <v>235</v>
      </c>
      <c r="E238" s="4" t="n"/>
      <c r="F238" s="4" t="n"/>
      <c r="G238" s="4" t="n"/>
      <c r="H238" s="4" t="n"/>
      <c r="I238" s="4" t="n"/>
    </row>
    <row r="239">
      <c r="D239" t="n">
        <v>236</v>
      </c>
      <c r="E239" s="4" t="n"/>
      <c r="F239" s="4" t="n"/>
      <c r="G239" s="4" t="n"/>
      <c r="H239" s="4" t="n"/>
      <c r="I239" s="4" t="n"/>
    </row>
    <row r="240">
      <c r="D240" t="n">
        <v>237</v>
      </c>
      <c r="E240" s="4" t="n"/>
      <c r="F240" s="4" t="n"/>
      <c r="G240" s="4" t="n"/>
      <c r="H240" s="4" t="n"/>
      <c r="I240" s="4" t="n"/>
    </row>
    <row r="241">
      <c r="D241" t="n">
        <v>238</v>
      </c>
      <c r="E241" s="4" t="n"/>
      <c r="F241" s="4" t="n"/>
      <c r="G241" s="4" t="n"/>
      <c r="H241" s="4" t="n"/>
      <c r="I241" s="4" t="n"/>
    </row>
    <row r="242">
      <c r="D242" t="n">
        <v>239</v>
      </c>
      <c r="E242" s="4" t="n"/>
      <c r="F242" s="4" t="n"/>
      <c r="G242" s="4" t="n"/>
      <c r="H242" s="4" t="n"/>
      <c r="I242" s="4" t="n"/>
    </row>
    <row r="243">
      <c r="D243" t="n">
        <v>240</v>
      </c>
      <c r="E243" s="4" t="n"/>
      <c r="F243" s="4" t="n"/>
      <c r="G243" s="4" t="n"/>
      <c r="H243" s="4" t="n"/>
      <c r="I243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" customWidth="1" min="3" max="3"/>
    <col width="7" customWidth="1" min="4" max="4"/>
    <col width="16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4" t="inlineStr">
        <is>
          <t>Home loan: EMI and amortisation</t>
        </is>
      </c>
    </row>
    <row r="3">
      <c r="A3" s="8" t="inlineStr">
        <is>
          <t>Loan amount</t>
        </is>
      </c>
      <c r="B3" s="4" t="n">
        <v>5000000</v>
      </c>
      <c r="D3" s="3" t="inlineStr">
        <is>
          <t>Month</t>
        </is>
      </c>
      <c r="E3" s="3" t="inlineStr">
        <is>
          <t>Opening balance</t>
        </is>
      </c>
      <c r="F3" s="3" t="inlineStr">
        <is>
          <t>EMI</t>
        </is>
      </c>
      <c r="G3" s="3" t="inlineStr">
        <is>
          <t>Interest</t>
        </is>
      </c>
      <c r="H3" s="3" t="inlineStr">
        <is>
          <t>Principal</t>
        </is>
      </c>
      <c r="I3" s="3" t="inlineStr">
        <is>
          <t>Closing balance</t>
        </is>
      </c>
    </row>
    <row r="4">
      <c r="A4" s="8" t="inlineStr">
        <is>
          <t>Interest rate (yearly)</t>
        </is>
      </c>
      <c r="B4" s="15" t="n">
        <v>0.08500000000000001</v>
      </c>
      <c r="D4" t="n">
        <v>1</v>
      </c>
      <c r="E4" s="5">
        <f>$B$3</f>
        <v/>
      </c>
      <c r="F4" s="5">
        <f>$B$6</f>
        <v/>
      </c>
      <c r="G4" s="5">
        <f>IPMT($B$4/12,D4,$B$5*12,-$B$3)</f>
        <v/>
      </c>
      <c r="H4" s="5">
        <f>PPMT($B$4/12,D4,$B$5*12,-$B$3)</f>
        <v/>
      </c>
      <c r="I4" s="5">
        <f>E4-H4</f>
        <v/>
      </c>
    </row>
    <row r="5">
      <c r="A5" s="8" t="inlineStr">
        <is>
          <t>Tenure (years)</t>
        </is>
      </c>
      <c r="B5" s="16" t="n">
        <v>20</v>
      </c>
      <c r="D5" t="n">
        <v>2</v>
      </c>
      <c r="E5" s="5">
        <f>I4</f>
        <v/>
      </c>
      <c r="F5" s="5">
        <f>$B$6</f>
        <v/>
      </c>
      <c r="G5" s="5">
        <f>IPMT($B$4/12,D5,$B$5*12,-$B$3)</f>
        <v/>
      </c>
      <c r="H5" s="5">
        <f>PPMT($B$4/12,D5,$B$5*12,-$B$3)</f>
        <v/>
      </c>
      <c r="I5" s="5">
        <f>E5-H5</f>
        <v/>
      </c>
    </row>
    <row r="6">
      <c r="A6" s="8" t="inlineStr">
        <is>
          <t>Monthly EMI</t>
        </is>
      </c>
      <c r="B6" s="5">
        <f>PMT(B4/12,B5*12,-B3)</f>
        <v/>
      </c>
      <c r="D6" t="n">
        <v>3</v>
      </c>
      <c r="E6" s="4">
        <f>I5</f>
        <v/>
      </c>
      <c r="F6" s="4">
        <f>$B$6</f>
        <v/>
      </c>
      <c r="G6" s="4">
        <f>IPMT($B$4/12,D6,$B$5*12,-$B$3)</f>
        <v/>
      </c>
      <c r="H6" s="4">
        <f>PPMT($B$4/12,D6,$B$5*12,-$B$3)</f>
        <v/>
      </c>
      <c r="I6" s="4">
        <f>E6-H6</f>
        <v/>
      </c>
    </row>
    <row r="7">
      <c r="A7" s="8" t="inlineStr">
        <is>
          <t>Total payment</t>
        </is>
      </c>
      <c r="B7" s="4">
        <f>B6*B5*12</f>
        <v/>
      </c>
      <c r="D7" t="n">
        <v>4</v>
      </c>
      <c r="E7" s="4">
        <f>I6</f>
        <v/>
      </c>
      <c r="F7" s="4">
        <f>$B$6</f>
        <v/>
      </c>
      <c r="G7" s="4">
        <f>IPMT($B$4/12,D7,$B$5*12,-$B$3)</f>
        <v/>
      </c>
      <c r="H7" s="4">
        <f>PPMT($B$4/12,D7,$B$5*12,-$B$3)</f>
        <v/>
      </c>
      <c r="I7" s="4">
        <f>E7-H7</f>
        <v/>
      </c>
    </row>
    <row r="8">
      <c r="A8" s="8" t="inlineStr">
        <is>
          <t>Total interest</t>
        </is>
      </c>
      <c r="B8" s="4">
        <f>B7-B3</f>
        <v/>
      </c>
      <c r="D8" t="n">
        <v>5</v>
      </c>
      <c r="E8" s="4">
        <f>I7</f>
        <v/>
      </c>
      <c r="F8" s="4">
        <f>$B$6</f>
        <v/>
      </c>
      <c r="G8" s="4">
        <f>IPMT($B$4/12,D8,$B$5*12,-$B$3)</f>
        <v/>
      </c>
      <c r="H8" s="4">
        <f>PPMT($B$4/12,D8,$B$5*12,-$B$3)</f>
        <v/>
      </c>
      <c r="I8" s="4">
        <f>E8-H8</f>
        <v/>
      </c>
    </row>
    <row r="9">
      <c r="D9" t="n">
        <v>6</v>
      </c>
      <c r="E9" s="4">
        <f>I8</f>
        <v/>
      </c>
      <c r="F9" s="4">
        <f>$B$6</f>
        <v/>
      </c>
      <c r="G9" s="4">
        <f>IPMT($B$4/12,D9,$B$5*12,-$B$3)</f>
        <v/>
      </c>
      <c r="H9" s="4">
        <f>PPMT($B$4/12,D9,$B$5*12,-$B$3)</f>
        <v/>
      </c>
      <c r="I9" s="4">
        <f>E9-H9</f>
        <v/>
      </c>
    </row>
    <row r="10">
      <c r="A10" s="8" t="inlineStr">
        <is>
          <t>Interest in year 1 (challenge)</t>
        </is>
      </c>
      <c r="B10" s="4">
        <f>-CUMIPMT(B4/12,B5*12,B3,1,12,0)</f>
        <v/>
      </c>
      <c r="D10" t="n">
        <v>7</v>
      </c>
      <c r="E10" s="4">
        <f>I9</f>
        <v/>
      </c>
      <c r="F10" s="4">
        <f>$B$6</f>
        <v/>
      </c>
      <c r="G10" s="4">
        <f>IPMT($B$4/12,D10,$B$5*12,-$B$3)</f>
        <v/>
      </c>
      <c r="H10" s="4">
        <f>PPMT($B$4/12,D10,$B$5*12,-$B$3)</f>
        <v/>
      </c>
      <c r="I10" s="4">
        <f>E10-H10</f>
        <v/>
      </c>
    </row>
    <row r="11">
      <c r="D11" t="n">
        <v>8</v>
      </c>
      <c r="E11" s="4">
        <f>I10</f>
        <v/>
      </c>
      <c r="F11" s="4">
        <f>$B$6</f>
        <v/>
      </c>
      <c r="G11" s="4">
        <f>IPMT($B$4/12,D11,$B$5*12,-$B$3)</f>
        <v/>
      </c>
      <c r="H11" s="4">
        <f>PPMT($B$4/12,D11,$B$5*12,-$B$3)</f>
        <v/>
      </c>
      <c r="I11" s="4">
        <f>E11-H11</f>
        <v/>
      </c>
    </row>
    <row r="12">
      <c r="D12" t="n">
        <v>9</v>
      </c>
      <c r="E12" s="4">
        <f>I11</f>
        <v/>
      </c>
      <c r="F12" s="4">
        <f>$B$6</f>
        <v/>
      </c>
      <c r="G12" s="4">
        <f>IPMT($B$4/12,D12,$B$5*12,-$B$3)</f>
        <v/>
      </c>
      <c r="H12" s="4">
        <f>PPMT($B$4/12,D12,$B$5*12,-$B$3)</f>
        <v/>
      </c>
      <c r="I12" s="4">
        <f>E12-H12</f>
        <v/>
      </c>
    </row>
    <row r="13">
      <c r="D13" t="n">
        <v>10</v>
      </c>
      <c r="E13" s="4">
        <f>I12</f>
        <v/>
      </c>
      <c r="F13" s="4">
        <f>$B$6</f>
        <v/>
      </c>
      <c r="G13" s="4">
        <f>IPMT($B$4/12,D13,$B$5*12,-$B$3)</f>
        <v/>
      </c>
      <c r="H13" s="4">
        <f>PPMT($B$4/12,D13,$B$5*12,-$B$3)</f>
        <v/>
      </c>
      <c r="I13" s="4">
        <f>E13-H13</f>
        <v/>
      </c>
    </row>
    <row r="14">
      <c r="D14" t="n">
        <v>11</v>
      </c>
      <c r="E14" s="4">
        <f>I13</f>
        <v/>
      </c>
      <c r="F14" s="4">
        <f>$B$6</f>
        <v/>
      </c>
      <c r="G14" s="4">
        <f>IPMT($B$4/12,D14,$B$5*12,-$B$3)</f>
        <v/>
      </c>
      <c r="H14" s="4">
        <f>PPMT($B$4/12,D14,$B$5*12,-$B$3)</f>
        <v/>
      </c>
      <c r="I14" s="4">
        <f>E14-H14</f>
        <v/>
      </c>
    </row>
    <row r="15">
      <c r="D15" t="n">
        <v>12</v>
      </c>
      <c r="E15" s="4">
        <f>I14</f>
        <v/>
      </c>
      <c r="F15" s="4">
        <f>$B$6</f>
        <v/>
      </c>
      <c r="G15" s="4">
        <f>IPMT($B$4/12,D15,$B$5*12,-$B$3)</f>
        <v/>
      </c>
      <c r="H15" s="4">
        <f>PPMT($B$4/12,D15,$B$5*12,-$B$3)</f>
        <v/>
      </c>
      <c r="I15" s="4">
        <f>E15-H15</f>
        <v/>
      </c>
    </row>
    <row r="16">
      <c r="D16" t="n">
        <v>13</v>
      </c>
      <c r="E16" s="4">
        <f>I15</f>
        <v/>
      </c>
      <c r="F16" s="4">
        <f>$B$6</f>
        <v/>
      </c>
      <c r="G16" s="4">
        <f>IPMT($B$4/12,D16,$B$5*12,-$B$3)</f>
        <v/>
      </c>
      <c r="H16" s="4">
        <f>PPMT($B$4/12,D16,$B$5*12,-$B$3)</f>
        <v/>
      </c>
      <c r="I16" s="4">
        <f>E16-H16</f>
        <v/>
      </c>
    </row>
    <row r="17">
      <c r="D17" t="n">
        <v>14</v>
      </c>
      <c r="E17" s="4">
        <f>I16</f>
        <v/>
      </c>
      <c r="F17" s="4">
        <f>$B$6</f>
        <v/>
      </c>
      <c r="G17" s="4">
        <f>IPMT($B$4/12,D17,$B$5*12,-$B$3)</f>
        <v/>
      </c>
      <c r="H17" s="4">
        <f>PPMT($B$4/12,D17,$B$5*12,-$B$3)</f>
        <v/>
      </c>
      <c r="I17" s="4">
        <f>E17-H17</f>
        <v/>
      </c>
    </row>
    <row r="18">
      <c r="D18" t="n">
        <v>15</v>
      </c>
      <c r="E18" s="4">
        <f>I17</f>
        <v/>
      </c>
      <c r="F18" s="4">
        <f>$B$6</f>
        <v/>
      </c>
      <c r="G18" s="4">
        <f>IPMT($B$4/12,D18,$B$5*12,-$B$3)</f>
        <v/>
      </c>
      <c r="H18" s="4">
        <f>PPMT($B$4/12,D18,$B$5*12,-$B$3)</f>
        <v/>
      </c>
      <c r="I18" s="4">
        <f>E18-H18</f>
        <v/>
      </c>
    </row>
    <row r="19">
      <c r="D19" t="n">
        <v>16</v>
      </c>
      <c r="E19" s="4">
        <f>I18</f>
        <v/>
      </c>
      <c r="F19" s="4">
        <f>$B$6</f>
        <v/>
      </c>
      <c r="G19" s="4">
        <f>IPMT($B$4/12,D19,$B$5*12,-$B$3)</f>
        <v/>
      </c>
      <c r="H19" s="4">
        <f>PPMT($B$4/12,D19,$B$5*12,-$B$3)</f>
        <v/>
      </c>
      <c r="I19" s="4">
        <f>E19-H19</f>
        <v/>
      </c>
    </row>
    <row r="20">
      <c r="D20" t="n">
        <v>17</v>
      </c>
      <c r="E20" s="4">
        <f>I19</f>
        <v/>
      </c>
      <c r="F20" s="4">
        <f>$B$6</f>
        <v/>
      </c>
      <c r="G20" s="4">
        <f>IPMT($B$4/12,D20,$B$5*12,-$B$3)</f>
        <v/>
      </c>
      <c r="H20" s="4">
        <f>PPMT($B$4/12,D20,$B$5*12,-$B$3)</f>
        <v/>
      </c>
      <c r="I20" s="4">
        <f>E20-H20</f>
        <v/>
      </c>
    </row>
    <row r="21">
      <c r="D21" t="n">
        <v>18</v>
      </c>
      <c r="E21" s="4">
        <f>I20</f>
        <v/>
      </c>
      <c r="F21" s="4">
        <f>$B$6</f>
        <v/>
      </c>
      <c r="G21" s="4">
        <f>IPMT($B$4/12,D21,$B$5*12,-$B$3)</f>
        <v/>
      </c>
      <c r="H21" s="4">
        <f>PPMT($B$4/12,D21,$B$5*12,-$B$3)</f>
        <v/>
      </c>
      <c r="I21" s="4">
        <f>E21-H21</f>
        <v/>
      </c>
    </row>
    <row r="22">
      <c r="D22" t="n">
        <v>19</v>
      </c>
      <c r="E22" s="4">
        <f>I21</f>
        <v/>
      </c>
      <c r="F22" s="4">
        <f>$B$6</f>
        <v/>
      </c>
      <c r="G22" s="4">
        <f>IPMT($B$4/12,D22,$B$5*12,-$B$3)</f>
        <v/>
      </c>
      <c r="H22" s="4">
        <f>PPMT($B$4/12,D22,$B$5*12,-$B$3)</f>
        <v/>
      </c>
      <c r="I22" s="4">
        <f>E22-H22</f>
        <v/>
      </c>
    </row>
    <row r="23">
      <c r="D23" t="n">
        <v>20</v>
      </c>
      <c r="E23" s="4">
        <f>I22</f>
        <v/>
      </c>
      <c r="F23" s="4">
        <f>$B$6</f>
        <v/>
      </c>
      <c r="G23" s="4">
        <f>IPMT($B$4/12,D23,$B$5*12,-$B$3)</f>
        <v/>
      </c>
      <c r="H23" s="4">
        <f>PPMT($B$4/12,D23,$B$5*12,-$B$3)</f>
        <v/>
      </c>
      <c r="I23" s="4">
        <f>E23-H23</f>
        <v/>
      </c>
    </row>
    <row r="24">
      <c r="D24" t="n">
        <v>21</v>
      </c>
      <c r="E24" s="4">
        <f>I23</f>
        <v/>
      </c>
      <c r="F24" s="4">
        <f>$B$6</f>
        <v/>
      </c>
      <c r="G24" s="4">
        <f>IPMT($B$4/12,D24,$B$5*12,-$B$3)</f>
        <v/>
      </c>
      <c r="H24" s="4">
        <f>PPMT($B$4/12,D24,$B$5*12,-$B$3)</f>
        <v/>
      </c>
      <c r="I24" s="4">
        <f>E24-H24</f>
        <v/>
      </c>
    </row>
    <row r="25">
      <c r="D25" t="n">
        <v>22</v>
      </c>
      <c r="E25" s="4">
        <f>I24</f>
        <v/>
      </c>
      <c r="F25" s="4">
        <f>$B$6</f>
        <v/>
      </c>
      <c r="G25" s="4">
        <f>IPMT($B$4/12,D25,$B$5*12,-$B$3)</f>
        <v/>
      </c>
      <c r="H25" s="4">
        <f>PPMT($B$4/12,D25,$B$5*12,-$B$3)</f>
        <v/>
      </c>
      <c r="I25" s="4">
        <f>E25-H25</f>
        <v/>
      </c>
    </row>
    <row r="26">
      <c r="D26" t="n">
        <v>23</v>
      </c>
      <c r="E26" s="4">
        <f>I25</f>
        <v/>
      </c>
      <c r="F26" s="4">
        <f>$B$6</f>
        <v/>
      </c>
      <c r="G26" s="4">
        <f>IPMT($B$4/12,D26,$B$5*12,-$B$3)</f>
        <v/>
      </c>
      <c r="H26" s="4">
        <f>PPMT($B$4/12,D26,$B$5*12,-$B$3)</f>
        <v/>
      </c>
      <c r="I26" s="4">
        <f>E26-H26</f>
        <v/>
      </c>
    </row>
    <row r="27">
      <c r="D27" t="n">
        <v>24</v>
      </c>
      <c r="E27" s="4">
        <f>I26</f>
        <v/>
      </c>
      <c r="F27" s="4">
        <f>$B$6</f>
        <v/>
      </c>
      <c r="G27" s="4">
        <f>IPMT($B$4/12,D27,$B$5*12,-$B$3)</f>
        <v/>
      </c>
      <c r="H27" s="4">
        <f>PPMT($B$4/12,D27,$B$5*12,-$B$3)</f>
        <v/>
      </c>
      <c r="I27" s="4">
        <f>E27-H27</f>
        <v/>
      </c>
    </row>
    <row r="28">
      <c r="D28" t="n">
        <v>25</v>
      </c>
      <c r="E28" s="4">
        <f>I27</f>
        <v/>
      </c>
      <c r="F28" s="4">
        <f>$B$6</f>
        <v/>
      </c>
      <c r="G28" s="4">
        <f>IPMT($B$4/12,D28,$B$5*12,-$B$3)</f>
        <v/>
      </c>
      <c r="H28" s="4">
        <f>PPMT($B$4/12,D28,$B$5*12,-$B$3)</f>
        <v/>
      </c>
      <c r="I28" s="4">
        <f>E28-H28</f>
        <v/>
      </c>
    </row>
    <row r="29">
      <c r="D29" t="n">
        <v>26</v>
      </c>
      <c r="E29" s="4">
        <f>I28</f>
        <v/>
      </c>
      <c r="F29" s="4">
        <f>$B$6</f>
        <v/>
      </c>
      <c r="G29" s="4">
        <f>IPMT($B$4/12,D29,$B$5*12,-$B$3)</f>
        <v/>
      </c>
      <c r="H29" s="4">
        <f>PPMT($B$4/12,D29,$B$5*12,-$B$3)</f>
        <v/>
      </c>
      <c r="I29" s="4">
        <f>E29-H29</f>
        <v/>
      </c>
    </row>
    <row r="30">
      <c r="D30" t="n">
        <v>27</v>
      </c>
      <c r="E30" s="4">
        <f>I29</f>
        <v/>
      </c>
      <c r="F30" s="4">
        <f>$B$6</f>
        <v/>
      </c>
      <c r="G30" s="4">
        <f>IPMT($B$4/12,D30,$B$5*12,-$B$3)</f>
        <v/>
      </c>
      <c r="H30" s="4">
        <f>PPMT($B$4/12,D30,$B$5*12,-$B$3)</f>
        <v/>
      </c>
      <c r="I30" s="4">
        <f>E30-H30</f>
        <v/>
      </c>
    </row>
    <row r="31">
      <c r="D31" t="n">
        <v>28</v>
      </c>
      <c r="E31" s="4">
        <f>I30</f>
        <v/>
      </c>
      <c r="F31" s="4">
        <f>$B$6</f>
        <v/>
      </c>
      <c r="G31" s="4">
        <f>IPMT($B$4/12,D31,$B$5*12,-$B$3)</f>
        <v/>
      </c>
      <c r="H31" s="4">
        <f>PPMT($B$4/12,D31,$B$5*12,-$B$3)</f>
        <v/>
      </c>
      <c r="I31" s="4">
        <f>E31-H31</f>
        <v/>
      </c>
    </row>
    <row r="32">
      <c r="D32" t="n">
        <v>29</v>
      </c>
      <c r="E32" s="4">
        <f>I31</f>
        <v/>
      </c>
      <c r="F32" s="4">
        <f>$B$6</f>
        <v/>
      </c>
      <c r="G32" s="4">
        <f>IPMT($B$4/12,D32,$B$5*12,-$B$3)</f>
        <v/>
      </c>
      <c r="H32" s="4">
        <f>PPMT($B$4/12,D32,$B$5*12,-$B$3)</f>
        <v/>
      </c>
      <c r="I32" s="4">
        <f>E32-H32</f>
        <v/>
      </c>
    </row>
    <row r="33">
      <c r="D33" t="n">
        <v>30</v>
      </c>
      <c r="E33" s="4">
        <f>I32</f>
        <v/>
      </c>
      <c r="F33" s="4">
        <f>$B$6</f>
        <v/>
      </c>
      <c r="G33" s="4">
        <f>IPMT($B$4/12,D33,$B$5*12,-$B$3)</f>
        <v/>
      </c>
      <c r="H33" s="4">
        <f>PPMT($B$4/12,D33,$B$5*12,-$B$3)</f>
        <v/>
      </c>
      <c r="I33" s="4">
        <f>E33-H33</f>
        <v/>
      </c>
    </row>
    <row r="34">
      <c r="D34" t="n">
        <v>31</v>
      </c>
      <c r="E34" s="4">
        <f>I33</f>
        <v/>
      </c>
      <c r="F34" s="4">
        <f>$B$6</f>
        <v/>
      </c>
      <c r="G34" s="4">
        <f>IPMT($B$4/12,D34,$B$5*12,-$B$3)</f>
        <v/>
      </c>
      <c r="H34" s="4">
        <f>PPMT($B$4/12,D34,$B$5*12,-$B$3)</f>
        <v/>
      </c>
      <c r="I34" s="4">
        <f>E34-H34</f>
        <v/>
      </c>
    </row>
    <row r="35">
      <c r="D35" t="n">
        <v>32</v>
      </c>
      <c r="E35" s="4">
        <f>I34</f>
        <v/>
      </c>
      <c r="F35" s="4">
        <f>$B$6</f>
        <v/>
      </c>
      <c r="G35" s="4">
        <f>IPMT($B$4/12,D35,$B$5*12,-$B$3)</f>
        <v/>
      </c>
      <c r="H35" s="4">
        <f>PPMT($B$4/12,D35,$B$5*12,-$B$3)</f>
        <v/>
      </c>
      <c r="I35" s="4">
        <f>E35-H35</f>
        <v/>
      </c>
    </row>
    <row r="36">
      <c r="D36" t="n">
        <v>33</v>
      </c>
      <c r="E36" s="4">
        <f>I35</f>
        <v/>
      </c>
      <c r="F36" s="4">
        <f>$B$6</f>
        <v/>
      </c>
      <c r="G36" s="4">
        <f>IPMT($B$4/12,D36,$B$5*12,-$B$3)</f>
        <v/>
      </c>
      <c r="H36" s="4">
        <f>PPMT($B$4/12,D36,$B$5*12,-$B$3)</f>
        <v/>
      </c>
      <c r="I36" s="4">
        <f>E36-H36</f>
        <v/>
      </c>
    </row>
    <row r="37">
      <c r="D37" t="n">
        <v>34</v>
      </c>
      <c r="E37" s="4">
        <f>I36</f>
        <v/>
      </c>
      <c r="F37" s="4">
        <f>$B$6</f>
        <v/>
      </c>
      <c r="G37" s="4">
        <f>IPMT($B$4/12,D37,$B$5*12,-$B$3)</f>
        <v/>
      </c>
      <c r="H37" s="4">
        <f>PPMT($B$4/12,D37,$B$5*12,-$B$3)</f>
        <v/>
      </c>
      <c r="I37" s="4">
        <f>E37-H37</f>
        <v/>
      </c>
    </row>
    <row r="38">
      <c r="D38" t="n">
        <v>35</v>
      </c>
      <c r="E38" s="4">
        <f>I37</f>
        <v/>
      </c>
      <c r="F38" s="4">
        <f>$B$6</f>
        <v/>
      </c>
      <c r="G38" s="4">
        <f>IPMT($B$4/12,D38,$B$5*12,-$B$3)</f>
        <v/>
      </c>
      <c r="H38" s="4">
        <f>PPMT($B$4/12,D38,$B$5*12,-$B$3)</f>
        <v/>
      </c>
      <c r="I38" s="4">
        <f>E38-H38</f>
        <v/>
      </c>
    </row>
    <row r="39">
      <c r="D39" t="n">
        <v>36</v>
      </c>
      <c r="E39" s="4">
        <f>I38</f>
        <v/>
      </c>
      <c r="F39" s="4">
        <f>$B$6</f>
        <v/>
      </c>
      <c r="G39" s="4">
        <f>IPMT($B$4/12,D39,$B$5*12,-$B$3)</f>
        <v/>
      </c>
      <c r="H39" s="4">
        <f>PPMT($B$4/12,D39,$B$5*12,-$B$3)</f>
        <v/>
      </c>
      <c r="I39" s="4">
        <f>E39-H39</f>
        <v/>
      </c>
    </row>
    <row r="40">
      <c r="D40" t="n">
        <v>37</v>
      </c>
      <c r="E40" s="4">
        <f>I39</f>
        <v/>
      </c>
      <c r="F40" s="4">
        <f>$B$6</f>
        <v/>
      </c>
      <c r="G40" s="4">
        <f>IPMT($B$4/12,D40,$B$5*12,-$B$3)</f>
        <v/>
      </c>
      <c r="H40" s="4">
        <f>PPMT($B$4/12,D40,$B$5*12,-$B$3)</f>
        <v/>
      </c>
      <c r="I40" s="4">
        <f>E40-H40</f>
        <v/>
      </c>
    </row>
    <row r="41">
      <c r="D41" t="n">
        <v>38</v>
      </c>
      <c r="E41" s="4">
        <f>I40</f>
        <v/>
      </c>
      <c r="F41" s="4">
        <f>$B$6</f>
        <v/>
      </c>
      <c r="G41" s="4">
        <f>IPMT($B$4/12,D41,$B$5*12,-$B$3)</f>
        <v/>
      </c>
      <c r="H41" s="4">
        <f>PPMT($B$4/12,D41,$B$5*12,-$B$3)</f>
        <v/>
      </c>
      <c r="I41" s="4">
        <f>E41-H41</f>
        <v/>
      </c>
    </row>
    <row r="42">
      <c r="D42" t="n">
        <v>39</v>
      </c>
      <c r="E42" s="4">
        <f>I41</f>
        <v/>
      </c>
      <c r="F42" s="4">
        <f>$B$6</f>
        <v/>
      </c>
      <c r="G42" s="4">
        <f>IPMT($B$4/12,D42,$B$5*12,-$B$3)</f>
        <v/>
      </c>
      <c r="H42" s="4">
        <f>PPMT($B$4/12,D42,$B$5*12,-$B$3)</f>
        <v/>
      </c>
      <c r="I42" s="4">
        <f>E42-H42</f>
        <v/>
      </c>
    </row>
    <row r="43">
      <c r="D43" t="n">
        <v>40</v>
      </c>
      <c r="E43" s="4">
        <f>I42</f>
        <v/>
      </c>
      <c r="F43" s="4">
        <f>$B$6</f>
        <v/>
      </c>
      <c r="G43" s="4">
        <f>IPMT($B$4/12,D43,$B$5*12,-$B$3)</f>
        <v/>
      </c>
      <c r="H43" s="4">
        <f>PPMT($B$4/12,D43,$B$5*12,-$B$3)</f>
        <v/>
      </c>
      <c r="I43" s="4">
        <f>E43-H43</f>
        <v/>
      </c>
    </row>
    <row r="44">
      <c r="D44" t="n">
        <v>41</v>
      </c>
      <c r="E44" s="4">
        <f>I43</f>
        <v/>
      </c>
      <c r="F44" s="4">
        <f>$B$6</f>
        <v/>
      </c>
      <c r="G44" s="4">
        <f>IPMT($B$4/12,D44,$B$5*12,-$B$3)</f>
        <v/>
      </c>
      <c r="H44" s="4">
        <f>PPMT($B$4/12,D44,$B$5*12,-$B$3)</f>
        <v/>
      </c>
      <c r="I44" s="4">
        <f>E44-H44</f>
        <v/>
      </c>
    </row>
    <row r="45">
      <c r="D45" t="n">
        <v>42</v>
      </c>
      <c r="E45" s="4">
        <f>I44</f>
        <v/>
      </c>
      <c r="F45" s="4">
        <f>$B$6</f>
        <v/>
      </c>
      <c r="G45" s="4">
        <f>IPMT($B$4/12,D45,$B$5*12,-$B$3)</f>
        <v/>
      </c>
      <c r="H45" s="4">
        <f>PPMT($B$4/12,D45,$B$5*12,-$B$3)</f>
        <v/>
      </c>
      <c r="I45" s="4">
        <f>E45-H45</f>
        <v/>
      </c>
    </row>
    <row r="46">
      <c r="D46" t="n">
        <v>43</v>
      </c>
      <c r="E46" s="4">
        <f>I45</f>
        <v/>
      </c>
      <c r="F46" s="4">
        <f>$B$6</f>
        <v/>
      </c>
      <c r="G46" s="4">
        <f>IPMT($B$4/12,D46,$B$5*12,-$B$3)</f>
        <v/>
      </c>
      <c r="H46" s="4">
        <f>PPMT($B$4/12,D46,$B$5*12,-$B$3)</f>
        <v/>
      </c>
      <c r="I46" s="4">
        <f>E46-H46</f>
        <v/>
      </c>
    </row>
    <row r="47">
      <c r="D47" t="n">
        <v>44</v>
      </c>
      <c r="E47" s="4">
        <f>I46</f>
        <v/>
      </c>
      <c r="F47" s="4">
        <f>$B$6</f>
        <v/>
      </c>
      <c r="G47" s="4">
        <f>IPMT($B$4/12,D47,$B$5*12,-$B$3)</f>
        <v/>
      </c>
      <c r="H47" s="4">
        <f>PPMT($B$4/12,D47,$B$5*12,-$B$3)</f>
        <v/>
      </c>
      <c r="I47" s="4">
        <f>E47-H47</f>
        <v/>
      </c>
    </row>
    <row r="48">
      <c r="D48" t="n">
        <v>45</v>
      </c>
      <c r="E48" s="4">
        <f>I47</f>
        <v/>
      </c>
      <c r="F48" s="4">
        <f>$B$6</f>
        <v/>
      </c>
      <c r="G48" s="4">
        <f>IPMT($B$4/12,D48,$B$5*12,-$B$3)</f>
        <v/>
      </c>
      <c r="H48" s="4">
        <f>PPMT($B$4/12,D48,$B$5*12,-$B$3)</f>
        <v/>
      </c>
      <c r="I48" s="4">
        <f>E48-H48</f>
        <v/>
      </c>
    </row>
    <row r="49">
      <c r="D49" t="n">
        <v>46</v>
      </c>
      <c r="E49" s="4">
        <f>I48</f>
        <v/>
      </c>
      <c r="F49" s="4">
        <f>$B$6</f>
        <v/>
      </c>
      <c r="G49" s="4">
        <f>IPMT($B$4/12,D49,$B$5*12,-$B$3)</f>
        <v/>
      </c>
      <c r="H49" s="4">
        <f>PPMT($B$4/12,D49,$B$5*12,-$B$3)</f>
        <v/>
      </c>
      <c r="I49" s="4">
        <f>E49-H49</f>
        <v/>
      </c>
    </row>
    <row r="50">
      <c r="D50" t="n">
        <v>47</v>
      </c>
      <c r="E50" s="4">
        <f>I49</f>
        <v/>
      </c>
      <c r="F50" s="4">
        <f>$B$6</f>
        <v/>
      </c>
      <c r="G50" s="4">
        <f>IPMT($B$4/12,D50,$B$5*12,-$B$3)</f>
        <v/>
      </c>
      <c r="H50" s="4">
        <f>PPMT($B$4/12,D50,$B$5*12,-$B$3)</f>
        <v/>
      </c>
      <c r="I50" s="4">
        <f>E50-H50</f>
        <v/>
      </c>
    </row>
    <row r="51">
      <c r="D51" t="n">
        <v>48</v>
      </c>
      <c r="E51" s="4">
        <f>I50</f>
        <v/>
      </c>
      <c r="F51" s="4">
        <f>$B$6</f>
        <v/>
      </c>
      <c r="G51" s="4">
        <f>IPMT($B$4/12,D51,$B$5*12,-$B$3)</f>
        <v/>
      </c>
      <c r="H51" s="4">
        <f>PPMT($B$4/12,D51,$B$5*12,-$B$3)</f>
        <v/>
      </c>
      <c r="I51" s="4">
        <f>E51-H51</f>
        <v/>
      </c>
    </row>
    <row r="52">
      <c r="D52" t="n">
        <v>49</v>
      </c>
      <c r="E52" s="4">
        <f>I51</f>
        <v/>
      </c>
      <c r="F52" s="4">
        <f>$B$6</f>
        <v/>
      </c>
      <c r="G52" s="4">
        <f>IPMT($B$4/12,D52,$B$5*12,-$B$3)</f>
        <v/>
      </c>
      <c r="H52" s="4">
        <f>PPMT($B$4/12,D52,$B$5*12,-$B$3)</f>
        <v/>
      </c>
      <c r="I52" s="4">
        <f>E52-H52</f>
        <v/>
      </c>
    </row>
    <row r="53">
      <c r="D53" t="n">
        <v>50</v>
      </c>
      <c r="E53" s="4">
        <f>I52</f>
        <v/>
      </c>
      <c r="F53" s="4">
        <f>$B$6</f>
        <v/>
      </c>
      <c r="G53" s="4">
        <f>IPMT($B$4/12,D53,$B$5*12,-$B$3)</f>
        <v/>
      </c>
      <c r="H53" s="4">
        <f>PPMT($B$4/12,D53,$B$5*12,-$B$3)</f>
        <v/>
      </c>
      <c r="I53" s="4">
        <f>E53-H53</f>
        <v/>
      </c>
    </row>
    <row r="54">
      <c r="D54" t="n">
        <v>51</v>
      </c>
      <c r="E54" s="4">
        <f>I53</f>
        <v/>
      </c>
      <c r="F54" s="4">
        <f>$B$6</f>
        <v/>
      </c>
      <c r="G54" s="4">
        <f>IPMT($B$4/12,D54,$B$5*12,-$B$3)</f>
        <v/>
      </c>
      <c r="H54" s="4">
        <f>PPMT($B$4/12,D54,$B$5*12,-$B$3)</f>
        <v/>
      </c>
      <c r="I54" s="4">
        <f>E54-H54</f>
        <v/>
      </c>
    </row>
    <row r="55">
      <c r="D55" t="n">
        <v>52</v>
      </c>
      <c r="E55" s="4">
        <f>I54</f>
        <v/>
      </c>
      <c r="F55" s="4">
        <f>$B$6</f>
        <v/>
      </c>
      <c r="G55" s="4">
        <f>IPMT($B$4/12,D55,$B$5*12,-$B$3)</f>
        <v/>
      </c>
      <c r="H55" s="4">
        <f>PPMT($B$4/12,D55,$B$5*12,-$B$3)</f>
        <v/>
      </c>
      <c r="I55" s="4">
        <f>E55-H55</f>
        <v/>
      </c>
    </row>
    <row r="56">
      <c r="D56" t="n">
        <v>53</v>
      </c>
      <c r="E56" s="4">
        <f>I55</f>
        <v/>
      </c>
      <c r="F56" s="4">
        <f>$B$6</f>
        <v/>
      </c>
      <c r="G56" s="4">
        <f>IPMT($B$4/12,D56,$B$5*12,-$B$3)</f>
        <v/>
      </c>
      <c r="H56" s="4">
        <f>PPMT($B$4/12,D56,$B$5*12,-$B$3)</f>
        <v/>
      </c>
      <c r="I56" s="4">
        <f>E56-H56</f>
        <v/>
      </c>
    </row>
    <row r="57">
      <c r="D57" t="n">
        <v>54</v>
      </c>
      <c r="E57" s="4">
        <f>I56</f>
        <v/>
      </c>
      <c r="F57" s="4">
        <f>$B$6</f>
        <v/>
      </c>
      <c r="G57" s="4">
        <f>IPMT($B$4/12,D57,$B$5*12,-$B$3)</f>
        <v/>
      </c>
      <c r="H57" s="4">
        <f>PPMT($B$4/12,D57,$B$5*12,-$B$3)</f>
        <v/>
      </c>
      <c r="I57" s="4">
        <f>E57-H57</f>
        <v/>
      </c>
    </row>
    <row r="58">
      <c r="D58" t="n">
        <v>55</v>
      </c>
      <c r="E58" s="4">
        <f>I57</f>
        <v/>
      </c>
      <c r="F58" s="4">
        <f>$B$6</f>
        <v/>
      </c>
      <c r="G58" s="4">
        <f>IPMT($B$4/12,D58,$B$5*12,-$B$3)</f>
        <v/>
      </c>
      <c r="H58" s="4">
        <f>PPMT($B$4/12,D58,$B$5*12,-$B$3)</f>
        <v/>
      </c>
      <c r="I58" s="4">
        <f>E58-H58</f>
        <v/>
      </c>
    </row>
    <row r="59">
      <c r="D59" t="n">
        <v>56</v>
      </c>
      <c r="E59" s="4">
        <f>I58</f>
        <v/>
      </c>
      <c r="F59" s="4">
        <f>$B$6</f>
        <v/>
      </c>
      <c r="G59" s="4">
        <f>IPMT($B$4/12,D59,$B$5*12,-$B$3)</f>
        <v/>
      </c>
      <c r="H59" s="4">
        <f>PPMT($B$4/12,D59,$B$5*12,-$B$3)</f>
        <v/>
      </c>
      <c r="I59" s="4">
        <f>E59-H59</f>
        <v/>
      </c>
    </row>
    <row r="60">
      <c r="D60" t="n">
        <v>57</v>
      </c>
      <c r="E60" s="4">
        <f>I59</f>
        <v/>
      </c>
      <c r="F60" s="4">
        <f>$B$6</f>
        <v/>
      </c>
      <c r="G60" s="4">
        <f>IPMT($B$4/12,D60,$B$5*12,-$B$3)</f>
        <v/>
      </c>
      <c r="H60" s="4">
        <f>PPMT($B$4/12,D60,$B$5*12,-$B$3)</f>
        <v/>
      </c>
      <c r="I60" s="4">
        <f>E60-H60</f>
        <v/>
      </c>
    </row>
    <row r="61">
      <c r="D61" t="n">
        <v>58</v>
      </c>
      <c r="E61" s="4">
        <f>I60</f>
        <v/>
      </c>
      <c r="F61" s="4">
        <f>$B$6</f>
        <v/>
      </c>
      <c r="G61" s="4">
        <f>IPMT($B$4/12,D61,$B$5*12,-$B$3)</f>
        <v/>
      </c>
      <c r="H61" s="4">
        <f>PPMT($B$4/12,D61,$B$5*12,-$B$3)</f>
        <v/>
      </c>
      <c r="I61" s="4">
        <f>E61-H61</f>
        <v/>
      </c>
    </row>
    <row r="62">
      <c r="D62" t="n">
        <v>59</v>
      </c>
      <c r="E62" s="4">
        <f>I61</f>
        <v/>
      </c>
      <c r="F62" s="4">
        <f>$B$6</f>
        <v/>
      </c>
      <c r="G62" s="4">
        <f>IPMT($B$4/12,D62,$B$5*12,-$B$3)</f>
        <v/>
      </c>
      <c r="H62" s="4">
        <f>PPMT($B$4/12,D62,$B$5*12,-$B$3)</f>
        <v/>
      </c>
      <c r="I62" s="4">
        <f>E62-H62</f>
        <v/>
      </c>
    </row>
    <row r="63">
      <c r="D63" t="n">
        <v>60</v>
      </c>
      <c r="E63" s="4">
        <f>I62</f>
        <v/>
      </c>
      <c r="F63" s="4">
        <f>$B$6</f>
        <v/>
      </c>
      <c r="G63" s="4">
        <f>IPMT($B$4/12,D63,$B$5*12,-$B$3)</f>
        <v/>
      </c>
      <c r="H63" s="4">
        <f>PPMT($B$4/12,D63,$B$5*12,-$B$3)</f>
        <v/>
      </c>
      <c r="I63" s="4">
        <f>E63-H63</f>
        <v/>
      </c>
    </row>
    <row r="64">
      <c r="D64" t="n">
        <v>61</v>
      </c>
      <c r="E64" s="4">
        <f>I63</f>
        <v/>
      </c>
      <c r="F64" s="4">
        <f>$B$6</f>
        <v/>
      </c>
      <c r="G64" s="4">
        <f>IPMT($B$4/12,D64,$B$5*12,-$B$3)</f>
        <v/>
      </c>
      <c r="H64" s="4">
        <f>PPMT($B$4/12,D64,$B$5*12,-$B$3)</f>
        <v/>
      </c>
      <c r="I64" s="4">
        <f>E64-H64</f>
        <v/>
      </c>
    </row>
    <row r="65">
      <c r="D65" t="n">
        <v>62</v>
      </c>
      <c r="E65" s="4">
        <f>I64</f>
        <v/>
      </c>
      <c r="F65" s="4">
        <f>$B$6</f>
        <v/>
      </c>
      <c r="G65" s="4">
        <f>IPMT($B$4/12,D65,$B$5*12,-$B$3)</f>
        <v/>
      </c>
      <c r="H65" s="4">
        <f>PPMT($B$4/12,D65,$B$5*12,-$B$3)</f>
        <v/>
      </c>
      <c r="I65" s="4">
        <f>E65-H65</f>
        <v/>
      </c>
    </row>
    <row r="66">
      <c r="D66" t="n">
        <v>63</v>
      </c>
      <c r="E66" s="4">
        <f>I65</f>
        <v/>
      </c>
      <c r="F66" s="4">
        <f>$B$6</f>
        <v/>
      </c>
      <c r="G66" s="4">
        <f>IPMT($B$4/12,D66,$B$5*12,-$B$3)</f>
        <v/>
      </c>
      <c r="H66" s="4">
        <f>PPMT($B$4/12,D66,$B$5*12,-$B$3)</f>
        <v/>
      </c>
      <c r="I66" s="4">
        <f>E66-H66</f>
        <v/>
      </c>
    </row>
    <row r="67">
      <c r="D67" t="n">
        <v>64</v>
      </c>
      <c r="E67" s="4">
        <f>I66</f>
        <v/>
      </c>
      <c r="F67" s="4">
        <f>$B$6</f>
        <v/>
      </c>
      <c r="G67" s="4">
        <f>IPMT($B$4/12,D67,$B$5*12,-$B$3)</f>
        <v/>
      </c>
      <c r="H67" s="4">
        <f>PPMT($B$4/12,D67,$B$5*12,-$B$3)</f>
        <v/>
      </c>
      <c r="I67" s="4">
        <f>E67-H67</f>
        <v/>
      </c>
    </row>
    <row r="68">
      <c r="D68" t="n">
        <v>65</v>
      </c>
      <c r="E68" s="4">
        <f>I67</f>
        <v/>
      </c>
      <c r="F68" s="4">
        <f>$B$6</f>
        <v/>
      </c>
      <c r="G68" s="4">
        <f>IPMT($B$4/12,D68,$B$5*12,-$B$3)</f>
        <v/>
      </c>
      <c r="H68" s="4">
        <f>PPMT($B$4/12,D68,$B$5*12,-$B$3)</f>
        <v/>
      </c>
      <c r="I68" s="4">
        <f>E68-H68</f>
        <v/>
      </c>
    </row>
    <row r="69">
      <c r="D69" t="n">
        <v>66</v>
      </c>
      <c r="E69" s="4">
        <f>I68</f>
        <v/>
      </c>
      <c r="F69" s="4">
        <f>$B$6</f>
        <v/>
      </c>
      <c r="G69" s="4">
        <f>IPMT($B$4/12,D69,$B$5*12,-$B$3)</f>
        <v/>
      </c>
      <c r="H69" s="4">
        <f>PPMT($B$4/12,D69,$B$5*12,-$B$3)</f>
        <v/>
      </c>
      <c r="I69" s="4">
        <f>E69-H69</f>
        <v/>
      </c>
    </row>
    <row r="70">
      <c r="D70" t="n">
        <v>67</v>
      </c>
      <c r="E70" s="4">
        <f>I69</f>
        <v/>
      </c>
      <c r="F70" s="4">
        <f>$B$6</f>
        <v/>
      </c>
      <c r="G70" s="4">
        <f>IPMT($B$4/12,D70,$B$5*12,-$B$3)</f>
        <v/>
      </c>
      <c r="H70" s="4">
        <f>PPMT($B$4/12,D70,$B$5*12,-$B$3)</f>
        <v/>
      </c>
      <c r="I70" s="4">
        <f>E70-H70</f>
        <v/>
      </c>
    </row>
    <row r="71">
      <c r="D71" t="n">
        <v>68</v>
      </c>
      <c r="E71" s="4">
        <f>I70</f>
        <v/>
      </c>
      <c r="F71" s="4">
        <f>$B$6</f>
        <v/>
      </c>
      <c r="G71" s="4">
        <f>IPMT($B$4/12,D71,$B$5*12,-$B$3)</f>
        <v/>
      </c>
      <c r="H71" s="4">
        <f>PPMT($B$4/12,D71,$B$5*12,-$B$3)</f>
        <v/>
      </c>
      <c r="I71" s="4">
        <f>E71-H71</f>
        <v/>
      </c>
    </row>
    <row r="72">
      <c r="D72" t="n">
        <v>69</v>
      </c>
      <c r="E72" s="4">
        <f>I71</f>
        <v/>
      </c>
      <c r="F72" s="4">
        <f>$B$6</f>
        <v/>
      </c>
      <c r="G72" s="4">
        <f>IPMT($B$4/12,D72,$B$5*12,-$B$3)</f>
        <v/>
      </c>
      <c r="H72" s="4">
        <f>PPMT($B$4/12,D72,$B$5*12,-$B$3)</f>
        <v/>
      </c>
      <c r="I72" s="4">
        <f>E72-H72</f>
        <v/>
      </c>
    </row>
    <row r="73">
      <c r="D73" t="n">
        <v>70</v>
      </c>
      <c r="E73" s="4">
        <f>I72</f>
        <v/>
      </c>
      <c r="F73" s="4">
        <f>$B$6</f>
        <v/>
      </c>
      <c r="G73" s="4">
        <f>IPMT($B$4/12,D73,$B$5*12,-$B$3)</f>
        <v/>
      </c>
      <c r="H73" s="4">
        <f>PPMT($B$4/12,D73,$B$5*12,-$B$3)</f>
        <v/>
      </c>
      <c r="I73" s="4">
        <f>E73-H73</f>
        <v/>
      </c>
    </row>
    <row r="74">
      <c r="D74" t="n">
        <v>71</v>
      </c>
      <c r="E74" s="4">
        <f>I73</f>
        <v/>
      </c>
      <c r="F74" s="4">
        <f>$B$6</f>
        <v/>
      </c>
      <c r="G74" s="4">
        <f>IPMT($B$4/12,D74,$B$5*12,-$B$3)</f>
        <v/>
      </c>
      <c r="H74" s="4">
        <f>PPMT($B$4/12,D74,$B$5*12,-$B$3)</f>
        <v/>
      </c>
      <c r="I74" s="4">
        <f>E74-H74</f>
        <v/>
      </c>
    </row>
    <row r="75">
      <c r="D75" t="n">
        <v>72</v>
      </c>
      <c r="E75" s="4">
        <f>I74</f>
        <v/>
      </c>
      <c r="F75" s="4">
        <f>$B$6</f>
        <v/>
      </c>
      <c r="G75" s="4">
        <f>IPMT($B$4/12,D75,$B$5*12,-$B$3)</f>
        <v/>
      </c>
      <c r="H75" s="4">
        <f>PPMT($B$4/12,D75,$B$5*12,-$B$3)</f>
        <v/>
      </c>
      <c r="I75" s="4">
        <f>E75-H75</f>
        <v/>
      </c>
    </row>
    <row r="76">
      <c r="D76" t="n">
        <v>73</v>
      </c>
      <c r="E76" s="4">
        <f>I75</f>
        <v/>
      </c>
      <c r="F76" s="4">
        <f>$B$6</f>
        <v/>
      </c>
      <c r="G76" s="4">
        <f>IPMT($B$4/12,D76,$B$5*12,-$B$3)</f>
        <v/>
      </c>
      <c r="H76" s="4">
        <f>PPMT($B$4/12,D76,$B$5*12,-$B$3)</f>
        <v/>
      </c>
      <c r="I76" s="4">
        <f>E76-H76</f>
        <v/>
      </c>
    </row>
    <row r="77">
      <c r="D77" t="n">
        <v>74</v>
      </c>
      <c r="E77" s="4">
        <f>I76</f>
        <v/>
      </c>
      <c r="F77" s="4">
        <f>$B$6</f>
        <v/>
      </c>
      <c r="G77" s="4">
        <f>IPMT($B$4/12,D77,$B$5*12,-$B$3)</f>
        <v/>
      </c>
      <c r="H77" s="4">
        <f>PPMT($B$4/12,D77,$B$5*12,-$B$3)</f>
        <v/>
      </c>
      <c r="I77" s="4">
        <f>E77-H77</f>
        <v/>
      </c>
    </row>
    <row r="78">
      <c r="D78" t="n">
        <v>75</v>
      </c>
      <c r="E78" s="4">
        <f>I77</f>
        <v/>
      </c>
      <c r="F78" s="4">
        <f>$B$6</f>
        <v/>
      </c>
      <c r="G78" s="4">
        <f>IPMT($B$4/12,D78,$B$5*12,-$B$3)</f>
        <v/>
      </c>
      <c r="H78" s="4">
        <f>PPMT($B$4/12,D78,$B$5*12,-$B$3)</f>
        <v/>
      </c>
      <c r="I78" s="4">
        <f>E78-H78</f>
        <v/>
      </c>
    </row>
    <row r="79">
      <c r="D79" t="n">
        <v>76</v>
      </c>
      <c r="E79" s="4">
        <f>I78</f>
        <v/>
      </c>
      <c r="F79" s="4">
        <f>$B$6</f>
        <v/>
      </c>
      <c r="G79" s="4">
        <f>IPMT($B$4/12,D79,$B$5*12,-$B$3)</f>
        <v/>
      </c>
      <c r="H79" s="4">
        <f>PPMT($B$4/12,D79,$B$5*12,-$B$3)</f>
        <v/>
      </c>
      <c r="I79" s="4">
        <f>E79-H79</f>
        <v/>
      </c>
    </row>
    <row r="80">
      <c r="D80" t="n">
        <v>77</v>
      </c>
      <c r="E80" s="4">
        <f>I79</f>
        <v/>
      </c>
      <c r="F80" s="4">
        <f>$B$6</f>
        <v/>
      </c>
      <c r="G80" s="4">
        <f>IPMT($B$4/12,D80,$B$5*12,-$B$3)</f>
        <v/>
      </c>
      <c r="H80" s="4">
        <f>PPMT($B$4/12,D80,$B$5*12,-$B$3)</f>
        <v/>
      </c>
      <c r="I80" s="4">
        <f>E80-H80</f>
        <v/>
      </c>
    </row>
    <row r="81">
      <c r="D81" t="n">
        <v>78</v>
      </c>
      <c r="E81" s="4">
        <f>I80</f>
        <v/>
      </c>
      <c r="F81" s="4">
        <f>$B$6</f>
        <v/>
      </c>
      <c r="G81" s="4">
        <f>IPMT($B$4/12,D81,$B$5*12,-$B$3)</f>
        <v/>
      </c>
      <c r="H81" s="4">
        <f>PPMT($B$4/12,D81,$B$5*12,-$B$3)</f>
        <v/>
      </c>
      <c r="I81" s="4">
        <f>E81-H81</f>
        <v/>
      </c>
    </row>
    <row r="82">
      <c r="D82" t="n">
        <v>79</v>
      </c>
      <c r="E82" s="4">
        <f>I81</f>
        <v/>
      </c>
      <c r="F82" s="4">
        <f>$B$6</f>
        <v/>
      </c>
      <c r="G82" s="4">
        <f>IPMT($B$4/12,D82,$B$5*12,-$B$3)</f>
        <v/>
      </c>
      <c r="H82" s="4">
        <f>PPMT($B$4/12,D82,$B$5*12,-$B$3)</f>
        <v/>
      </c>
      <c r="I82" s="4">
        <f>E82-H82</f>
        <v/>
      </c>
    </row>
    <row r="83">
      <c r="D83" t="n">
        <v>80</v>
      </c>
      <c r="E83" s="4">
        <f>I82</f>
        <v/>
      </c>
      <c r="F83" s="4">
        <f>$B$6</f>
        <v/>
      </c>
      <c r="G83" s="4">
        <f>IPMT($B$4/12,D83,$B$5*12,-$B$3)</f>
        <v/>
      </c>
      <c r="H83" s="4">
        <f>PPMT($B$4/12,D83,$B$5*12,-$B$3)</f>
        <v/>
      </c>
      <c r="I83" s="4">
        <f>E83-H83</f>
        <v/>
      </c>
    </row>
    <row r="84">
      <c r="D84" t="n">
        <v>81</v>
      </c>
      <c r="E84" s="4">
        <f>I83</f>
        <v/>
      </c>
      <c r="F84" s="4">
        <f>$B$6</f>
        <v/>
      </c>
      <c r="G84" s="4">
        <f>IPMT($B$4/12,D84,$B$5*12,-$B$3)</f>
        <v/>
      </c>
      <c r="H84" s="4">
        <f>PPMT($B$4/12,D84,$B$5*12,-$B$3)</f>
        <v/>
      </c>
      <c r="I84" s="4">
        <f>E84-H84</f>
        <v/>
      </c>
    </row>
    <row r="85">
      <c r="D85" t="n">
        <v>82</v>
      </c>
      <c r="E85" s="4">
        <f>I84</f>
        <v/>
      </c>
      <c r="F85" s="4">
        <f>$B$6</f>
        <v/>
      </c>
      <c r="G85" s="4">
        <f>IPMT($B$4/12,D85,$B$5*12,-$B$3)</f>
        <v/>
      </c>
      <c r="H85" s="4">
        <f>PPMT($B$4/12,D85,$B$5*12,-$B$3)</f>
        <v/>
      </c>
      <c r="I85" s="4">
        <f>E85-H85</f>
        <v/>
      </c>
    </row>
    <row r="86">
      <c r="D86" t="n">
        <v>83</v>
      </c>
      <c r="E86" s="4">
        <f>I85</f>
        <v/>
      </c>
      <c r="F86" s="4">
        <f>$B$6</f>
        <v/>
      </c>
      <c r="G86" s="4">
        <f>IPMT($B$4/12,D86,$B$5*12,-$B$3)</f>
        <v/>
      </c>
      <c r="H86" s="4">
        <f>PPMT($B$4/12,D86,$B$5*12,-$B$3)</f>
        <v/>
      </c>
      <c r="I86" s="4">
        <f>E86-H86</f>
        <v/>
      </c>
    </row>
    <row r="87">
      <c r="D87" t="n">
        <v>84</v>
      </c>
      <c r="E87" s="4">
        <f>I86</f>
        <v/>
      </c>
      <c r="F87" s="4">
        <f>$B$6</f>
        <v/>
      </c>
      <c r="G87" s="4">
        <f>IPMT($B$4/12,D87,$B$5*12,-$B$3)</f>
        <v/>
      </c>
      <c r="H87" s="4">
        <f>PPMT($B$4/12,D87,$B$5*12,-$B$3)</f>
        <v/>
      </c>
      <c r="I87" s="4">
        <f>E87-H87</f>
        <v/>
      </c>
    </row>
    <row r="88">
      <c r="D88" t="n">
        <v>85</v>
      </c>
      <c r="E88" s="4">
        <f>I87</f>
        <v/>
      </c>
      <c r="F88" s="4">
        <f>$B$6</f>
        <v/>
      </c>
      <c r="G88" s="4">
        <f>IPMT($B$4/12,D88,$B$5*12,-$B$3)</f>
        <v/>
      </c>
      <c r="H88" s="4">
        <f>PPMT($B$4/12,D88,$B$5*12,-$B$3)</f>
        <v/>
      </c>
      <c r="I88" s="4">
        <f>E88-H88</f>
        <v/>
      </c>
    </row>
    <row r="89">
      <c r="D89" t="n">
        <v>86</v>
      </c>
      <c r="E89" s="4">
        <f>I88</f>
        <v/>
      </c>
      <c r="F89" s="4">
        <f>$B$6</f>
        <v/>
      </c>
      <c r="G89" s="4">
        <f>IPMT($B$4/12,D89,$B$5*12,-$B$3)</f>
        <v/>
      </c>
      <c r="H89" s="4">
        <f>PPMT($B$4/12,D89,$B$5*12,-$B$3)</f>
        <v/>
      </c>
      <c r="I89" s="4">
        <f>E89-H89</f>
        <v/>
      </c>
    </row>
    <row r="90">
      <c r="D90" t="n">
        <v>87</v>
      </c>
      <c r="E90" s="4">
        <f>I89</f>
        <v/>
      </c>
      <c r="F90" s="4">
        <f>$B$6</f>
        <v/>
      </c>
      <c r="G90" s="4">
        <f>IPMT($B$4/12,D90,$B$5*12,-$B$3)</f>
        <v/>
      </c>
      <c r="H90" s="4">
        <f>PPMT($B$4/12,D90,$B$5*12,-$B$3)</f>
        <v/>
      </c>
      <c r="I90" s="4">
        <f>E90-H90</f>
        <v/>
      </c>
    </row>
    <row r="91">
      <c r="D91" t="n">
        <v>88</v>
      </c>
      <c r="E91" s="4">
        <f>I90</f>
        <v/>
      </c>
      <c r="F91" s="4">
        <f>$B$6</f>
        <v/>
      </c>
      <c r="G91" s="4">
        <f>IPMT($B$4/12,D91,$B$5*12,-$B$3)</f>
        <v/>
      </c>
      <c r="H91" s="4">
        <f>PPMT($B$4/12,D91,$B$5*12,-$B$3)</f>
        <v/>
      </c>
      <c r="I91" s="4">
        <f>E91-H91</f>
        <v/>
      </c>
    </row>
    <row r="92">
      <c r="D92" t="n">
        <v>89</v>
      </c>
      <c r="E92" s="4">
        <f>I91</f>
        <v/>
      </c>
      <c r="F92" s="4">
        <f>$B$6</f>
        <v/>
      </c>
      <c r="G92" s="4">
        <f>IPMT($B$4/12,D92,$B$5*12,-$B$3)</f>
        <v/>
      </c>
      <c r="H92" s="4">
        <f>PPMT($B$4/12,D92,$B$5*12,-$B$3)</f>
        <v/>
      </c>
      <c r="I92" s="4">
        <f>E92-H92</f>
        <v/>
      </c>
    </row>
    <row r="93">
      <c r="D93" t="n">
        <v>90</v>
      </c>
      <c r="E93" s="4">
        <f>I92</f>
        <v/>
      </c>
      <c r="F93" s="4">
        <f>$B$6</f>
        <v/>
      </c>
      <c r="G93" s="4">
        <f>IPMT($B$4/12,D93,$B$5*12,-$B$3)</f>
        <v/>
      </c>
      <c r="H93" s="4">
        <f>PPMT($B$4/12,D93,$B$5*12,-$B$3)</f>
        <v/>
      </c>
      <c r="I93" s="4">
        <f>E93-H93</f>
        <v/>
      </c>
    </row>
    <row r="94">
      <c r="D94" t="n">
        <v>91</v>
      </c>
      <c r="E94" s="4">
        <f>I93</f>
        <v/>
      </c>
      <c r="F94" s="4">
        <f>$B$6</f>
        <v/>
      </c>
      <c r="G94" s="4">
        <f>IPMT($B$4/12,D94,$B$5*12,-$B$3)</f>
        <v/>
      </c>
      <c r="H94" s="4">
        <f>PPMT($B$4/12,D94,$B$5*12,-$B$3)</f>
        <v/>
      </c>
      <c r="I94" s="4">
        <f>E94-H94</f>
        <v/>
      </c>
    </row>
    <row r="95">
      <c r="D95" t="n">
        <v>92</v>
      </c>
      <c r="E95" s="4">
        <f>I94</f>
        <v/>
      </c>
      <c r="F95" s="4">
        <f>$B$6</f>
        <v/>
      </c>
      <c r="G95" s="4">
        <f>IPMT($B$4/12,D95,$B$5*12,-$B$3)</f>
        <v/>
      </c>
      <c r="H95" s="4">
        <f>PPMT($B$4/12,D95,$B$5*12,-$B$3)</f>
        <v/>
      </c>
      <c r="I95" s="4">
        <f>E95-H95</f>
        <v/>
      </c>
    </row>
    <row r="96">
      <c r="D96" t="n">
        <v>93</v>
      </c>
      <c r="E96" s="4">
        <f>I95</f>
        <v/>
      </c>
      <c r="F96" s="4">
        <f>$B$6</f>
        <v/>
      </c>
      <c r="G96" s="4">
        <f>IPMT($B$4/12,D96,$B$5*12,-$B$3)</f>
        <v/>
      </c>
      <c r="H96" s="4">
        <f>PPMT($B$4/12,D96,$B$5*12,-$B$3)</f>
        <v/>
      </c>
      <c r="I96" s="4">
        <f>E96-H96</f>
        <v/>
      </c>
    </row>
    <row r="97">
      <c r="D97" t="n">
        <v>94</v>
      </c>
      <c r="E97" s="4">
        <f>I96</f>
        <v/>
      </c>
      <c r="F97" s="4">
        <f>$B$6</f>
        <v/>
      </c>
      <c r="G97" s="4">
        <f>IPMT($B$4/12,D97,$B$5*12,-$B$3)</f>
        <v/>
      </c>
      <c r="H97" s="4">
        <f>PPMT($B$4/12,D97,$B$5*12,-$B$3)</f>
        <v/>
      </c>
      <c r="I97" s="4">
        <f>E97-H97</f>
        <v/>
      </c>
    </row>
    <row r="98">
      <c r="D98" t="n">
        <v>95</v>
      </c>
      <c r="E98" s="4">
        <f>I97</f>
        <v/>
      </c>
      <c r="F98" s="4">
        <f>$B$6</f>
        <v/>
      </c>
      <c r="G98" s="4">
        <f>IPMT($B$4/12,D98,$B$5*12,-$B$3)</f>
        <v/>
      </c>
      <c r="H98" s="4">
        <f>PPMT($B$4/12,D98,$B$5*12,-$B$3)</f>
        <v/>
      </c>
      <c r="I98" s="4">
        <f>E98-H98</f>
        <v/>
      </c>
    </row>
    <row r="99">
      <c r="D99" t="n">
        <v>96</v>
      </c>
      <c r="E99" s="4">
        <f>I98</f>
        <v/>
      </c>
      <c r="F99" s="4">
        <f>$B$6</f>
        <v/>
      </c>
      <c r="G99" s="4">
        <f>IPMT($B$4/12,D99,$B$5*12,-$B$3)</f>
        <v/>
      </c>
      <c r="H99" s="4">
        <f>PPMT($B$4/12,D99,$B$5*12,-$B$3)</f>
        <v/>
      </c>
      <c r="I99" s="4">
        <f>E99-H99</f>
        <v/>
      </c>
    </row>
    <row r="100">
      <c r="D100" t="n">
        <v>97</v>
      </c>
      <c r="E100" s="4">
        <f>I99</f>
        <v/>
      </c>
      <c r="F100" s="4">
        <f>$B$6</f>
        <v/>
      </c>
      <c r="G100" s="4">
        <f>IPMT($B$4/12,D100,$B$5*12,-$B$3)</f>
        <v/>
      </c>
      <c r="H100" s="4">
        <f>PPMT($B$4/12,D100,$B$5*12,-$B$3)</f>
        <v/>
      </c>
      <c r="I100" s="4">
        <f>E100-H100</f>
        <v/>
      </c>
    </row>
    <row r="101">
      <c r="D101" t="n">
        <v>98</v>
      </c>
      <c r="E101" s="4">
        <f>I100</f>
        <v/>
      </c>
      <c r="F101" s="4">
        <f>$B$6</f>
        <v/>
      </c>
      <c r="G101" s="4">
        <f>IPMT($B$4/12,D101,$B$5*12,-$B$3)</f>
        <v/>
      </c>
      <c r="H101" s="4">
        <f>PPMT($B$4/12,D101,$B$5*12,-$B$3)</f>
        <v/>
      </c>
      <c r="I101" s="4">
        <f>E101-H101</f>
        <v/>
      </c>
    </row>
    <row r="102">
      <c r="D102" t="n">
        <v>99</v>
      </c>
      <c r="E102" s="4">
        <f>I101</f>
        <v/>
      </c>
      <c r="F102" s="4">
        <f>$B$6</f>
        <v/>
      </c>
      <c r="G102" s="4">
        <f>IPMT($B$4/12,D102,$B$5*12,-$B$3)</f>
        <v/>
      </c>
      <c r="H102" s="4">
        <f>PPMT($B$4/12,D102,$B$5*12,-$B$3)</f>
        <v/>
      </c>
      <c r="I102" s="4">
        <f>E102-H102</f>
        <v/>
      </c>
    </row>
    <row r="103">
      <c r="D103" t="n">
        <v>100</v>
      </c>
      <c r="E103" s="4">
        <f>I102</f>
        <v/>
      </c>
      <c r="F103" s="4">
        <f>$B$6</f>
        <v/>
      </c>
      <c r="G103" s="4">
        <f>IPMT($B$4/12,D103,$B$5*12,-$B$3)</f>
        <v/>
      </c>
      <c r="H103" s="4">
        <f>PPMT($B$4/12,D103,$B$5*12,-$B$3)</f>
        <v/>
      </c>
      <c r="I103" s="4">
        <f>E103-H103</f>
        <v/>
      </c>
    </row>
    <row r="104">
      <c r="D104" t="n">
        <v>101</v>
      </c>
      <c r="E104" s="4">
        <f>I103</f>
        <v/>
      </c>
      <c r="F104" s="4">
        <f>$B$6</f>
        <v/>
      </c>
      <c r="G104" s="4">
        <f>IPMT($B$4/12,D104,$B$5*12,-$B$3)</f>
        <v/>
      </c>
      <c r="H104" s="4">
        <f>PPMT($B$4/12,D104,$B$5*12,-$B$3)</f>
        <v/>
      </c>
      <c r="I104" s="4">
        <f>E104-H104</f>
        <v/>
      </c>
    </row>
    <row r="105">
      <c r="D105" t="n">
        <v>102</v>
      </c>
      <c r="E105" s="4">
        <f>I104</f>
        <v/>
      </c>
      <c r="F105" s="4">
        <f>$B$6</f>
        <v/>
      </c>
      <c r="G105" s="4">
        <f>IPMT($B$4/12,D105,$B$5*12,-$B$3)</f>
        <v/>
      </c>
      <c r="H105" s="4">
        <f>PPMT($B$4/12,D105,$B$5*12,-$B$3)</f>
        <v/>
      </c>
      <c r="I105" s="4">
        <f>E105-H105</f>
        <v/>
      </c>
    </row>
    <row r="106">
      <c r="D106" t="n">
        <v>103</v>
      </c>
      <c r="E106" s="4">
        <f>I105</f>
        <v/>
      </c>
      <c r="F106" s="4">
        <f>$B$6</f>
        <v/>
      </c>
      <c r="G106" s="4">
        <f>IPMT($B$4/12,D106,$B$5*12,-$B$3)</f>
        <v/>
      </c>
      <c r="H106" s="4">
        <f>PPMT($B$4/12,D106,$B$5*12,-$B$3)</f>
        <v/>
      </c>
      <c r="I106" s="4">
        <f>E106-H106</f>
        <v/>
      </c>
    </row>
    <row r="107">
      <c r="D107" t="n">
        <v>104</v>
      </c>
      <c r="E107" s="4">
        <f>I106</f>
        <v/>
      </c>
      <c r="F107" s="4">
        <f>$B$6</f>
        <v/>
      </c>
      <c r="G107" s="4">
        <f>IPMT($B$4/12,D107,$B$5*12,-$B$3)</f>
        <v/>
      </c>
      <c r="H107" s="4">
        <f>PPMT($B$4/12,D107,$B$5*12,-$B$3)</f>
        <v/>
      </c>
      <c r="I107" s="4">
        <f>E107-H107</f>
        <v/>
      </c>
    </row>
    <row r="108">
      <c r="D108" t="n">
        <v>105</v>
      </c>
      <c r="E108" s="4">
        <f>I107</f>
        <v/>
      </c>
      <c r="F108" s="4">
        <f>$B$6</f>
        <v/>
      </c>
      <c r="G108" s="4">
        <f>IPMT($B$4/12,D108,$B$5*12,-$B$3)</f>
        <v/>
      </c>
      <c r="H108" s="4">
        <f>PPMT($B$4/12,D108,$B$5*12,-$B$3)</f>
        <v/>
      </c>
      <c r="I108" s="4">
        <f>E108-H108</f>
        <v/>
      </c>
    </row>
    <row r="109">
      <c r="D109" t="n">
        <v>106</v>
      </c>
      <c r="E109" s="4">
        <f>I108</f>
        <v/>
      </c>
      <c r="F109" s="4">
        <f>$B$6</f>
        <v/>
      </c>
      <c r="G109" s="4">
        <f>IPMT($B$4/12,D109,$B$5*12,-$B$3)</f>
        <v/>
      </c>
      <c r="H109" s="4">
        <f>PPMT($B$4/12,D109,$B$5*12,-$B$3)</f>
        <v/>
      </c>
      <c r="I109" s="4">
        <f>E109-H109</f>
        <v/>
      </c>
    </row>
    <row r="110">
      <c r="D110" t="n">
        <v>107</v>
      </c>
      <c r="E110" s="4">
        <f>I109</f>
        <v/>
      </c>
      <c r="F110" s="4">
        <f>$B$6</f>
        <v/>
      </c>
      <c r="G110" s="4">
        <f>IPMT($B$4/12,D110,$B$5*12,-$B$3)</f>
        <v/>
      </c>
      <c r="H110" s="4">
        <f>PPMT($B$4/12,D110,$B$5*12,-$B$3)</f>
        <v/>
      </c>
      <c r="I110" s="4">
        <f>E110-H110</f>
        <v/>
      </c>
    </row>
    <row r="111">
      <c r="D111" t="n">
        <v>108</v>
      </c>
      <c r="E111" s="4">
        <f>I110</f>
        <v/>
      </c>
      <c r="F111" s="4">
        <f>$B$6</f>
        <v/>
      </c>
      <c r="G111" s="4">
        <f>IPMT($B$4/12,D111,$B$5*12,-$B$3)</f>
        <v/>
      </c>
      <c r="H111" s="4">
        <f>PPMT($B$4/12,D111,$B$5*12,-$B$3)</f>
        <v/>
      </c>
      <c r="I111" s="4">
        <f>E111-H111</f>
        <v/>
      </c>
    </row>
    <row r="112">
      <c r="D112" t="n">
        <v>109</v>
      </c>
      <c r="E112" s="4">
        <f>I111</f>
        <v/>
      </c>
      <c r="F112" s="4">
        <f>$B$6</f>
        <v/>
      </c>
      <c r="G112" s="4">
        <f>IPMT($B$4/12,D112,$B$5*12,-$B$3)</f>
        <v/>
      </c>
      <c r="H112" s="4">
        <f>PPMT($B$4/12,D112,$B$5*12,-$B$3)</f>
        <v/>
      </c>
      <c r="I112" s="4">
        <f>E112-H112</f>
        <v/>
      </c>
    </row>
    <row r="113">
      <c r="D113" t="n">
        <v>110</v>
      </c>
      <c r="E113" s="4">
        <f>I112</f>
        <v/>
      </c>
      <c r="F113" s="4">
        <f>$B$6</f>
        <v/>
      </c>
      <c r="G113" s="4">
        <f>IPMT($B$4/12,D113,$B$5*12,-$B$3)</f>
        <v/>
      </c>
      <c r="H113" s="4">
        <f>PPMT($B$4/12,D113,$B$5*12,-$B$3)</f>
        <v/>
      </c>
      <c r="I113" s="4">
        <f>E113-H113</f>
        <v/>
      </c>
    </row>
    <row r="114">
      <c r="D114" t="n">
        <v>111</v>
      </c>
      <c r="E114" s="4">
        <f>I113</f>
        <v/>
      </c>
      <c r="F114" s="4">
        <f>$B$6</f>
        <v/>
      </c>
      <c r="G114" s="4">
        <f>IPMT($B$4/12,D114,$B$5*12,-$B$3)</f>
        <v/>
      </c>
      <c r="H114" s="4">
        <f>PPMT($B$4/12,D114,$B$5*12,-$B$3)</f>
        <v/>
      </c>
      <c r="I114" s="4">
        <f>E114-H114</f>
        <v/>
      </c>
    </row>
    <row r="115">
      <c r="D115" t="n">
        <v>112</v>
      </c>
      <c r="E115" s="4">
        <f>I114</f>
        <v/>
      </c>
      <c r="F115" s="4">
        <f>$B$6</f>
        <v/>
      </c>
      <c r="G115" s="4">
        <f>IPMT($B$4/12,D115,$B$5*12,-$B$3)</f>
        <v/>
      </c>
      <c r="H115" s="4">
        <f>PPMT($B$4/12,D115,$B$5*12,-$B$3)</f>
        <v/>
      </c>
      <c r="I115" s="4">
        <f>E115-H115</f>
        <v/>
      </c>
    </row>
    <row r="116">
      <c r="D116" t="n">
        <v>113</v>
      </c>
      <c r="E116" s="4">
        <f>I115</f>
        <v/>
      </c>
      <c r="F116" s="4">
        <f>$B$6</f>
        <v/>
      </c>
      <c r="G116" s="4">
        <f>IPMT($B$4/12,D116,$B$5*12,-$B$3)</f>
        <v/>
      </c>
      <c r="H116" s="4">
        <f>PPMT($B$4/12,D116,$B$5*12,-$B$3)</f>
        <v/>
      </c>
      <c r="I116" s="4">
        <f>E116-H116</f>
        <v/>
      </c>
    </row>
    <row r="117">
      <c r="D117" t="n">
        <v>114</v>
      </c>
      <c r="E117" s="4">
        <f>I116</f>
        <v/>
      </c>
      <c r="F117" s="4">
        <f>$B$6</f>
        <v/>
      </c>
      <c r="G117" s="4">
        <f>IPMT($B$4/12,D117,$B$5*12,-$B$3)</f>
        <v/>
      </c>
      <c r="H117" s="4">
        <f>PPMT($B$4/12,D117,$B$5*12,-$B$3)</f>
        <v/>
      </c>
      <c r="I117" s="4">
        <f>E117-H117</f>
        <v/>
      </c>
    </row>
    <row r="118">
      <c r="D118" t="n">
        <v>115</v>
      </c>
      <c r="E118" s="4">
        <f>I117</f>
        <v/>
      </c>
      <c r="F118" s="4">
        <f>$B$6</f>
        <v/>
      </c>
      <c r="G118" s="4">
        <f>IPMT($B$4/12,D118,$B$5*12,-$B$3)</f>
        <v/>
      </c>
      <c r="H118" s="4">
        <f>PPMT($B$4/12,D118,$B$5*12,-$B$3)</f>
        <v/>
      </c>
      <c r="I118" s="4">
        <f>E118-H118</f>
        <v/>
      </c>
    </row>
    <row r="119">
      <c r="D119" t="n">
        <v>116</v>
      </c>
      <c r="E119" s="4">
        <f>I118</f>
        <v/>
      </c>
      <c r="F119" s="4">
        <f>$B$6</f>
        <v/>
      </c>
      <c r="G119" s="4">
        <f>IPMT($B$4/12,D119,$B$5*12,-$B$3)</f>
        <v/>
      </c>
      <c r="H119" s="4">
        <f>PPMT($B$4/12,D119,$B$5*12,-$B$3)</f>
        <v/>
      </c>
      <c r="I119" s="4">
        <f>E119-H119</f>
        <v/>
      </c>
    </row>
    <row r="120">
      <c r="D120" t="n">
        <v>117</v>
      </c>
      <c r="E120" s="4">
        <f>I119</f>
        <v/>
      </c>
      <c r="F120" s="4">
        <f>$B$6</f>
        <v/>
      </c>
      <c r="G120" s="4">
        <f>IPMT($B$4/12,D120,$B$5*12,-$B$3)</f>
        <v/>
      </c>
      <c r="H120" s="4">
        <f>PPMT($B$4/12,D120,$B$5*12,-$B$3)</f>
        <v/>
      </c>
      <c r="I120" s="4">
        <f>E120-H120</f>
        <v/>
      </c>
    </row>
    <row r="121">
      <c r="D121" t="n">
        <v>118</v>
      </c>
      <c r="E121" s="4">
        <f>I120</f>
        <v/>
      </c>
      <c r="F121" s="4">
        <f>$B$6</f>
        <v/>
      </c>
      <c r="G121" s="4">
        <f>IPMT($B$4/12,D121,$B$5*12,-$B$3)</f>
        <v/>
      </c>
      <c r="H121" s="4">
        <f>PPMT($B$4/12,D121,$B$5*12,-$B$3)</f>
        <v/>
      </c>
      <c r="I121" s="4">
        <f>E121-H121</f>
        <v/>
      </c>
    </row>
    <row r="122">
      <c r="D122" t="n">
        <v>119</v>
      </c>
      <c r="E122" s="4">
        <f>I121</f>
        <v/>
      </c>
      <c r="F122" s="4">
        <f>$B$6</f>
        <v/>
      </c>
      <c r="G122" s="4">
        <f>IPMT($B$4/12,D122,$B$5*12,-$B$3)</f>
        <v/>
      </c>
      <c r="H122" s="4">
        <f>PPMT($B$4/12,D122,$B$5*12,-$B$3)</f>
        <v/>
      </c>
      <c r="I122" s="4">
        <f>E122-H122</f>
        <v/>
      </c>
    </row>
    <row r="123">
      <c r="D123" t="n">
        <v>120</v>
      </c>
      <c r="E123" s="4">
        <f>I122</f>
        <v/>
      </c>
      <c r="F123" s="4">
        <f>$B$6</f>
        <v/>
      </c>
      <c r="G123" s="4">
        <f>IPMT($B$4/12,D123,$B$5*12,-$B$3)</f>
        <v/>
      </c>
      <c r="H123" s="4">
        <f>PPMT($B$4/12,D123,$B$5*12,-$B$3)</f>
        <v/>
      </c>
      <c r="I123" s="4">
        <f>E123-H123</f>
        <v/>
      </c>
    </row>
    <row r="124">
      <c r="D124" t="n">
        <v>121</v>
      </c>
      <c r="E124" s="4">
        <f>I123</f>
        <v/>
      </c>
      <c r="F124" s="4">
        <f>$B$6</f>
        <v/>
      </c>
      <c r="G124" s="4">
        <f>IPMT($B$4/12,D124,$B$5*12,-$B$3)</f>
        <v/>
      </c>
      <c r="H124" s="4">
        <f>PPMT($B$4/12,D124,$B$5*12,-$B$3)</f>
        <v/>
      </c>
      <c r="I124" s="4">
        <f>E124-H124</f>
        <v/>
      </c>
    </row>
    <row r="125">
      <c r="D125" t="n">
        <v>122</v>
      </c>
      <c r="E125" s="4">
        <f>I124</f>
        <v/>
      </c>
      <c r="F125" s="4">
        <f>$B$6</f>
        <v/>
      </c>
      <c r="G125" s="4">
        <f>IPMT($B$4/12,D125,$B$5*12,-$B$3)</f>
        <v/>
      </c>
      <c r="H125" s="4">
        <f>PPMT($B$4/12,D125,$B$5*12,-$B$3)</f>
        <v/>
      </c>
      <c r="I125" s="4">
        <f>E125-H125</f>
        <v/>
      </c>
    </row>
    <row r="126">
      <c r="D126" t="n">
        <v>123</v>
      </c>
      <c r="E126" s="4">
        <f>I125</f>
        <v/>
      </c>
      <c r="F126" s="4">
        <f>$B$6</f>
        <v/>
      </c>
      <c r="G126" s="4">
        <f>IPMT($B$4/12,D126,$B$5*12,-$B$3)</f>
        <v/>
      </c>
      <c r="H126" s="4">
        <f>PPMT($B$4/12,D126,$B$5*12,-$B$3)</f>
        <v/>
      </c>
      <c r="I126" s="4">
        <f>E126-H126</f>
        <v/>
      </c>
    </row>
    <row r="127">
      <c r="D127" t="n">
        <v>124</v>
      </c>
      <c r="E127" s="4">
        <f>I126</f>
        <v/>
      </c>
      <c r="F127" s="4">
        <f>$B$6</f>
        <v/>
      </c>
      <c r="G127" s="4">
        <f>IPMT($B$4/12,D127,$B$5*12,-$B$3)</f>
        <v/>
      </c>
      <c r="H127" s="4">
        <f>PPMT($B$4/12,D127,$B$5*12,-$B$3)</f>
        <v/>
      </c>
      <c r="I127" s="4">
        <f>E127-H127</f>
        <v/>
      </c>
    </row>
    <row r="128">
      <c r="D128" t="n">
        <v>125</v>
      </c>
      <c r="E128" s="4">
        <f>I127</f>
        <v/>
      </c>
      <c r="F128" s="4">
        <f>$B$6</f>
        <v/>
      </c>
      <c r="G128" s="4">
        <f>IPMT($B$4/12,D128,$B$5*12,-$B$3)</f>
        <v/>
      </c>
      <c r="H128" s="4">
        <f>PPMT($B$4/12,D128,$B$5*12,-$B$3)</f>
        <v/>
      </c>
      <c r="I128" s="4">
        <f>E128-H128</f>
        <v/>
      </c>
    </row>
    <row r="129">
      <c r="D129" t="n">
        <v>126</v>
      </c>
      <c r="E129" s="4">
        <f>I128</f>
        <v/>
      </c>
      <c r="F129" s="4">
        <f>$B$6</f>
        <v/>
      </c>
      <c r="G129" s="4">
        <f>IPMT($B$4/12,D129,$B$5*12,-$B$3)</f>
        <v/>
      </c>
      <c r="H129" s="4">
        <f>PPMT($B$4/12,D129,$B$5*12,-$B$3)</f>
        <v/>
      </c>
      <c r="I129" s="4">
        <f>E129-H129</f>
        <v/>
      </c>
    </row>
    <row r="130">
      <c r="D130" t="n">
        <v>127</v>
      </c>
      <c r="E130" s="4">
        <f>I129</f>
        <v/>
      </c>
      <c r="F130" s="4">
        <f>$B$6</f>
        <v/>
      </c>
      <c r="G130" s="4">
        <f>IPMT($B$4/12,D130,$B$5*12,-$B$3)</f>
        <v/>
      </c>
      <c r="H130" s="4">
        <f>PPMT($B$4/12,D130,$B$5*12,-$B$3)</f>
        <v/>
      </c>
      <c r="I130" s="4">
        <f>E130-H130</f>
        <v/>
      </c>
    </row>
    <row r="131">
      <c r="D131" t="n">
        <v>128</v>
      </c>
      <c r="E131" s="4">
        <f>I130</f>
        <v/>
      </c>
      <c r="F131" s="4">
        <f>$B$6</f>
        <v/>
      </c>
      <c r="G131" s="4">
        <f>IPMT($B$4/12,D131,$B$5*12,-$B$3)</f>
        <v/>
      </c>
      <c r="H131" s="4">
        <f>PPMT($B$4/12,D131,$B$5*12,-$B$3)</f>
        <v/>
      </c>
      <c r="I131" s="4">
        <f>E131-H131</f>
        <v/>
      </c>
    </row>
    <row r="132">
      <c r="D132" t="n">
        <v>129</v>
      </c>
      <c r="E132" s="4">
        <f>I131</f>
        <v/>
      </c>
      <c r="F132" s="4">
        <f>$B$6</f>
        <v/>
      </c>
      <c r="G132" s="4">
        <f>IPMT($B$4/12,D132,$B$5*12,-$B$3)</f>
        <v/>
      </c>
      <c r="H132" s="4">
        <f>PPMT($B$4/12,D132,$B$5*12,-$B$3)</f>
        <v/>
      </c>
      <c r="I132" s="4">
        <f>E132-H132</f>
        <v/>
      </c>
    </row>
    <row r="133">
      <c r="D133" t="n">
        <v>130</v>
      </c>
      <c r="E133" s="4">
        <f>I132</f>
        <v/>
      </c>
      <c r="F133" s="4">
        <f>$B$6</f>
        <v/>
      </c>
      <c r="G133" s="4">
        <f>IPMT($B$4/12,D133,$B$5*12,-$B$3)</f>
        <v/>
      </c>
      <c r="H133" s="4">
        <f>PPMT($B$4/12,D133,$B$5*12,-$B$3)</f>
        <v/>
      </c>
      <c r="I133" s="4">
        <f>E133-H133</f>
        <v/>
      </c>
    </row>
    <row r="134">
      <c r="D134" t="n">
        <v>131</v>
      </c>
      <c r="E134" s="4">
        <f>I133</f>
        <v/>
      </c>
      <c r="F134" s="4">
        <f>$B$6</f>
        <v/>
      </c>
      <c r="G134" s="4">
        <f>IPMT($B$4/12,D134,$B$5*12,-$B$3)</f>
        <v/>
      </c>
      <c r="H134" s="4">
        <f>PPMT($B$4/12,D134,$B$5*12,-$B$3)</f>
        <v/>
      </c>
      <c r="I134" s="4">
        <f>E134-H134</f>
        <v/>
      </c>
    </row>
    <row r="135">
      <c r="D135" t="n">
        <v>132</v>
      </c>
      <c r="E135" s="4">
        <f>I134</f>
        <v/>
      </c>
      <c r="F135" s="4">
        <f>$B$6</f>
        <v/>
      </c>
      <c r="G135" s="4">
        <f>IPMT($B$4/12,D135,$B$5*12,-$B$3)</f>
        <v/>
      </c>
      <c r="H135" s="4">
        <f>PPMT($B$4/12,D135,$B$5*12,-$B$3)</f>
        <v/>
      </c>
      <c r="I135" s="4">
        <f>E135-H135</f>
        <v/>
      </c>
    </row>
    <row r="136">
      <c r="D136" t="n">
        <v>133</v>
      </c>
      <c r="E136" s="4">
        <f>I135</f>
        <v/>
      </c>
      <c r="F136" s="4">
        <f>$B$6</f>
        <v/>
      </c>
      <c r="G136" s="4">
        <f>IPMT($B$4/12,D136,$B$5*12,-$B$3)</f>
        <v/>
      </c>
      <c r="H136" s="4">
        <f>PPMT($B$4/12,D136,$B$5*12,-$B$3)</f>
        <v/>
      </c>
      <c r="I136" s="4">
        <f>E136-H136</f>
        <v/>
      </c>
    </row>
    <row r="137">
      <c r="D137" t="n">
        <v>134</v>
      </c>
      <c r="E137" s="4">
        <f>I136</f>
        <v/>
      </c>
      <c r="F137" s="4">
        <f>$B$6</f>
        <v/>
      </c>
      <c r="G137" s="4">
        <f>IPMT($B$4/12,D137,$B$5*12,-$B$3)</f>
        <v/>
      </c>
      <c r="H137" s="4">
        <f>PPMT($B$4/12,D137,$B$5*12,-$B$3)</f>
        <v/>
      </c>
      <c r="I137" s="4">
        <f>E137-H137</f>
        <v/>
      </c>
    </row>
    <row r="138">
      <c r="D138" t="n">
        <v>135</v>
      </c>
      <c r="E138" s="4">
        <f>I137</f>
        <v/>
      </c>
      <c r="F138" s="4">
        <f>$B$6</f>
        <v/>
      </c>
      <c r="G138" s="4">
        <f>IPMT($B$4/12,D138,$B$5*12,-$B$3)</f>
        <v/>
      </c>
      <c r="H138" s="4">
        <f>PPMT($B$4/12,D138,$B$5*12,-$B$3)</f>
        <v/>
      </c>
      <c r="I138" s="4">
        <f>E138-H138</f>
        <v/>
      </c>
    </row>
    <row r="139">
      <c r="D139" t="n">
        <v>136</v>
      </c>
      <c r="E139" s="4">
        <f>I138</f>
        <v/>
      </c>
      <c r="F139" s="4">
        <f>$B$6</f>
        <v/>
      </c>
      <c r="G139" s="4">
        <f>IPMT($B$4/12,D139,$B$5*12,-$B$3)</f>
        <v/>
      </c>
      <c r="H139" s="4">
        <f>PPMT($B$4/12,D139,$B$5*12,-$B$3)</f>
        <v/>
      </c>
      <c r="I139" s="4">
        <f>E139-H139</f>
        <v/>
      </c>
    </row>
    <row r="140">
      <c r="D140" t="n">
        <v>137</v>
      </c>
      <c r="E140" s="4">
        <f>I139</f>
        <v/>
      </c>
      <c r="F140" s="4">
        <f>$B$6</f>
        <v/>
      </c>
      <c r="G140" s="4">
        <f>IPMT($B$4/12,D140,$B$5*12,-$B$3)</f>
        <v/>
      </c>
      <c r="H140" s="4">
        <f>PPMT($B$4/12,D140,$B$5*12,-$B$3)</f>
        <v/>
      </c>
      <c r="I140" s="4">
        <f>E140-H140</f>
        <v/>
      </c>
    </row>
    <row r="141">
      <c r="D141" t="n">
        <v>138</v>
      </c>
      <c r="E141" s="4">
        <f>I140</f>
        <v/>
      </c>
      <c r="F141" s="4">
        <f>$B$6</f>
        <v/>
      </c>
      <c r="G141" s="4">
        <f>IPMT($B$4/12,D141,$B$5*12,-$B$3)</f>
        <v/>
      </c>
      <c r="H141" s="4">
        <f>PPMT($B$4/12,D141,$B$5*12,-$B$3)</f>
        <v/>
      </c>
      <c r="I141" s="4">
        <f>E141-H141</f>
        <v/>
      </c>
    </row>
    <row r="142">
      <c r="D142" t="n">
        <v>139</v>
      </c>
      <c r="E142" s="4">
        <f>I141</f>
        <v/>
      </c>
      <c r="F142" s="4">
        <f>$B$6</f>
        <v/>
      </c>
      <c r="G142" s="4">
        <f>IPMT($B$4/12,D142,$B$5*12,-$B$3)</f>
        <v/>
      </c>
      <c r="H142" s="4">
        <f>PPMT($B$4/12,D142,$B$5*12,-$B$3)</f>
        <v/>
      </c>
      <c r="I142" s="4">
        <f>E142-H142</f>
        <v/>
      </c>
    </row>
    <row r="143">
      <c r="D143" t="n">
        <v>140</v>
      </c>
      <c r="E143" s="4">
        <f>I142</f>
        <v/>
      </c>
      <c r="F143" s="4">
        <f>$B$6</f>
        <v/>
      </c>
      <c r="G143" s="4">
        <f>IPMT($B$4/12,D143,$B$5*12,-$B$3)</f>
        <v/>
      </c>
      <c r="H143" s="4">
        <f>PPMT($B$4/12,D143,$B$5*12,-$B$3)</f>
        <v/>
      </c>
      <c r="I143" s="4">
        <f>E143-H143</f>
        <v/>
      </c>
    </row>
    <row r="144">
      <c r="D144" t="n">
        <v>141</v>
      </c>
      <c r="E144" s="4">
        <f>I143</f>
        <v/>
      </c>
      <c r="F144" s="4">
        <f>$B$6</f>
        <v/>
      </c>
      <c r="G144" s="4">
        <f>IPMT($B$4/12,D144,$B$5*12,-$B$3)</f>
        <v/>
      </c>
      <c r="H144" s="4">
        <f>PPMT($B$4/12,D144,$B$5*12,-$B$3)</f>
        <v/>
      </c>
      <c r="I144" s="4">
        <f>E144-H144</f>
        <v/>
      </c>
    </row>
    <row r="145">
      <c r="D145" t="n">
        <v>142</v>
      </c>
      <c r="E145" s="4">
        <f>I144</f>
        <v/>
      </c>
      <c r="F145" s="4">
        <f>$B$6</f>
        <v/>
      </c>
      <c r="G145" s="4">
        <f>IPMT($B$4/12,D145,$B$5*12,-$B$3)</f>
        <v/>
      </c>
      <c r="H145" s="4">
        <f>PPMT($B$4/12,D145,$B$5*12,-$B$3)</f>
        <v/>
      </c>
      <c r="I145" s="4">
        <f>E145-H145</f>
        <v/>
      </c>
    </row>
    <row r="146">
      <c r="D146" t="n">
        <v>143</v>
      </c>
      <c r="E146" s="4">
        <f>I145</f>
        <v/>
      </c>
      <c r="F146" s="4">
        <f>$B$6</f>
        <v/>
      </c>
      <c r="G146" s="4">
        <f>IPMT($B$4/12,D146,$B$5*12,-$B$3)</f>
        <v/>
      </c>
      <c r="H146" s="4">
        <f>PPMT($B$4/12,D146,$B$5*12,-$B$3)</f>
        <v/>
      </c>
      <c r="I146" s="4">
        <f>E146-H146</f>
        <v/>
      </c>
    </row>
    <row r="147">
      <c r="D147" t="n">
        <v>144</v>
      </c>
      <c r="E147" s="4">
        <f>I146</f>
        <v/>
      </c>
      <c r="F147" s="4">
        <f>$B$6</f>
        <v/>
      </c>
      <c r="G147" s="4">
        <f>IPMT($B$4/12,D147,$B$5*12,-$B$3)</f>
        <v/>
      </c>
      <c r="H147" s="4">
        <f>PPMT($B$4/12,D147,$B$5*12,-$B$3)</f>
        <v/>
      </c>
      <c r="I147" s="4">
        <f>E147-H147</f>
        <v/>
      </c>
    </row>
    <row r="148">
      <c r="D148" t="n">
        <v>145</v>
      </c>
      <c r="E148" s="4">
        <f>I147</f>
        <v/>
      </c>
      <c r="F148" s="4">
        <f>$B$6</f>
        <v/>
      </c>
      <c r="G148" s="4">
        <f>IPMT($B$4/12,D148,$B$5*12,-$B$3)</f>
        <v/>
      </c>
      <c r="H148" s="4">
        <f>PPMT($B$4/12,D148,$B$5*12,-$B$3)</f>
        <v/>
      </c>
      <c r="I148" s="4">
        <f>E148-H148</f>
        <v/>
      </c>
    </row>
    <row r="149">
      <c r="D149" t="n">
        <v>146</v>
      </c>
      <c r="E149" s="4">
        <f>I148</f>
        <v/>
      </c>
      <c r="F149" s="4">
        <f>$B$6</f>
        <v/>
      </c>
      <c r="G149" s="4">
        <f>IPMT($B$4/12,D149,$B$5*12,-$B$3)</f>
        <v/>
      </c>
      <c r="H149" s="4">
        <f>PPMT($B$4/12,D149,$B$5*12,-$B$3)</f>
        <v/>
      </c>
      <c r="I149" s="4">
        <f>E149-H149</f>
        <v/>
      </c>
    </row>
    <row r="150">
      <c r="D150" t="n">
        <v>147</v>
      </c>
      <c r="E150" s="4">
        <f>I149</f>
        <v/>
      </c>
      <c r="F150" s="4">
        <f>$B$6</f>
        <v/>
      </c>
      <c r="G150" s="4">
        <f>IPMT($B$4/12,D150,$B$5*12,-$B$3)</f>
        <v/>
      </c>
      <c r="H150" s="4">
        <f>PPMT($B$4/12,D150,$B$5*12,-$B$3)</f>
        <v/>
      </c>
      <c r="I150" s="4">
        <f>E150-H150</f>
        <v/>
      </c>
    </row>
    <row r="151">
      <c r="D151" t="n">
        <v>148</v>
      </c>
      <c r="E151" s="4">
        <f>I150</f>
        <v/>
      </c>
      <c r="F151" s="4">
        <f>$B$6</f>
        <v/>
      </c>
      <c r="G151" s="4">
        <f>IPMT($B$4/12,D151,$B$5*12,-$B$3)</f>
        <v/>
      </c>
      <c r="H151" s="4">
        <f>PPMT($B$4/12,D151,$B$5*12,-$B$3)</f>
        <v/>
      </c>
      <c r="I151" s="4">
        <f>E151-H151</f>
        <v/>
      </c>
    </row>
    <row r="152">
      <c r="D152" t="n">
        <v>149</v>
      </c>
      <c r="E152" s="4">
        <f>I151</f>
        <v/>
      </c>
      <c r="F152" s="4">
        <f>$B$6</f>
        <v/>
      </c>
      <c r="G152" s="4">
        <f>IPMT($B$4/12,D152,$B$5*12,-$B$3)</f>
        <v/>
      </c>
      <c r="H152" s="4">
        <f>PPMT($B$4/12,D152,$B$5*12,-$B$3)</f>
        <v/>
      </c>
      <c r="I152" s="4">
        <f>E152-H152</f>
        <v/>
      </c>
    </row>
    <row r="153">
      <c r="D153" t="n">
        <v>150</v>
      </c>
      <c r="E153" s="4">
        <f>I152</f>
        <v/>
      </c>
      <c r="F153" s="4">
        <f>$B$6</f>
        <v/>
      </c>
      <c r="G153" s="4">
        <f>IPMT($B$4/12,D153,$B$5*12,-$B$3)</f>
        <v/>
      </c>
      <c r="H153" s="4">
        <f>PPMT($B$4/12,D153,$B$5*12,-$B$3)</f>
        <v/>
      </c>
      <c r="I153" s="4">
        <f>E153-H153</f>
        <v/>
      </c>
    </row>
    <row r="154">
      <c r="D154" t="n">
        <v>151</v>
      </c>
      <c r="E154" s="4">
        <f>I153</f>
        <v/>
      </c>
      <c r="F154" s="4">
        <f>$B$6</f>
        <v/>
      </c>
      <c r="G154" s="4">
        <f>IPMT($B$4/12,D154,$B$5*12,-$B$3)</f>
        <v/>
      </c>
      <c r="H154" s="4">
        <f>PPMT($B$4/12,D154,$B$5*12,-$B$3)</f>
        <v/>
      </c>
      <c r="I154" s="4">
        <f>E154-H154</f>
        <v/>
      </c>
    </row>
    <row r="155">
      <c r="D155" t="n">
        <v>152</v>
      </c>
      <c r="E155" s="4">
        <f>I154</f>
        <v/>
      </c>
      <c r="F155" s="4">
        <f>$B$6</f>
        <v/>
      </c>
      <c r="G155" s="4">
        <f>IPMT($B$4/12,D155,$B$5*12,-$B$3)</f>
        <v/>
      </c>
      <c r="H155" s="4">
        <f>PPMT($B$4/12,D155,$B$5*12,-$B$3)</f>
        <v/>
      </c>
      <c r="I155" s="4">
        <f>E155-H155</f>
        <v/>
      </c>
    </row>
    <row r="156">
      <c r="D156" t="n">
        <v>153</v>
      </c>
      <c r="E156" s="4">
        <f>I155</f>
        <v/>
      </c>
      <c r="F156" s="4">
        <f>$B$6</f>
        <v/>
      </c>
      <c r="G156" s="4">
        <f>IPMT($B$4/12,D156,$B$5*12,-$B$3)</f>
        <v/>
      </c>
      <c r="H156" s="4">
        <f>PPMT($B$4/12,D156,$B$5*12,-$B$3)</f>
        <v/>
      </c>
      <c r="I156" s="4">
        <f>E156-H156</f>
        <v/>
      </c>
    </row>
    <row r="157">
      <c r="D157" t="n">
        <v>154</v>
      </c>
      <c r="E157" s="4">
        <f>I156</f>
        <v/>
      </c>
      <c r="F157" s="4">
        <f>$B$6</f>
        <v/>
      </c>
      <c r="G157" s="4">
        <f>IPMT($B$4/12,D157,$B$5*12,-$B$3)</f>
        <v/>
      </c>
      <c r="H157" s="4">
        <f>PPMT($B$4/12,D157,$B$5*12,-$B$3)</f>
        <v/>
      </c>
      <c r="I157" s="4">
        <f>E157-H157</f>
        <v/>
      </c>
    </row>
    <row r="158">
      <c r="D158" t="n">
        <v>155</v>
      </c>
      <c r="E158" s="4">
        <f>I157</f>
        <v/>
      </c>
      <c r="F158" s="4">
        <f>$B$6</f>
        <v/>
      </c>
      <c r="G158" s="4">
        <f>IPMT($B$4/12,D158,$B$5*12,-$B$3)</f>
        <v/>
      </c>
      <c r="H158" s="4">
        <f>PPMT($B$4/12,D158,$B$5*12,-$B$3)</f>
        <v/>
      </c>
      <c r="I158" s="4">
        <f>E158-H158</f>
        <v/>
      </c>
    </row>
    <row r="159">
      <c r="D159" t="n">
        <v>156</v>
      </c>
      <c r="E159" s="4">
        <f>I158</f>
        <v/>
      </c>
      <c r="F159" s="4">
        <f>$B$6</f>
        <v/>
      </c>
      <c r="G159" s="4">
        <f>IPMT($B$4/12,D159,$B$5*12,-$B$3)</f>
        <v/>
      </c>
      <c r="H159" s="4">
        <f>PPMT($B$4/12,D159,$B$5*12,-$B$3)</f>
        <v/>
      </c>
      <c r="I159" s="4">
        <f>E159-H159</f>
        <v/>
      </c>
    </row>
    <row r="160">
      <c r="D160" t="n">
        <v>157</v>
      </c>
      <c r="E160" s="4">
        <f>I159</f>
        <v/>
      </c>
      <c r="F160" s="4">
        <f>$B$6</f>
        <v/>
      </c>
      <c r="G160" s="4">
        <f>IPMT($B$4/12,D160,$B$5*12,-$B$3)</f>
        <v/>
      </c>
      <c r="H160" s="4">
        <f>PPMT($B$4/12,D160,$B$5*12,-$B$3)</f>
        <v/>
      </c>
      <c r="I160" s="4">
        <f>E160-H160</f>
        <v/>
      </c>
    </row>
    <row r="161">
      <c r="D161" t="n">
        <v>158</v>
      </c>
      <c r="E161" s="4">
        <f>I160</f>
        <v/>
      </c>
      <c r="F161" s="4">
        <f>$B$6</f>
        <v/>
      </c>
      <c r="G161" s="4">
        <f>IPMT($B$4/12,D161,$B$5*12,-$B$3)</f>
        <v/>
      </c>
      <c r="H161" s="4">
        <f>PPMT($B$4/12,D161,$B$5*12,-$B$3)</f>
        <v/>
      </c>
      <c r="I161" s="4">
        <f>E161-H161</f>
        <v/>
      </c>
    </row>
    <row r="162">
      <c r="D162" t="n">
        <v>159</v>
      </c>
      <c r="E162" s="4">
        <f>I161</f>
        <v/>
      </c>
      <c r="F162" s="4">
        <f>$B$6</f>
        <v/>
      </c>
      <c r="G162" s="4">
        <f>IPMT($B$4/12,D162,$B$5*12,-$B$3)</f>
        <v/>
      </c>
      <c r="H162" s="4">
        <f>PPMT($B$4/12,D162,$B$5*12,-$B$3)</f>
        <v/>
      </c>
      <c r="I162" s="4">
        <f>E162-H162</f>
        <v/>
      </c>
    </row>
    <row r="163">
      <c r="D163" t="n">
        <v>160</v>
      </c>
      <c r="E163" s="4">
        <f>I162</f>
        <v/>
      </c>
      <c r="F163" s="4">
        <f>$B$6</f>
        <v/>
      </c>
      <c r="G163" s="4">
        <f>IPMT($B$4/12,D163,$B$5*12,-$B$3)</f>
        <v/>
      </c>
      <c r="H163" s="4">
        <f>PPMT($B$4/12,D163,$B$5*12,-$B$3)</f>
        <v/>
      </c>
      <c r="I163" s="4">
        <f>E163-H163</f>
        <v/>
      </c>
    </row>
    <row r="164">
      <c r="D164" t="n">
        <v>161</v>
      </c>
      <c r="E164" s="4">
        <f>I163</f>
        <v/>
      </c>
      <c r="F164" s="4">
        <f>$B$6</f>
        <v/>
      </c>
      <c r="G164" s="4">
        <f>IPMT($B$4/12,D164,$B$5*12,-$B$3)</f>
        <v/>
      </c>
      <c r="H164" s="4">
        <f>PPMT($B$4/12,D164,$B$5*12,-$B$3)</f>
        <v/>
      </c>
      <c r="I164" s="4">
        <f>E164-H164</f>
        <v/>
      </c>
    </row>
    <row r="165">
      <c r="D165" t="n">
        <v>162</v>
      </c>
      <c r="E165" s="4">
        <f>I164</f>
        <v/>
      </c>
      <c r="F165" s="4">
        <f>$B$6</f>
        <v/>
      </c>
      <c r="G165" s="4">
        <f>IPMT($B$4/12,D165,$B$5*12,-$B$3)</f>
        <v/>
      </c>
      <c r="H165" s="4">
        <f>PPMT($B$4/12,D165,$B$5*12,-$B$3)</f>
        <v/>
      </c>
      <c r="I165" s="4">
        <f>E165-H165</f>
        <v/>
      </c>
    </row>
    <row r="166">
      <c r="D166" t="n">
        <v>163</v>
      </c>
      <c r="E166" s="4">
        <f>I165</f>
        <v/>
      </c>
      <c r="F166" s="4">
        <f>$B$6</f>
        <v/>
      </c>
      <c r="G166" s="4">
        <f>IPMT($B$4/12,D166,$B$5*12,-$B$3)</f>
        <v/>
      </c>
      <c r="H166" s="4">
        <f>PPMT($B$4/12,D166,$B$5*12,-$B$3)</f>
        <v/>
      </c>
      <c r="I166" s="4">
        <f>E166-H166</f>
        <v/>
      </c>
    </row>
    <row r="167">
      <c r="D167" t="n">
        <v>164</v>
      </c>
      <c r="E167" s="4">
        <f>I166</f>
        <v/>
      </c>
      <c r="F167" s="4">
        <f>$B$6</f>
        <v/>
      </c>
      <c r="G167" s="4">
        <f>IPMT($B$4/12,D167,$B$5*12,-$B$3)</f>
        <v/>
      </c>
      <c r="H167" s="4">
        <f>PPMT($B$4/12,D167,$B$5*12,-$B$3)</f>
        <v/>
      </c>
      <c r="I167" s="4">
        <f>E167-H167</f>
        <v/>
      </c>
    </row>
    <row r="168">
      <c r="D168" t="n">
        <v>165</v>
      </c>
      <c r="E168" s="4">
        <f>I167</f>
        <v/>
      </c>
      <c r="F168" s="4">
        <f>$B$6</f>
        <v/>
      </c>
      <c r="G168" s="4">
        <f>IPMT($B$4/12,D168,$B$5*12,-$B$3)</f>
        <v/>
      </c>
      <c r="H168" s="4">
        <f>PPMT($B$4/12,D168,$B$5*12,-$B$3)</f>
        <v/>
      </c>
      <c r="I168" s="4">
        <f>E168-H168</f>
        <v/>
      </c>
    </row>
    <row r="169">
      <c r="D169" t="n">
        <v>166</v>
      </c>
      <c r="E169" s="4">
        <f>I168</f>
        <v/>
      </c>
      <c r="F169" s="4">
        <f>$B$6</f>
        <v/>
      </c>
      <c r="G169" s="4">
        <f>IPMT($B$4/12,D169,$B$5*12,-$B$3)</f>
        <v/>
      </c>
      <c r="H169" s="4">
        <f>PPMT($B$4/12,D169,$B$5*12,-$B$3)</f>
        <v/>
      </c>
      <c r="I169" s="4">
        <f>E169-H169</f>
        <v/>
      </c>
    </row>
    <row r="170">
      <c r="D170" t="n">
        <v>167</v>
      </c>
      <c r="E170" s="4">
        <f>I169</f>
        <v/>
      </c>
      <c r="F170" s="4">
        <f>$B$6</f>
        <v/>
      </c>
      <c r="G170" s="4">
        <f>IPMT($B$4/12,D170,$B$5*12,-$B$3)</f>
        <v/>
      </c>
      <c r="H170" s="4">
        <f>PPMT($B$4/12,D170,$B$5*12,-$B$3)</f>
        <v/>
      </c>
      <c r="I170" s="4">
        <f>E170-H170</f>
        <v/>
      </c>
    </row>
    <row r="171">
      <c r="D171" t="n">
        <v>168</v>
      </c>
      <c r="E171" s="4">
        <f>I170</f>
        <v/>
      </c>
      <c r="F171" s="4">
        <f>$B$6</f>
        <v/>
      </c>
      <c r="G171" s="4">
        <f>IPMT($B$4/12,D171,$B$5*12,-$B$3)</f>
        <v/>
      </c>
      <c r="H171" s="4">
        <f>PPMT($B$4/12,D171,$B$5*12,-$B$3)</f>
        <v/>
      </c>
      <c r="I171" s="4">
        <f>E171-H171</f>
        <v/>
      </c>
    </row>
    <row r="172">
      <c r="D172" t="n">
        <v>169</v>
      </c>
      <c r="E172" s="4">
        <f>I171</f>
        <v/>
      </c>
      <c r="F172" s="4">
        <f>$B$6</f>
        <v/>
      </c>
      <c r="G172" s="4">
        <f>IPMT($B$4/12,D172,$B$5*12,-$B$3)</f>
        <v/>
      </c>
      <c r="H172" s="4">
        <f>PPMT($B$4/12,D172,$B$5*12,-$B$3)</f>
        <v/>
      </c>
      <c r="I172" s="4">
        <f>E172-H172</f>
        <v/>
      </c>
    </row>
    <row r="173">
      <c r="D173" t="n">
        <v>170</v>
      </c>
      <c r="E173" s="4">
        <f>I172</f>
        <v/>
      </c>
      <c r="F173" s="4">
        <f>$B$6</f>
        <v/>
      </c>
      <c r="G173" s="4">
        <f>IPMT($B$4/12,D173,$B$5*12,-$B$3)</f>
        <v/>
      </c>
      <c r="H173" s="4">
        <f>PPMT($B$4/12,D173,$B$5*12,-$B$3)</f>
        <v/>
      </c>
      <c r="I173" s="4">
        <f>E173-H173</f>
        <v/>
      </c>
    </row>
    <row r="174">
      <c r="D174" t="n">
        <v>171</v>
      </c>
      <c r="E174" s="4">
        <f>I173</f>
        <v/>
      </c>
      <c r="F174" s="4">
        <f>$B$6</f>
        <v/>
      </c>
      <c r="G174" s="4">
        <f>IPMT($B$4/12,D174,$B$5*12,-$B$3)</f>
        <v/>
      </c>
      <c r="H174" s="4">
        <f>PPMT($B$4/12,D174,$B$5*12,-$B$3)</f>
        <v/>
      </c>
      <c r="I174" s="4">
        <f>E174-H174</f>
        <v/>
      </c>
    </row>
    <row r="175">
      <c r="D175" t="n">
        <v>172</v>
      </c>
      <c r="E175" s="4">
        <f>I174</f>
        <v/>
      </c>
      <c r="F175" s="4">
        <f>$B$6</f>
        <v/>
      </c>
      <c r="G175" s="4">
        <f>IPMT($B$4/12,D175,$B$5*12,-$B$3)</f>
        <v/>
      </c>
      <c r="H175" s="4">
        <f>PPMT($B$4/12,D175,$B$5*12,-$B$3)</f>
        <v/>
      </c>
      <c r="I175" s="4">
        <f>E175-H175</f>
        <v/>
      </c>
    </row>
    <row r="176">
      <c r="D176" t="n">
        <v>173</v>
      </c>
      <c r="E176" s="4">
        <f>I175</f>
        <v/>
      </c>
      <c r="F176" s="4">
        <f>$B$6</f>
        <v/>
      </c>
      <c r="G176" s="4">
        <f>IPMT($B$4/12,D176,$B$5*12,-$B$3)</f>
        <v/>
      </c>
      <c r="H176" s="4">
        <f>PPMT($B$4/12,D176,$B$5*12,-$B$3)</f>
        <v/>
      </c>
      <c r="I176" s="4">
        <f>E176-H176</f>
        <v/>
      </c>
    </row>
    <row r="177">
      <c r="D177" t="n">
        <v>174</v>
      </c>
      <c r="E177" s="4">
        <f>I176</f>
        <v/>
      </c>
      <c r="F177" s="4">
        <f>$B$6</f>
        <v/>
      </c>
      <c r="G177" s="4">
        <f>IPMT($B$4/12,D177,$B$5*12,-$B$3)</f>
        <v/>
      </c>
      <c r="H177" s="4">
        <f>PPMT($B$4/12,D177,$B$5*12,-$B$3)</f>
        <v/>
      </c>
      <c r="I177" s="4">
        <f>E177-H177</f>
        <v/>
      </c>
    </row>
    <row r="178">
      <c r="D178" t="n">
        <v>175</v>
      </c>
      <c r="E178" s="4">
        <f>I177</f>
        <v/>
      </c>
      <c r="F178" s="4">
        <f>$B$6</f>
        <v/>
      </c>
      <c r="G178" s="4">
        <f>IPMT($B$4/12,D178,$B$5*12,-$B$3)</f>
        <v/>
      </c>
      <c r="H178" s="4">
        <f>PPMT($B$4/12,D178,$B$5*12,-$B$3)</f>
        <v/>
      </c>
      <c r="I178" s="4">
        <f>E178-H178</f>
        <v/>
      </c>
    </row>
    <row r="179">
      <c r="D179" t="n">
        <v>176</v>
      </c>
      <c r="E179" s="4">
        <f>I178</f>
        <v/>
      </c>
      <c r="F179" s="4">
        <f>$B$6</f>
        <v/>
      </c>
      <c r="G179" s="4">
        <f>IPMT($B$4/12,D179,$B$5*12,-$B$3)</f>
        <v/>
      </c>
      <c r="H179" s="4">
        <f>PPMT($B$4/12,D179,$B$5*12,-$B$3)</f>
        <v/>
      </c>
      <c r="I179" s="4">
        <f>E179-H179</f>
        <v/>
      </c>
    </row>
    <row r="180">
      <c r="D180" t="n">
        <v>177</v>
      </c>
      <c r="E180" s="4">
        <f>I179</f>
        <v/>
      </c>
      <c r="F180" s="4">
        <f>$B$6</f>
        <v/>
      </c>
      <c r="G180" s="4">
        <f>IPMT($B$4/12,D180,$B$5*12,-$B$3)</f>
        <v/>
      </c>
      <c r="H180" s="4">
        <f>PPMT($B$4/12,D180,$B$5*12,-$B$3)</f>
        <v/>
      </c>
      <c r="I180" s="4">
        <f>E180-H180</f>
        <v/>
      </c>
    </row>
    <row r="181">
      <c r="D181" t="n">
        <v>178</v>
      </c>
      <c r="E181" s="4">
        <f>I180</f>
        <v/>
      </c>
      <c r="F181" s="4">
        <f>$B$6</f>
        <v/>
      </c>
      <c r="G181" s="4">
        <f>IPMT($B$4/12,D181,$B$5*12,-$B$3)</f>
        <v/>
      </c>
      <c r="H181" s="4">
        <f>PPMT($B$4/12,D181,$B$5*12,-$B$3)</f>
        <v/>
      </c>
      <c r="I181" s="4">
        <f>E181-H181</f>
        <v/>
      </c>
    </row>
    <row r="182">
      <c r="D182" t="n">
        <v>179</v>
      </c>
      <c r="E182" s="4">
        <f>I181</f>
        <v/>
      </c>
      <c r="F182" s="4">
        <f>$B$6</f>
        <v/>
      </c>
      <c r="G182" s="4">
        <f>IPMT($B$4/12,D182,$B$5*12,-$B$3)</f>
        <v/>
      </c>
      <c r="H182" s="4">
        <f>PPMT($B$4/12,D182,$B$5*12,-$B$3)</f>
        <v/>
      </c>
      <c r="I182" s="4">
        <f>E182-H182</f>
        <v/>
      </c>
    </row>
    <row r="183">
      <c r="D183" t="n">
        <v>180</v>
      </c>
      <c r="E183" s="4">
        <f>I182</f>
        <v/>
      </c>
      <c r="F183" s="4">
        <f>$B$6</f>
        <v/>
      </c>
      <c r="G183" s="4">
        <f>IPMT($B$4/12,D183,$B$5*12,-$B$3)</f>
        <v/>
      </c>
      <c r="H183" s="4">
        <f>PPMT($B$4/12,D183,$B$5*12,-$B$3)</f>
        <v/>
      </c>
      <c r="I183" s="4">
        <f>E183-H183</f>
        <v/>
      </c>
    </row>
    <row r="184">
      <c r="D184" t="n">
        <v>181</v>
      </c>
      <c r="E184" s="4">
        <f>I183</f>
        <v/>
      </c>
      <c r="F184" s="4">
        <f>$B$6</f>
        <v/>
      </c>
      <c r="G184" s="4">
        <f>IPMT($B$4/12,D184,$B$5*12,-$B$3)</f>
        <v/>
      </c>
      <c r="H184" s="4">
        <f>PPMT($B$4/12,D184,$B$5*12,-$B$3)</f>
        <v/>
      </c>
      <c r="I184" s="4">
        <f>E184-H184</f>
        <v/>
      </c>
    </row>
    <row r="185">
      <c r="D185" t="n">
        <v>182</v>
      </c>
      <c r="E185" s="4">
        <f>I184</f>
        <v/>
      </c>
      <c r="F185" s="4">
        <f>$B$6</f>
        <v/>
      </c>
      <c r="G185" s="4">
        <f>IPMT($B$4/12,D185,$B$5*12,-$B$3)</f>
        <v/>
      </c>
      <c r="H185" s="4">
        <f>PPMT($B$4/12,D185,$B$5*12,-$B$3)</f>
        <v/>
      </c>
      <c r="I185" s="4">
        <f>E185-H185</f>
        <v/>
      </c>
    </row>
    <row r="186">
      <c r="D186" t="n">
        <v>183</v>
      </c>
      <c r="E186" s="4">
        <f>I185</f>
        <v/>
      </c>
      <c r="F186" s="4">
        <f>$B$6</f>
        <v/>
      </c>
      <c r="G186" s="4">
        <f>IPMT($B$4/12,D186,$B$5*12,-$B$3)</f>
        <v/>
      </c>
      <c r="H186" s="4">
        <f>PPMT($B$4/12,D186,$B$5*12,-$B$3)</f>
        <v/>
      </c>
      <c r="I186" s="4">
        <f>E186-H186</f>
        <v/>
      </c>
    </row>
    <row r="187">
      <c r="D187" t="n">
        <v>184</v>
      </c>
      <c r="E187" s="4">
        <f>I186</f>
        <v/>
      </c>
      <c r="F187" s="4">
        <f>$B$6</f>
        <v/>
      </c>
      <c r="G187" s="4">
        <f>IPMT($B$4/12,D187,$B$5*12,-$B$3)</f>
        <v/>
      </c>
      <c r="H187" s="4">
        <f>PPMT($B$4/12,D187,$B$5*12,-$B$3)</f>
        <v/>
      </c>
      <c r="I187" s="4">
        <f>E187-H187</f>
        <v/>
      </c>
    </row>
    <row r="188">
      <c r="D188" t="n">
        <v>185</v>
      </c>
      <c r="E188" s="4">
        <f>I187</f>
        <v/>
      </c>
      <c r="F188" s="4">
        <f>$B$6</f>
        <v/>
      </c>
      <c r="G188" s="4">
        <f>IPMT($B$4/12,D188,$B$5*12,-$B$3)</f>
        <v/>
      </c>
      <c r="H188" s="4">
        <f>PPMT($B$4/12,D188,$B$5*12,-$B$3)</f>
        <v/>
      </c>
      <c r="I188" s="4">
        <f>E188-H188</f>
        <v/>
      </c>
    </row>
    <row r="189">
      <c r="D189" t="n">
        <v>186</v>
      </c>
      <c r="E189" s="4">
        <f>I188</f>
        <v/>
      </c>
      <c r="F189" s="4">
        <f>$B$6</f>
        <v/>
      </c>
      <c r="G189" s="4">
        <f>IPMT($B$4/12,D189,$B$5*12,-$B$3)</f>
        <v/>
      </c>
      <c r="H189" s="4">
        <f>PPMT($B$4/12,D189,$B$5*12,-$B$3)</f>
        <v/>
      </c>
      <c r="I189" s="4">
        <f>E189-H189</f>
        <v/>
      </c>
    </row>
    <row r="190">
      <c r="D190" t="n">
        <v>187</v>
      </c>
      <c r="E190" s="4">
        <f>I189</f>
        <v/>
      </c>
      <c r="F190" s="4">
        <f>$B$6</f>
        <v/>
      </c>
      <c r="G190" s="4">
        <f>IPMT($B$4/12,D190,$B$5*12,-$B$3)</f>
        <v/>
      </c>
      <c r="H190" s="4">
        <f>PPMT($B$4/12,D190,$B$5*12,-$B$3)</f>
        <v/>
      </c>
      <c r="I190" s="4">
        <f>E190-H190</f>
        <v/>
      </c>
    </row>
    <row r="191">
      <c r="D191" t="n">
        <v>188</v>
      </c>
      <c r="E191" s="4">
        <f>I190</f>
        <v/>
      </c>
      <c r="F191" s="4">
        <f>$B$6</f>
        <v/>
      </c>
      <c r="G191" s="4">
        <f>IPMT($B$4/12,D191,$B$5*12,-$B$3)</f>
        <v/>
      </c>
      <c r="H191" s="4">
        <f>PPMT($B$4/12,D191,$B$5*12,-$B$3)</f>
        <v/>
      </c>
      <c r="I191" s="4">
        <f>E191-H191</f>
        <v/>
      </c>
    </row>
    <row r="192">
      <c r="D192" t="n">
        <v>189</v>
      </c>
      <c r="E192" s="4">
        <f>I191</f>
        <v/>
      </c>
      <c r="F192" s="4">
        <f>$B$6</f>
        <v/>
      </c>
      <c r="G192" s="4">
        <f>IPMT($B$4/12,D192,$B$5*12,-$B$3)</f>
        <v/>
      </c>
      <c r="H192" s="4">
        <f>PPMT($B$4/12,D192,$B$5*12,-$B$3)</f>
        <v/>
      </c>
      <c r="I192" s="4">
        <f>E192-H192</f>
        <v/>
      </c>
    </row>
    <row r="193">
      <c r="D193" t="n">
        <v>190</v>
      </c>
      <c r="E193" s="4">
        <f>I192</f>
        <v/>
      </c>
      <c r="F193" s="4">
        <f>$B$6</f>
        <v/>
      </c>
      <c r="G193" s="4">
        <f>IPMT($B$4/12,D193,$B$5*12,-$B$3)</f>
        <v/>
      </c>
      <c r="H193" s="4">
        <f>PPMT($B$4/12,D193,$B$5*12,-$B$3)</f>
        <v/>
      </c>
      <c r="I193" s="4">
        <f>E193-H193</f>
        <v/>
      </c>
    </row>
    <row r="194">
      <c r="D194" t="n">
        <v>191</v>
      </c>
      <c r="E194" s="4">
        <f>I193</f>
        <v/>
      </c>
      <c r="F194" s="4">
        <f>$B$6</f>
        <v/>
      </c>
      <c r="G194" s="4">
        <f>IPMT($B$4/12,D194,$B$5*12,-$B$3)</f>
        <v/>
      </c>
      <c r="H194" s="4">
        <f>PPMT($B$4/12,D194,$B$5*12,-$B$3)</f>
        <v/>
      </c>
      <c r="I194" s="4">
        <f>E194-H194</f>
        <v/>
      </c>
    </row>
    <row r="195">
      <c r="D195" t="n">
        <v>192</v>
      </c>
      <c r="E195" s="4">
        <f>I194</f>
        <v/>
      </c>
      <c r="F195" s="4">
        <f>$B$6</f>
        <v/>
      </c>
      <c r="G195" s="4">
        <f>IPMT($B$4/12,D195,$B$5*12,-$B$3)</f>
        <v/>
      </c>
      <c r="H195" s="4">
        <f>PPMT($B$4/12,D195,$B$5*12,-$B$3)</f>
        <v/>
      </c>
      <c r="I195" s="4">
        <f>E195-H195</f>
        <v/>
      </c>
    </row>
    <row r="196">
      <c r="D196" t="n">
        <v>193</v>
      </c>
      <c r="E196" s="4">
        <f>I195</f>
        <v/>
      </c>
      <c r="F196" s="4">
        <f>$B$6</f>
        <v/>
      </c>
      <c r="G196" s="4">
        <f>IPMT($B$4/12,D196,$B$5*12,-$B$3)</f>
        <v/>
      </c>
      <c r="H196" s="4">
        <f>PPMT($B$4/12,D196,$B$5*12,-$B$3)</f>
        <v/>
      </c>
      <c r="I196" s="4">
        <f>E196-H196</f>
        <v/>
      </c>
    </row>
    <row r="197">
      <c r="D197" t="n">
        <v>194</v>
      </c>
      <c r="E197" s="4">
        <f>I196</f>
        <v/>
      </c>
      <c r="F197" s="4">
        <f>$B$6</f>
        <v/>
      </c>
      <c r="G197" s="4">
        <f>IPMT($B$4/12,D197,$B$5*12,-$B$3)</f>
        <v/>
      </c>
      <c r="H197" s="4">
        <f>PPMT($B$4/12,D197,$B$5*12,-$B$3)</f>
        <v/>
      </c>
      <c r="I197" s="4">
        <f>E197-H197</f>
        <v/>
      </c>
    </row>
    <row r="198">
      <c r="D198" t="n">
        <v>195</v>
      </c>
      <c r="E198" s="4">
        <f>I197</f>
        <v/>
      </c>
      <c r="F198" s="4">
        <f>$B$6</f>
        <v/>
      </c>
      <c r="G198" s="4">
        <f>IPMT($B$4/12,D198,$B$5*12,-$B$3)</f>
        <v/>
      </c>
      <c r="H198" s="4">
        <f>PPMT($B$4/12,D198,$B$5*12,-$B$3)</f>
        <v/>
      </c>
      <c r="I198" s="4">
        <f>E198-H198</f>
        <v/>
      </c>
    </row>
    <row r="199">
      <c r="D199" t="n">
        <v>196</v>
      </c>
      <c r="E199" s="4">
        <f>I198</f>
        <v/>
      </c>
      <c r="F199" s="4">
        <f>$B$6</f>
        <v/>
      </c>
      <c r="G199" s="4">
        <f>IPMT($B$4/12,D199,$B$5*12,-$B$3)</f>
        <v/>
      </c>
      <c r="H199" s="4">
        <f>PPMT($B$4/12,D199,$B$5*12,-$B$3)</f>
        <v/>
      </c>
      <c r="I199" s="4">
        <f>E199-H199</f>
        <v/>
      </c>
    </row>
    <row r="200">
      <c r="D200" t="n">
        <v>197</v>
      </c>
      <c r="E200" s="4">
        <f>I199</f>
        <v/>
      </c>
      <c r="F200" s="4">
        <f>$B$6</f>
        <v/>
      </c>
      <c r="G200" s="4">
        <f>IPMT($B$4/12,D200,$B$5*12,-$B$3)</f>
        <v/>
      </c>
      <c r="H200" s="4">
        <f>PPMT($B$4/12,D200,$B$5*12,-$B$3)</f>
        <v/>
      </c>
      <c r="I200" s="4">
        <f>E200-H200</f>
        <v/>
      </c>
    </row>
    <row r="201">
      <c r="D201" t="n">
        <v>198</v>
      </c>
      <c r="E201" s="4">
        <f>I200</f>
        <v/>
      </c>
      <c r="F201" s="4">
        <f>$B$6</f>
        <v/>
      </c>
      <c r="G201" s="4">
        <f>IPMT($B$4/12,D201,$B$5*12,-$B$3)</f>
        <v/>
      </c>
      <c r="H201" s="4">
        <f>PPMT($B$4/12,D201,$B$5*12,-$B$3)</f>
        <v/>
      </c>
      <c r="I201" s="4">
        <f>E201-H201</f>
        <v/>
      </c>
    </row>
    <row r="202">
      <c r="D202" t="n">
        <v>199</v>
      </c>
      <c r="E202" s="4">
        <f>I201</f>
        <v/>
      </c>
      <c r="F202" s="4">
        <f>$B$6</f>
        <v/>
      </c>
      <c r="G202" s="4">
        <f>IPMT($B$4/12,D202,$B$5*12,-$B$3)</f>
        <v/>
      </c>
      <c r="H202" s="4">
        <f>PPMT($B$4/12,D202,$B$5*12,-$B$3)</f>
        <v/>
      </c>
      <c r="I202" s="4">
        <f>E202-H202</f>
        <v/>
      </c>
    </row>
    <row r="203">
      <c r="D203" t="n">
        <v>200</v>
      </c>
      <c r="E203" s="4">
        <f>I202</f>
        <v/>
      </c>
      <c r="F203" s="4">
        <f>$B$6</f>
        <v/>
      </c>
      <c r="G203" s="4">
        <f>IPMT($B$4/12,D203,$B$5*12,-$B$3)</f>
        <v/>
      </c>
      <c r="H203" s="4">
        <f>PPMT($B$4/12,D203,$B$5*12,-$B$3)</f>
        <v/>
      </c>
      <c r="I203" s="4">
        <f>E203-H203</f>
        <v/>
      </c>
    </row>
    <row r="204">
      <c r="D204" t="n">
        <v>201</v>
      </c>
      <c r="E204" s="4">
        <f>I203</f>
        <v/>
      </c>
      <c r="F204" s="4">
        <f>$B$6</f>
        <v/>
      </c>
      <c r="G204" s="4">
        <f>IPMT($B$4/12,D204,$B$5*12,-$B$3)</f>
        <v/>
      </c>
      <c r="H204" s="4">
        <f>PPMT($B$4/12,D204,$B$5*12,-$B$3)</f>
        <v/>
      </c>
      <c r="I204" s="4">
        <f>E204-H204</f>
        <v/>
      </c>
    </row>
    <row r="205">
      <c r="D205" t="n">
        <v>202</v>
      </c>
      <c r="E205" s="4">
        <f>I204</f>
        <v/>
      </c>
      <c r="F205" s="4">
        <f>$B$6</f>
        <v/>
      </c>
      <c r="G205" s="4">
        <f>IPMT($B$4/12,D205,$B$5*12,-$B$3)</f>
        <v/>
      </c>
      <c r="H205" s="4">
        <f>PPMT($B$4/12,D205,$B$5*12,-$B$3)</f>
        <v/>
      </c>
      <c r="I205" s="4">
        <f>E205-H205</f>
        <v/>
      </c>
    </row>
    <row r="206">
      <c r="D206" t="n">
        <v>203</v>
      </c>
      <c r="E206" s="4">
        <f>I205</f>
        <v/>
      </c>
      <c r="F206" s="4">
        <f>$B$6</f>
        <v/>
      </c>
      <c r="G206" s="4">
        <f>IPMT($B$4/12,D206,$B$5*12,-$B$3)</f>
        <v/>
      </c>
      <c r="H206" s="4">
        <f>PPMT($B$4/12,D206,$B$5*12,-$B$3)</f>
        <v/>
      </c>
      <c r="I206" s="4">
        <f>E206-H206</f>
        <v/>
      </c>
    </row>
    <row r="207">
      <c r="D207" t="n">
        <v>204</v>
      </c>
      <c r="E207" s="4">
        <f>I206</f>
        <v/>
      </c>
      <c r="F207" s="4">
        <f>$B$6</f>
        <v/>
      </c>
      <c r="G207" s="4">
        <f>IPMT($B$4/12,D207,$B$5*12,-$B$3)</f>
        <v/>
      </c>
      <c r="H207" s="4">
        <f>PPMT($B$4/12,D207,$B$5*12,-$B$3)</f>
        <v/>
      </c>
      <c r="I207" s="4">
        <f>E207-H207</f>
        <v/>
      </c>
    </row>
    <row r="208">
      <c r="D208" t="n">
        <v>205</v>
      </c>
      <c r="E208" s="4">
        <f>I207</f>
        <v/>
      </c>
      <c r="F208" s="4">
        <f>$B$6</f>
        <v/>
      </c>
      <c r="G208" s="4">
        <f>IPMT($B$4/12,D208,$B$5*12,-$B$3)</f>
        <v/>
      </c>
      <c r="H208" s="4">
        <f>PPMT($B$4/12,D208,$B$5*12,-$B$3)</f>
        <v/>
      </c>
      <c r="I208" s="4">
        <f>E208-H208</f>
        <v/>
      </c>
    </row>
    <row r="209">
      <c r="D209" t="n">
        <v>206</v>
      </c>
      <c r="E209" s="4">
        <f>I208</f>
        <v/>
      </c>
      <c r="F209" s="4">
        <f>$B$6</f>
        <v/>
      </c>
      <c r="G209" s="4">
        <f>IPMT($B$4/12,D209,$B$5*12,-$B$3)</f>
        <v/>
      </c>
      <c r="H209" s="4">
        <f>PPMT($B$4/12,D209,$B$5*12,-$B$3)</f>
        <v/>
      </c>
      <c r="I209" s="4">
        <f>E209-H209</f>
        <v/>
      </c>
    </row>
    <row r="210">
      <c r="D210" t="n">
        <v>207</v>
      </c>
      <c r="E210" s="4">
        <f>I209</f>
        <v/>
      </c>
      <c r="F210" s="4">
        <f>$B$6</f>
        <v/>
      </c>
      <c r="G210" s="4">
        <f>IPMT($B$4/12,D210,$B$5*12,-$B$3)</f>
        <v/>
      </c>
      <c r="H210" s="4">
        <f>PPMT($B$4/12,D210,$B$5*12,-$B$3)</f>
        <v/>
      </c>
      <c r="I210" s="4">
        <f>E210-H210</f>
        <v/>
      </c>
    </row>
    <row r="211">
      <c r="D211" t="n">
        <v>208</v>
      </c>
      <c r="E211" s="4">
        <f>I210</f>
        <v/>
      </c>
      <c r="F211" s="4">
        <f>$B$6</f>
        <v/>
      </c>
      <c r="G211" s="4">
        <f>IPMT($B$4/12,D211,$B$5*12,-$B$3)</f>
        <v/>
      </c>
      <c r="H211" s="4">
        <f>PPMT($B$4/12,D211,$B$5*12,-$B$3)</f>
        <v/>
      </c>
      <c r="I211" s="4">
        <f>E211-H211</f>
        <v/>
      </c>
    </row>
    <row r="212">
      <c r="D212" t="n">
        <v>209</v>
      </c>
      <c r="E212" s="4">
        <f>I211</f>
        <v/>
      </c>
      <c r="F212" s="4">
        <f>$B$6</f>
        <v/>
      </c>
      <c r="G212" s="4">
        <f>IPMT($B$4/12,D212,$B$5*12,-$B$3)</f>
        <v/>
      </c>
      <c r="H212" s="4">
        <f>PPMT($B$4/12,D212,$B$5*12,-$B$3)</f>
        <v/>
      </c>
      <c r="I212" s="4">
        <f>E212-H212</f>
        <v/>
      </c>
    </row>
    <row r="213">
      <c r="D213" t="n">
        <v>210</v>
      </c>
      <c r="E213" s="4">
        <f>I212</f>
        <v/>
      </c>
      <c r="F213" s="4">
        <f>$B$6</f>
        <v/>
      </c>
      <c r="G213" s="4">
        <f>IPMT($B$4/12,D213,$B$5*12,-$B$3)</f>
        <v/>
      </c>
      <c r="H213" s="4">
        <f>PPMT($B$4/12,D213,$B$5*12,-$B$3)</f>
        <v/>
      </c>
      <c r="I213" s="4">
        <f>E213-H213</f>
        <v/>
      </c>
    </row>
    <row r="214">
      <c r="D214" t="n">
        <v>211</v>
      </c>
      <c r="E214" s="4">
        <f>I213</f>
        <v/>
      </c>
      <c r="F214" s="4">
        <f>$B$6</f>
        <v/>
      </c>
      <c r="G214" s="4">
        <f>IPMT($B$4/12,D214,$B$5*12,-$B$3)</f>
        <v/>
      </c>
      <c r="H214" s="4">
        <f>PPMT($B$4/12,D214,$B$5*12,-$B$3)</f>
        <v/>
      </c>
      <c r="I214" s="4">
        <f>E214-H214</f>
        <v/>
      </c>
    </row>
    <row r="215">
      <c r="D215" t="n">
        <v>212</v>
      </c>
      <c r="E215" s="4">
        <f>I214</f>
        <v/>
      </c>
      <c r="F215" s="4">
        <f>$B$6</f>
        <v/>
      </c>
      <c r="G215" s="4">
        <f>IPMT($B$4/12,D215,$B$5*12,-$B$3)</f>
        <v/>
      </c>
      <c r="H215" s="4">
        <f>PPMT($B$4/12,D215,$B$5*12,-$B$3)</f>
        <v/>
      </c>
      <c r="I215" s="4">
        <f>E215-H215</f>
        <v/>
      </c>
    </row>
    <row r="216">
      <c r="D216" t="n">
        <v>213</v>
      </c>
      <c r="E216" s="4">
        <f>I215</f>
        <v/>
      </c>
      <c r="F216" s="4">
        <f>$B$6</f>
        <v/>
      </c>
      <c r="G216" s="4">
        <f>IPMT($B$4/12,D216,$B$5*12,-$B$3)</f>
        <v/>
      </c>
      <c r="H216" s="4">
        <f>PPMT($B$4/12,D216,$B$5*12,-$B$3)</f>
        <v/>
      </c>
      <c r="I216" s="4">
        <f>E216-H216</f>
        <v/>
      </c>
    </row>
    <row r="217">
      <c r="D217" t="n">
        <v>214</v>
      </c>
      <c r="E217" s="4">
        <f>I216</f>
        <v/>
      </c>
      <c r="F217" s="4">
        <f>$B$6</f>
        <v/>
      </c>
      <c r="G217" s="4">
        <f>IPMT($B$4/12,D217,$B$5*12,-$B$3)</f>
        <v/>
      </c>
      <c r="H217" s="4">
        <f>PPMT($B$4/12,D217,$B$5*12,-$B$3)</f>
        <v/>
      </c>
      <c r="I217" s="4">
        <f>E217-H217</f>
        <v/>
      </c>
    </row>
    <row r="218">
      <c r="D218" t="n">
        <v>215</v>
      </c>
      <c r="E218" s="4">
        <f>I217</f>
        <v/>
      </c>
      <c r="F218" s="4">
        <f>$B$6</f>
        <v/>
      </c>
      <c r="G218" s="4">
        <f>IPMT($B$4/12,D218,$B$5*12,-$B$3)</f>
        <v/>
      </c>
      <c r="H218" s="4">
        <f>PPMT($B$4/12,D218,$B$5*12,-$B$3)</f>
        <v/>
      </c>
      <c r="I218" s="4">
        <f>E218-H218</f>
        <v/>
      </c>
    </row>
    <row r="219">
      <c r="D219" t="n">
        <v>216</v>
      </c>
      <c r="E219" s="4">
        <f>I218</f>
        <v/>
      </c>
      <c r="F219" s="4">
        <f>$B$6</f>
        <v/>
      </c>
      <c r="G219" s="4">
        <f>IPMT($B$4/12,D219,$B$5*12,-$B$3)</f>
        <v/>
      </c>
      <c r="H219" s="4">
        <f>PPMT($B$4/12,D219,$B$5*12,-$B$3)</f>
        <v/>
      </c>
      <c r="I219" s="4">
        <f>E219-H219</f>
        <v/>
      </c>
    </row>
    <row r="220">
      <c r="D220" t="n">
        <v>217</v>
      </c>
      <c r="E220" s="4">
        <f>I219</f>
        <v/>
      </c>
      <c r="F220" s="4">
        <f>$B$6</f>
        <v/>
      </c>
      <c r="G220" s="4">
        <f>IPMT($B$4/12,D220,$B$5*12,-$B$3)</f>
        <v/>
      </c>
      <c r="H220" s="4">
        <f>PPMT($B$4/12,D220,$B$5*12,-$B$3)</f>
        <v/>
      </c>
      <c r="I220" s="4">
        <f>E220-H220</f>
        <v/>
      </c>
    </row>
    <row r="221">
      <c r="D221" t="n">
        <v>218</v>
      </c>
      <c r="E221" s="4">
        <f>I220</f>
        <v/>
      </c>
      <c r="F221" s="4">
        <f>$B$6</f>
        <v/>
      </c>
      <c r="G221" s="4">
        <f>IPMT($B$4/12,D221,$B$5*12,-$B$3)</f>
        <v/>
      </c>
      <c r="H221" s="4">
        <f>PPMT($B$4/12,D221,$B$5*12,-$B$3)</f>
        <v/>
      </c>
      <c r="I221" s="4">
        <f>E221-H221</f>
        <v/>
      </c>
    </row>
    <row r="222">
      <c r="D222" t="n">
        <v>219</v>
      </c>
      <c r="E222" s="4">
        <f>I221</f>
        <v/>
      </c>
      <c r="F222" s="4">
        <f>$B$6</f>
        <v/>
      </c>
      <c r="G222" s="4">
        <f>IPMT($B$4/12,D222,$B$5*12,-$B$3)</f>
        <v/>
      </c>
      <c r="H222" s="4">
        <f>PPMT($B$4/12,D222,$B$5*12,-$B$3)</f>
        <v/>
      </c>
      <c r="I222" s="4">
        <f>E222-H222</f>
        <v/>
      </c>
    </row>
    <row r="223">
      <c r="D223" t="n">
        <v>220</v>
      </c>
      <c r="E223" s="4">
        <f>I222</f>
        <v/>
      </c>
      <c r="F223" s="4">
        <f>$B$6</f>
        <v/>
      </c>
      <c r="G223" s="4">
        <f>IPMT($B$4/12,D223,$B$5*12,-$B$3)</f>
        <v/>
      </c>
      <c r="H223" s="4">
        <f>PPMT($B$4/12,D223,$B$5*12,-$B$3)</f>
        <v/>
      </c>
      <c r="I223" s="4">
        <f>E223-H223</f>
        <v/>
      </c>
    </row>
    <row r="224">
      <c r="D224" t="n">
        <v>221</v>
      </c>
      <c r="E224" s="4">
        <f>I223</f>
        <v/>
      </c>
      <c r="F224" s="4">
        <f>$B$6</f>
        <v/>
      </c>
      <c r="G224" s="4">
        <f>IPMT($B$4/12,D224,$B$5*12,-$B$3)</f>
        <v/>
      </c>
      <c r="H224" s="4">
        <f>PPMT($B$4/12,D224,$B$5*12,-$B$3)</f>
        <v/>
      </c>
      <c r="I224" s="4">
        <f>E224-H224</f>
        <v/>
      </c>
    </row>
    <row r="225">
      <c r="D225" t="n">
        <v>222</v>
      </c>
      <c r="E225" s="4">
        <f>I224</f>
        <v/>
      </c>
      <c r="F225" s="4">
        <f>$B$6</f>
        <v/>
      </c>
      <c r="G225" s="4">
        <f>IPMT($B$4/12,D225,$B$5*12,-$B$3)</f>
        <v/>
      </c>
      <c r="H225" s="4">
        <f>PPMT($B$4/12,D225,$B$5*12,-$B$3)</f>
        <v/>
      </c>
      <c r="I225" s="4">
        <f>E225-H225</f>
        <v/>
      </c>
    </row>
    <row r="226">
      <c r="D226" t="n">
        <v>223</v>
      </c>
      <c r="E226" s="4">
        <f>I225</f>
        <v/>
      </c>
      <c r="F226" s="4">
        <f>$B$6</f>
        <v/>
      </c>
      <c r="G226" s="4">
        <f>IPMT($B$4/12,D226,$B$5*12,-$B$3)</f>
        <v/>
      </c>
      <c r="H226" s="4">
        <f>PPMT($B$4/12,D226,$B$5*12,-$B$3)</f>
        <v/>
      </c>
      <c r="I226" s="4">
        <f>E226-H226</f>
        <v/>
      </c>
    </row>
    <row r="227">
      <c r="D227" t="n">
        <v>224</v>
      </c>
      <c r="E227" s="4">
        <f>I226</f>
        <v/>
      </c>
      <c r="F227" s="4">
        <f>$B$6</f>
        <v/>
      </c>
      <c r="G227" s="4">
        <f>IPMT($B$4/12,D227,$B$5*12,-$B$3)</f>
        <v/>
      </c>
      <c r="H227" s="4">
        <f>PPMT($B$4/12,D227,$B$5*12,-$B$3)</f>
        <v/>
      </c>
      <c r="I227" s="4">
        <f>E227-H227</f>
        <v/>
      </c>
    </row>
    <row r="228">
      <c r="D228" t="n">
        <v>225</v>
      </c>
      <c r="E228" s="4">
        <f>I227</f>
        <v/>
      </c>
      <c r="F228" s="4">
        <f>$B$6</f>
        <v/>
      </c>
      <c r="G228" s="4">
        <f>IPMT($B$4/12,D228,$B$5*12,-$B$3)</f>
        <v/>
      </c>
      <c r="H228" s="4">
        <f>PPMT($B$4/12,D228,$B$5*12,-$B$3)</f>
        <v/>
      </c>
      <c r="I228" s="4">
        <f>E228-H228</f>
        <v/>
      </c>
    </row>
    <row r="229">
      <c r="D229" t="n">
        <v>226</v>
      </c>
      <c r="E229" s="4">
        <f>I228</f>
        <v/>
      </c>
      <c r="F229" s="4">
        <f>$B$6</f>
        <v/>
      </c>
      <c r="G229" s="4">
        <f>IPMT($B$4/12,D229,$B$5*12,-$B$3)</f>
        <v/>
      </c>
      <c r="H229" s="4">
        <f>PPMT($B$4/12,D229,$B$5*12,-$B$3)</f>
        <v/>
      </c>
      <c r="I229" s="4">
        <f>E229-H229</f>
        <v/>
      </c>
    </row>
    <row r="230">
      <c r="D230" t="n">
        <v>227</v>
      </c>
      <c r="E230" s="4">
        <f>I229</f>
        <v/>
      </c>
      <c r="F230" s="4">
        <f>$B$6</f>
        <v/>
      </c>
      <c r="G230" s="4">
        <f>IPMT($B$4/12,D230,$B$5*12,-$B$3)</f>
        <v/>
      </c>
      <c r="H230" s="4">
        <f>PPMT($B$4/12,D230,$B$5*12,-$B$3)</f>
        <v/>
      </c>
      <c r="I230" s="4">
        <f>E230-H230</f>
        <v/>
      </c>
    </row>
    <row r="231">
      <c r="D231" t="n">
        <v>228</v>
      </c>
      <c r="E231" s="4">
        <f>I230</f>
        <v/>
      </c>
      <c r="F231" s="4">
        <f>$B$6</f>
        <v/>
      </c>
      <c r="G231" s="4">
        <f>IPMT($B$4/12,D231,$B$5*12,-$B$3)</f>
        <v/>
      </c>
      <c r="H231" s="4">
        <f>PPMT($B$4/12,D231,$B$5*12,-$B$3)</f>
        <v/>
      </c>
      <c r="I231" s="4">
        <f>E231-H231</f>
        <v/>
      </c>
    </row>
    <row r="232">
      <c r="D232" t="n">
        <v>229</v>
      </c>
      <c r="E232" s="4">
        <f>I231</f>
        <v/>
      </c>
      <c r="F232" s="4">
        <f>$B$6</f>
        <v/>
      </c>
      <c r="G232" s="4">
        <f>IPMT($B$4/12,D232,$B$5*12,-$B$3)</f>
        <v/>
      </c>
      <c r="H232" s="4">
        <f>PPMT($B$4/12,D232,$B$5*12,-$B$3)</f>
        <v/>
      </c>
      <c r="I232" s="4">
        <f>E232-H232</f>
        <v/>
      </c>
    </row>
    <row r="233">
      <c r="D233" t="n">
        <v>230</v>
      </c>
      <c r="E233" s="4">
        <f>I232</f>
        <v/>
      </c>
      <c r="F233" s="4">
        <f>$B$6</f>
        <v/>
      </c>
      <c r="G233" s="4">
        <f>IPMT($B$4/12,D233,$B$5*12,-$B$3)</f>
        <v/>
      </c>
      <c r="H233" s="4">
        <f>PPMT($B$4/12,D233,$B$5*12,-$B$3)</f>
        <v/>
      </c>
      <c r="I233" s="4">
        <f>E233-H233</f>
        <v/>
      </c>
    </row>
    <row r="234">
      <c r="D234" t="n">
        <v>231</v>
      </c>
      <c r="E234" s="4">
        <f>I233</f>
        <v/>
      </c>
      <c r="F234" s="4">
        <f>$B$6</f>
        <v/>
      </c>
      <c r="G234" s="4">
        <f>IPMT($B$4/12,D234,$B$5*12,-$B$3)</f>
        <v/>
      </c>
      <c r="H234" s="4">
        <f>PPMT($B$4/12,D234,$B$5*12,-$B$3)</f>
        <v/>
      </c>
      <c r="I234" s="4">
        <f>E234-H234</f>
        <v/>
      </c>
    </row>
    <row r="235">
      <c r="D235" t="n">
        <v>232</v>
      </c>
      <c r="E235" s="4">
        <f>I234</f>
        <v/>
      </c>
      <c r="F235" s="4">
        <f>$B$6</f>
        <v/>
      </c>
      <c r="G235" s="4">
        <f>IPMT($B$4/12,D235,$B$5*12,-$B$3)</f>
        <v/>
      </c>
      <c r="H235" s="4">
        <f>PPMT($B$4/12,D235,$B$5*12,-$B$3)</f>
        <v/>
      </c>
      <c r="I235" s="4">
        <f>E235-H235</f>
        <v/>
      </c>
    </row>
    <row r="236">
      <c r="D236" t="n">
        <v>233</v>
      </c>
      <c r="E236" s="4">
        <f>I235</f>
        <v/>
      </c>
      <c r="F236" s="4">
        <f>$B$6</f>
        <v/>
      </c>
      <c r="G236" s="4">
        <f>IPMT($B$4/12,D236,$B$5*12,-$B$3)</f>
        <v/>
      </c>
      <c r="H236" s="4">
        <f>PPMT($B$4/12,D236,$B$5*12,-$B$3)</f>
        <v/>
      </c>
      <c r="I236" s="4">
        <f>E236-H236</f>
        <v/>
      </c>
    </row>
    <row r="237">
      <c r="D237" t="n">
        <v>234</v>
      </c>
      <c r="E237" s="4">
        <f>I236</f>
        <v/>
      </c>
      <c r="F237" s="4">
        <f>$B$6</f>
        <v/>
      </c>
      <c r="G237" s="4">
        <f>IPMT($B$4/12,D237,$B$5*12,-$B$3)</f>
        <v/>
      </c>
      <c r="H237" s="4">
        <f>PPMT($B$4/12,D237,$B$5*12,-$B$3)</f>
        <v/>
      </c>
      <c r="I237" s="4">
        <f>E237-H237</f>
        <v/>
      </c>
    </row>
    <row r="238">
      <c r="D238" t="n">
        <v>235</v>
      </c>
      <c r="E238" s="4">
        <f>I237</f>
        <v/>
      </c>
      <c r="F238" s="4">
        <f>$B$6</f>
        <v/>
      </c>
      <c r="G238" s="4">
        <f>IPMT($B$4/12,D238,$B$5*12,-$B$3)</f>
        <v/>
      </c>
      <c r="H238" s="4">
        <f>PPMT($B$4/12,D238,$B$5*12,-$B$3)</f>
        <v/>
      </c>
      <c r="I238" s="4">
        <f>E238-H238</f>
        <v/>
      </c>
    </row>
    <row r="239">
      <c r="D239" t="n">
        <v>236</v>
      </c>
      <c r="E239" s="4">
        <f>I238</f>
        <v/>
      </c>
      <c r="F239" s="4">
        <f>$B$6</f>
        <v/>
      </c>
      <c r="G239" s="4">
        <f>IPMT($B$4/12,D239,$B$5*12,-$B$3)</f>
        <v/>
      </c>
      <c r="H239" s="4">
        <f>PPMT($B$4/12,D239,$B$5*12,-$B$3)</f>
        <v/>
      </c>
      <c r="I239" s="4">
        <f>E239-H239</f>
        <v/>
      </c>
    </row>
    <row r="240">
      <c r="D240" t="n">
        <v>237</v>
      </c>
      <c r="E240" s="4">
        <f>I239</f>
        <v/>
      </c>
      <c r="F240" s="4">
        <f>$B$6</f>
        <v/>
      </c>
      <c r="G240" s="4">
        <f>IPMT($B$4/12,D240,$B$5*12,-$B$3)</f>
        <v/>
      </c>
      <c r="H240" s="4">
        <f>PPMT($B$4/12,D240,$B$5*12,-$B$3)</f>
        <v/>
      </c>
      <c r="I240" s="4">
        <f>E240-H240</f>
        <v/>
      </c>
    </row>
    <row r="241">
      <c r="D241" t="n">
        <v>238</v>
      </c>
      <c r="E241" s="4">
        <f>I240</f>
        <v/>
      </c>
      <c r="F241" s="4">
        <f>$B$6</f>
        <v/>
      </c>
      <c r="G241" s="4">
        <f>IPMT($B$4/12,D241,$B$5*12,-$B$3)</f>
        <v/>
      </c>
      <c r="H241" s="4">
        <f>PPMT($B$4/12,D241,$B$5*12,-$B$3)</f>
        <v/>
      </c>
      <c r="I241" s="4">
        <f>E241-H241</f>
        <v/>
      </c>
    </row>
    <row r="242">
      <c r="D242" t="n">
        <v>239</v>
      </c>
      <c r="E242" s="4">
        <f>I241</f>
        <v/>
      </c>
      <c r="F242" s="4">
        <f>$B$6</f>
        <v/>
      </c>
      <c r="G242" s="4">
        <f>IPMT($B$4/12,D242,$B$5*12,-$B$3)</f>
        <v/>
      </c>
      <c r="H242" s="4">
        <f>PPMT($B$4/12,D242,$B$5*12,-$B$3)</f>
        <v/>
      </c>
      <c r="I242" s="4">
        <f>E242-H242</f>
        <v/>
      </c>
    </row>
    <row r="243">
      <c r="D243" t="n">
        <v>240</v>
      </c>
      <c r="E243" s="4">
        <f>I242</f>
        <v/>
      </c>
      <c r="F243" s="4">
        <f>$B$6</f>
        <v/>
      </c>
      <c r="G243" s="4">
        <f>IPMT($B$4/12,D243,$B$5*12,-$B$3)</f>
        <v/>
      </c>
      <c r="H243" s="4">
        <f>PPMT($B$4/12,D243,$B$5*12,-$B$3)</f>
        <v/>
      </c>
      <c r="I243" s="4">
        <f>E243-H243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" customWidth="1" min="3" max="3"/>
    <col width="40" customWidth="1" min="4" max="4"/>
    <col width="14" customWidth="1" min="5" max="5"/>
  </cols>
  <sheetData>
    <row r="1">
      <c r="A1" s="3" t="inlineStr">
        <is>
          <t>SIP maturity</t>
        </is>
      </c>
      <c r="B1" s="3" t="n"/>
      <c r="D1" s="3" t="inlineStr">
        <is>
          <t>Fixed deposit</t>
        </is>
      </c>
      <c r="E1" s="3" t="n"/>
    </row>
    <row r="2">
      <c r="A2" t="inlineStr">
        <is>
          <t>Monthly SIP</t>
        </is>
      </c>
      <c r="B2" s="4" t="n">
        <v>10000</v>
      </c>
      <c r="D2" t="inlineStr">
        <is>
          <t>Deposit</t>
        </is>
      </c>
      <c r="E2" s="4" t="n">
        <v>200000</v>
      </c>
    </row>
    <row r="3">
      <c r="A3" t="inlineStr">
        <is>
          <t>Expected return (yearly)</t>
        </is>
      </c>
      <c r="B3" s="17" t="n">
        <v>0.12</v>
      </c>
      <c r="D3" t="inlineStr">
        <is>
          <t>FD rate (yearly, quarterly compounding)</t>
        </is>
      </c>
      <c r="E3" s="12" t="n">
        <v>0.07099999999999999</v>
      </c>
    </row>
    <row r="4">
      <c r="A4" t="inlineStr">
        <is>
          <t>Years</t>
        </is>
      </c>
      <c r="B4" s="16" t="n">
        <v>15</v>
      </c>
      <c r="D4" t="inlineStr">
        <is>
          <t>Years</t>
        </is>
      </c>
      <c r="E4" s="16" t="n">
        <v>5</v>
      </c>
    </row>
    <row r="5">
      <c r="A5" t="inlineStr">
        <is>
          <t>Maturity value (FV)</t>
        </is>
      </c>
      <c r="B5" s="5" t="n"/>
      <c r="D5" t="inlineStr">
        <is>
          <t>Maturity value (FV)</t>
        </is>
      </c>
      <c r="E5" s="5" t="n"/>
    </row>
    <row r="6">
      <c r="A6" t="inlineStr">
        <is>
          <t>Total invested</t>
        </is>
      </c>
      <c r="B6" s="4">
        <f>B2*B4*12</f>
        <v/>
      </c>
    </row>
    <row r="7">
      <c r="A7" t="inlineStr">
        <is>
          <t>Wealth gained</t>
        </is>
      </c>
      <c r="B7" s="4">
        <f>B5-B6</f>
        <v/>
      </c>
    </row>
    <row r="9">
      <c r="A9" s="3" t="inlineStr">
        <is>
          <t>Goal: ₹1 crore</t>
        </is>
      </c>
      <c r="B9" s="3" t="n"/>
      <c r="D9" s="3" t="inlineStr">
        <is>
          <t>Return needed</t>
        </is>
      </c>
      <c r="E9" s="3" t="n"/>
    </row>
    <row r="10">
      <c r="A10" t="inlineStr">
        <is>
          <t>Target amount</t>
        </is>
      </c>
      <c r="B10" s="4" t="n">
        <v>10000000</v>
      </c>
      <c r="D10" t="inlineStr">
        <is>
          <t>Monthly SIP</t>
        </is>
      </c>
      <c r="E10" s="4" t="n">
        <v>15000</v>
      </c>
    </row>
    <row r="11">
      <c r="A11" t="inlineStr">
        <is>
          <t>Monthly SIP</t>
        </is>
      </c>
      <c r="B11" s="4" t="n">
        <v>25000</v>
      </c>
      <c r="D11" t="inlineStr">
        <is>
          <t>Years</t>
        </is>
      </c>
      <c r="E11" s="16" t="n">
        <v>20</v>
      </c>
    </row>
    <row r="12">
      <c r="A12" t="inlineStr">
        <is>
          <t>Expected return (yearly)</t>
        </is>
      </c>
      <c r="B12" s="17" t="n">
        <v>0.12</v>
      </c>
      <c r="D12" t="inlineStr">
        <is>
          <t>Target amount</t>
        </is>
      </c>
      <c r="E12" s="4" t="n">
        <v>15000000</v>
      </c>
    </row>
    <row r="13">
      <c r="A13" t="inlineStr">
        <is>
          <t>Months needed (NPER)</t>
        </is>
      </c>
      <c r="B13" s="9" t="n"/>
      <c r="D13" t="inlineStr">
        <is>
          <t>Yearly return needed (RATE)</t>
        </is>
      </c>
      <c r="E13" s="18" t="n"/>
    </row>
    <row r="14">
      <c r="A14" t="inlineStr">
        <is>
          <t>Years needed</t>
        </is>
      </c>
      <c r="B14" s="19">
        <f>B13/12</f>
        <v/>
      </c>
    </row>
    <row r="16">
      <c r="A16" s="3" t="inlineStr">
        <is>
          <t>Today's value of a future amount</t>
        </is>
      </c>
      <c r="B16" s="3" t="n"/>
    </row>
    <row r="17">
      <c r="A17" t="inlineStr">
        <is>
          <t>Amount needed later</t>
        </is>
      </c>
      <c r="B17" s="4" t="n">
        <v>10000000</v>
      </c>
    </row>
    <row r="18">
      <c r="A18" t="inlineStr">
        <is>
          <t>Inflation (yearly)</t>
        </is>
      </c>
      <c r="B18" s="17" t="n">
        <v>0.06</v>
      </c>
    </row>
    <row r="19">
      <c r="A19" t="inlineStr">
        <is>
          <t>Years from now</t>
        </is>
      </c>
      <c r="B19" s="16" t="n">
        <v>20</v>
      </c>
    </row>
    <row r="20">
      <c r="A20" t="inlineStr">
        <is>
          <t>Worth in today's money (PV)</t>
        </is>
      </c>
      <c r="B20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" customWidth="1" min="3" max="3"/>
    <col width="40" customWidth="1" min="4" max="4"/>
    <col width="14" customWidth="1" min="5" max="5"/>
  </cols>
  <sheetData>
    <row r="1">
      <c r="A1" s="3" t="inlineStr">
        <is>
          <t>SIP maturity</t>
        </is>
      </c>
      <c r="B1" s="3" t="n"/>
      <c r="D1" s="3" t="inlineStr">
        <is>
          <t>Fixed deposit</t>
        </is>
      </c>
      <c r="E1" s="3" t="n"/>
    </row>
    <row r="2">
      <c r="A2" t="inlineStr">
        <is>
          <t>Monthly SIP</t>
        </is>
      </c>
      <c r="B2" s="4" t="n">
        <v>10000</v>
      </c>
      <c r="D2" t="inlineStr">
        <is>
          <t>Deposit</t>
        </is>
      </c>
      <c r="E2" s="4" t="n">
        <v>200000</v>
      </c>
    </row>
    <row r="3">
      <c r="A3" t="inlineStr">
        <is>
          <t>Expected return (yearly)</t>
        </is>
      </c>
      <c r="B3" s="17" t="n">
        <v>0.12</v>
      </c>
      <c r="D3" t="inlineStr">
        <is>
          <t>FD rate (yearly, quarterly compounding)</t>
        </is>
      </c>
      <c r="E3" s="12" t="n">
        <v>0.07099999999999999</v>
      </c>
    </row>
    <row r="4">
      <c r="A4" t="inlineStr">
        <is>
          <t>Years</t>
        </is>
      </c>
      <c r="B4" s="16" t="n">
        <v>15</v>
      </c>
      <c r="D4" t="inlineStr">
        <is>
          <t>Years</t>
        </is>
      </c>
      <c r="E4" s="16" t="n">
        <v>5</v>
      </c>
    </row>
    <row r="5">
      <c r="A5" t="inlineStr">
        <is>
          <t>Maturity value (FV)</t>
        </is>
      </c>
      <c r="B5" s="5">
        <f>FV(B3/12,B4*12,-B2,0,1)</f>
        <v/>
      </c>
      <c r="D5" t="inlineStr">
        <is>
          <t>Maturity value (FV)</t>
        </is>
      </c>
      <c r="E5" s="5">
        <f>FV(E3/4,E4*4,0,-E2)</f>
        <v/>
      </c>
    </row>
    <row r="6">
      <c r="A6" t="inlineStr">
        <is>
          <t>Total invested</t>
        </is>
      </c>
      <c r="B6" s="4">
        <f>B2*B4*12</f>
        <v/>
      </c>
    </row>
    <row r="7">
      <c r="A7" t="inlineStr">
        <is>
          <t>Wealth gained</t>
        </is>
      </c>
      <c r="B7" s="4">
        <f>B5-B6</f>
        <v/>
      </c>
    </row>
    <row r="9">
      <c r="A9" s="3" t="inlineStr">
        <is>
          <t>Goal: ₹1 crore</t>
        </is>
      </c>
      <c r="B9" s="3" t="n"/>
      <c r="D9" s="3" t="inlineStr">
        <is>
          <t>Return needed</t>
        </is>
      </c>
      <c r="E9" s="3" t="n"/>
    </row>
    <row r="10">
      <c r="A10" t="inlineStr">
        <is>
          <t>Target amount</t>
        </is>
      </c>
      <c r="B10" s="4" t="n">
        <v>10000000</v>
      </c>
      <c r="D10" t="inlineStr">
        <is>
          <t>Monthly SIP</t>
        </is>
      </c>
      <c r="E10" s="4" t="n">
        <v>15000</v>
      </c>
    </row>
    <row r="11">
      <c r="A11" t="inlineStr">
        <is>
          <t>Monthly SIP</t>
        </is>
      </c>
      <c r="B11" s="4" t="n">
        <v>25000</v>
      </c>
      <c r="D11" t="inlineStr">
        <is>
          <t>Years</t>
        </is>
      </c>
      <c r="E11" s="16" t="n">
        <v>20</v>
      </c>
    </row>
    <row r="12">
      <c r="A12" t="inlineStr">
        <is>
          <t>Expected return (yearly)</t>
        </is>
      </c>
      <c r="B12" s="17" t="n">
        <v>0.12</v>
      </c>
      <c r="D12" t="inlineStr">
        <is>
          <t>Target amount</t>
        </is>
      </c>
      <c r="E12" s="4" t="n">
        <v>15000000</v>
      </c>
    </row>
    <row r="13">
      <c r="A13" t="inlineStr">
        <is>
          <t>Months needed (NPER)</t>
        </is>
      </c>
      <c r="B13" s="9">
        <f>NPER(B12/12,-B11,0,B10,1)</f>
        <v/>
      </c>
      <c r="D13" t="inlineStr">
        <is>
          <t>Yearly return needed (RATE)</t>
        </is>
      </c>
      <c r="E13" s="18">
        <f>RATE(E11*12,-E10,0,E12,1)*12</f>
        <v/>
      </c>
    </row>
    <row r="14">
      <c r="A14" t="inlineStr">
        <is>
          <t>Years needed</t>
        </is>
      </c>
      <c r="B14" s="19">
        <f>B13/12</f>
        <v/>
      </c>
    </row>
    <row r="16">
      <c r="A16" s="3" t="inlineStr">
        <is>
          <t>Today's value of a future amount</t>
        </is>
      </c>
      <c r="B16" s="3" t="n"/>
    </row>
    <row r="17">
      <c r="A17" t="inlineStr">
        <is>
          <t>Amount needed later</t>
        </is>
      </c>
      <c r="B17" s="4" t="n">
        <v>10000000</v>
      </c>
      <c r="D17" s="8" t="inlineStr">
        <is>
          <t>SIP for ₹1 crore in 15 years (challenge)</t>
        </is>
      </c>
      <c r="E17" s="4">
        <f>PMT(B12/12,15*12,0,-B10,1)</f>
        <v/>
      </c>
    </row>
    <row r="18">
      <c r="A18" t="inlineStr">
        <is>
          <t>Inflation (yearly)</t>
        </is>
      </c>
      <c r="B18" s="17" t="n">
        <v>0.06</v>
      </c>
    </row>
    <row r="19">
      <c r="A19" t="inlineStr">
        <is>
          <t>Years from now</t>
        </is>
      </c>
      <c r="B19" s="16" t="n">
        <v>20</v>
      </c>
    </row>
    <row r="20">
      <c r="A20" t="inlineStr">
        <is>
          <t>Worth in today's money (PV)</t>
        </is>
      </c>
      <c r="B20" s="5">
        <f>PV(B18,B19,0,-B17)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3" customWidth="1" min="4" max="4"/>
    <col width="12" customWidth="1" min="5" max="5"/>
    <col width="22" customWidth="1" min="6" max="6"/>
    <col width="14" customWidth="1" min="7" max="7"/>
    <col width="20" customWidth="1" min="8" max="8"/>
    <col width="12" customWidth="1" min="9" max="9"/>
  </cols>
  <sheetData>
    <row r="1">
      <c r="A1" s="3" t="inlineStr">
        <is>
          <t>Year</t>
        </is>
      </c>
      <c r="B1" s="3" t="inlineStr">
        <is>
          <t>Project A: new machine</t>
        </is>
      </c>
      <c r="C1" s="3" t="inlineStr">
        <is>
          <t>Project B: new branch</t>
        </is>
      </c>
      <c r="E1" s="3" t="inlineStr">
        <is>
          <t>Date</t>
        </is>
      </c>
      <c r="F1" s="3" t="inlineStr">
        <is>
          <t>Mutual fund cash flow</t>
        </is>
      </c>
      <c r="H1" s="3" t="inlineStr">
        <is>
          <t>Measure</t>
        </is>
      </c>
      <c r="I1" s="3" t="inlineStr">
        <is>
          <t>Value</t>
        </is>
      </c>
    </row>
    <row r="2">
      <c r="A2" t="n">
        <v>0</v>
      </c>
      <c r="B2" s="4" t="n">
        <v>-1000000</v>
      </c>
      <c r="C2" s="4" t="n">
        <v>-1000000</v>
      </c>
      <c r="E2" s="13" t="n">
        <v>44656</v>
      </c>
      <c r="F2" s="4" t="n">
        <v>-100000</v>
      </c>
      <c r="H2" t="inlineStr">
        <is>
          <t>XIRR (yearly return)</t>
        </is>
      </c>
      <c r="I2" s="20" t="n"/>
    </row>
    <row r="3">
      <c r="A3" t="n">
        <v>1</v>
      </c>
      <c r="B3" s="4" t="n">
        <v>350000</v>
      </c>
      <c r="C3" s="4" t="n">
        <v>100000</v>
      </c>
      <c r="E3" s="13" t="n">
        <v>44816</v>
      </c>
      <c r="F3" s="4" t="n">
        <v>-50000</v>
      </c>
      <c r="H3" t="inlineStr">
        <is>
          <t>XNPV at 8%</t>
        </is>
      </c>
      <c r="I3" s="5" t="n"/>
    </row>
    <row r="4">
      <c r="A4" t="n">
        <v>2</v>
      </c>
      <c r="B4" s="4" t="n">
        <v>350000</v>
      </c>
      <c r="C4" s="4" t="n">
        <v>200000</v>
      </c>
      <c r="E4" s="13" t="n">
        <v>44946</v>
      </c>
      <c r="F4" s="4" t="n">
        <v>-75000</v>
      </c>
    </row>
    <row r="5">
      <c r="A5" t="n">
        <v>3</v>
      </c>
      <c r="B5" s="4" t="n">
        <v>300000</v>
      </c>
      <c r="C5" s="4" t="n">
        <v>300000</v>
      </c>
      <c r="E5" s="13" t="n">
        <v>45122</v>
      </c>
      <c r="F5" s="4" t="n">
        <v>-50000</v>
      </c>
    </row>
    <row r="6">
      <c r="A6" t="n">
        <v>4</v>
      </c>
      <c r="B6" s="4" t="n">
        <v>250000</v>
      </c>
      <c r="C6" s="4" t="n">
        <v>450000</v>
      </c>
      <c r="E6" s="13" t="n">
        <v>45325</v>
      </c>
      <c r="F6" s="4" t="n">
        <v>-100000</v>
      </c>
    </row>
    <row r="7">
      <c r="A7" t="n">
        <v>5</v>
      </c>
      <c r="B7" s="4" t="n">
        <v>200000</v>
      </c>
      <c r="C7" s="4" t="n">
        <v>600000</v>
      </c>
      <c r="E7" s="13" t="n">
        <v>45526</v>
      </c>
      <c r="F7" s="4" t="n">
        <v>-60000</v>
      </c>
    </row>
    <row r="8">
      <c r="E8" s="13" t="n">
        <v>45930</v>
      </c>
      <c r="F8" s="4" t="n">
        <v>560000</v>
      </c>
      <c r="G8" s="7" t="inlineStr">
        <is>
          <t>Current value</t>
        </is>
      </c>
    </row>
    <row r="9">
      <c r="A9" s="8" t="inlineStr">
        <is>
          <t>Discount rate</t>
        </is>
      </c>
      <c r="B9" s="17" t="n">
        <v>0.1</v>
      </c>
    </row>
    <row r="10">
      <c r="A10" s="8" t="inlineStr">
        <is>
          <t>NPV</t>
        </is>
      </c>
      <c r="B10" s="5" t="n"/>
      <c r="C10" s="5" t="n"/>
    </row>
    <row r="11">
      <c r="A11" s="8" t="inlineStr">
        <is>
          <t>IRR</t>
        </is>
      </c>
      <c r="B11" s="20" t="n"/>
      <c r="C11" s="20" t="n"/>
    </row>
    <row r="12">
      <c r="A12" s="8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3" customWidth="1" min="4" max="4"/>
    <col width="12" customWidth="1" min="5" max="5"/>
    <col width="22" customWidth="1" min="6" max="6"/>
    <col width="14" customWidth="1" min="7" max="7"/>
    <col width="20" customWidth="1" min="8" max="8"/>
    <col width="12" customWidth="1" min="9" max="9"/>
  </cols>
  <sheetData>
    <row r="1">
      <c r="A1" s="3" t="inlineStr">
        <is>
          <t>Year</t>
        </is>
      </c>
      <c r="B1" s="3" t="inlineStr">
        <is>
          <t>Project A: new machine</t>
        </is>
      </c>
      <c r="C1" s="3" t="inlineStr">
        <is>
          <t>Project B: new branch</t>
        </is>
      </c>
      <c r="E1" s="3" t="inlineStr">
        <is>
          <t>Date</t>
        </is>
      </c>
      <c r="F1" s="3" t="inlineStr">
        <is>
          <t>Mutual fund cash flow</t>
        </is>
      </c>
      <c r="H1" s="3" t="inlineStr">
        <is>
          <t>Measure</t>
        </is>
      </c>
      <c r="I1" s="3" t="inlineStr">
        <is>
          <t>Value</t>
        </is>
      </c>
    </row>
    <row r="2">
      <c r="A2" t="n">
        <v>0</v>
      </c>
      <c r="B2" s="4" t="n">
        <v>-1000000</v>
      </c>
      <c r="C2" s="4" t="n">
        <v>-1000000</v>
      </c>
      <c r="E2" s="13" t="n">
        <v>44656</v>
      </c>
      <c r="F2" s="4" t="n">
        <v>-100000</v>
      </c>
      <c r="H2" t="inlineStr">
        <is>
          <t>XIRR (yearly return)</t>
        </is>
      </c>
      <c r="I2" s="20">
        <f>XIRR(F2:F8,E2:E8)</f>
        <v/>
      </c>
    </row>
    <row r="3">
      <c r="A3" t="n">
        <v>1</v>
      </c>
      <c r="B3" s="4" t="n">
        <v>350000</v>
      </c>
      <c r="C3" s="4" t="n">
        <v>100000</v>
      </c>
      <c r="E3" s="13" t="n">
        <v>44816</v>
      </c>
      <c r="F3" s="4" t="n">
        <v>-50000</v>
      </c>
      <c r="H3" t="inlineStr">
        <is>
          <t>XNPV at 8%</t>
        </is>
      </c>
      <c r="I3" s="5">
        <f>XNPV(0.08,F2:F8,E2:E8)</f>
        <v/>
      </c>
    </row>
    <row r="4">
      <c r="A4" t="n">
        <v>2</v>
      </c>
      <c r="B4" s="4" t="n">
        <v>350000</v>
      </c>
      <c r="C4" s="4" t="n">
        <v>200000</v>
      </c>
      <c r="E4" s="13" t="n">
        <v>44946</v>
      </c>
      <c r="F4" s="4" t="n">
        <v>-75000</v>
      </c>
    </row>
    <row r="5">
      <c r="A5" t="n">
        <v>3</v>
      </c>
      <c r="B5" s="4" t="n">
        <v>300000</v>
      </c>
      <c r="C5" s="4" t="n">
        <v>300000</v>
      </c>
      <c r="E5" s="13" t="n">
        <v>45122</v>
      </c>
      <c r="F5" s="4" t="n">
        <v>-50000</v>
      </c>
    </row>
    <row r="6">
      <c r="A6" t="n">
        <v>4</v>
      </c>
      <c r="B6" s="4" t="n">
        <v>250000</v>
      </c>
      <c r="C6" s="4" t="n">
        <v>450000</v>
      </c>
      <c r="E6" s="13" t="n">
        <v>45325</v>
      </c>
      <c r="F6" s="4" t="n">
        <v>-100000</v>
      </c>
    </row>
    <row r="7">
      <c r="A7" t="n">
        <v>5</v>
      </c>
      <c r="B7" s="4" t="n">
        <v>200000</v>
      </c>
      <c r="C7" s="4" t="n">
        <v>600000</v>
      </c>
      <c r="E7" s="13" t="n">
        <v>45526</v>
      </c>
      <c r="F7" s="4" t="n">
        <v>-60000</v>
      </c>
    </row>
    <row r="8">
      <c r="E8" s="13" t="n">
        <v>45930</v>
      </c>
      <c r="F8" s="4" t="n">
        <v>560000</v>
      </c>
      <c r="G8" s="7" t="inlineStr">
        <is>
          <t>Current value</t>
        </is>
      </c>
    </row>
    <row r="9">
      <c r="A9" s="8" t="inlineStr">
        <is>
          <t>Discount rate</t>
        </is>
      </c>
      <c r="B9" s="17" t="n">
        <v>0.1</v>
      </c>
    </row>
    <row r="10">
      <c r="A10" s="8" t="inlineStr">
        <is>
          <t>NPV</t>
        </is>
      </c>
      <c r="B10" s="5">
        <f>NPV($B$9,B3:B7)+B2</f>
        <v/>
      </c>
      <c r="C10" s="5">
        <f>NPV($B$9,C3:C7)+C2</f>
        <v/>
      </c>
    </row>
    <row r="11">
      <c r="A11" s="8" t="inlineStr">
        <is>
          <t>IRR</t>
        </is>
      </c>
      <c r="B11" s="20">
        <f>IRR(B2:B7)</f>
        <v/>
      </c>
      <c r="C11" s="20">
        <f>IRR(C2:C7)</f>
        <v/>
      </c>
    </row>
    <row r="12">
      <c r="A12" s="8" t="inlineStr">
        <is>
          <t>Profitability index (challenge)</t>
        </is>
      </c>
      <c r="B12" s="21">
        <f>(B10-B2)/-B2</f>
        <v/>
      </c>
      <c r="C12" s="21">
        <f>(C10-C2)/-C2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>
      <c r="A1" s="8" t="inlineStr">
        <is>
          <t>Asset</t>
        </is>
      </c>
      <c r="B1" t="inlineStr">
        <is>
          <t>Delivery van</t>
        </is>
      </c>
    </row>
    <row r="2">
      <c r="A2" s="8" t="inlineStr">
        <is>
          <t>Cost</t>
        </is>
      </c>
      <c r="B2" s="4" t="n">
        <v>800000</v>
      </c>
    </row>
    <row r="3">
      <c r="A3" s="8" t="inlineStr">
        <is>
          <t>Salvage value</t>
        </is>
      </c>
      <c r="B3" s="4" t="n">
        <v>100000</v>
      </c>
    </row>
    <row r="4">
      <c r="A4" s="8" t="inlineStr">
        <is>
          <t>Useful life (years)</t>
        </is>
      </c>
      <c r="B4" t="n">
        <v>8</v>
      </c>
    </row>
    <row r="6">
      <c r="A6" s="3" t="inlineStr">
        <is>
          <t>Year</t>
        </is>
      </c>
      <c r="B6" s="3" t="inlineStr">
        <is>
          <t>SLN</t>
        </is>
      </c>
      <c r="C6" s="3" t="inlineStr">
        <is>
          <t>DB (written-down value)</t>
        </is>
      </c>
      <c r="D6" s="3" t="inlineStr">
        <is>
          <t>DDB</t>
        </is>
      </c>
      <c r="E6" s="3" t="inlineStr">
        <is>
          <t>Book value (SLN)</t>
        </is>
      </c>
      <c r="F6" s="3" t="inlineStr">
        <is>
          <t>Book value (DDB)</t>
        </is>
      </c>
    </row>
    <row r="7">
      <c r="A7" t="n">
        <v>1</v>
      </c>
      <c r="B7" s="5" t="n"/>
      <c r="C7" s="5" t="n"/>
      <c r="D7" s="5" t="n"/>
      <c r="E7" s="5" t="n"/>
      <c r="F7" s="5" t="n"/>
    </row>
    <row r="8">
      <c r="A8" t="n">
        <v>2</v>
      </c>
      <c r="B8" s="5" t="n"/>
      <c r="C8" s="5" t="n"/>
      <c r="D8" s="5" t="n"/>
      <c r="E8" s="5" t="n"/>
      <c r="F8" s="5" t="n"/>
    </row>
    <row r="9">
      <c r="A9" t="n">
        <v>3</v>
      </c>
      <c r="B9" s="5" t="n"/>
      <c r="C9" s="5" t="n"/>
      <c r="D9" s="5" t="n"/>
      <c r="E9" s="5" t="n"/>
      <c r="F9" s="5" t="n"/>
    </row>
    <row r="10">
      <c r="A10" t="n">
        <v>4</v>
      </c>
      <c r="B10" s="5" t="n"/>
      <c r="C10" s="5" t="n"/>
      <c r="D10" s="5" t="n"/>
      <c r="E10" s="5" t="n"/>
      <c r="F10" s="5" t="n"/>
    </row>
    <row r="11">
      <c r="A11" t="n">
        <v>5</v>
      </c>
      <c r="B11" s="5" t="n"/>
      <c r="C11" s="5" t="n"/>
      <c r="D11" s="5" t="n"/>
      <c r="E11" s="5" t="n"/>
      <c r="F11" s="5" t="n"/>
    </row>
    <row r="12">
      <c r="A12" t="n">
        <v>6</v>
      </c>
      <c r="B12" s="5" t="n"/>
      <c r="C12" s="5" t="n"/>
      <c r="D12" s="5" t="n"/>
      <c r="E12" s="5" t="n"/>
      <c r="F12" s="5" t="n"/>
    </row>
    <row r="13">
      <c r="A13" t="n">
        <v>7</v>
      </c>
      <c r="B13" s="5" t="n"/>
      <c r="C13" s="5" t="n"/>
      <c r="D13" s="5" t="n"/>
      <c r="E13" s="5" t="n"/>
      <c r="F13" s="5" t="n"/>
    </row>
    <row r="14">
      <c r="A14" t="n">
        <v>8</v>
      </c>
      <c r="B14" s="5" t="n"/>
      <c r="C14" s="5" t="n"/>
      <c r="D14" s="5" t="n"/>
      <c r="E14" s="5" t="n"/>
      <c r="F14" s="5" t="n"/>
    </row>
    <row r="15">
      <c r="A15" s="8" t="inlineStr">
        <is>
          <t>Total</t>
        </is>
      </c>
      <c r="B15" s="4">
        <f>SUM(B7:B14)</f>
        <v/>
      </c>
      <c r="C15" s="4">
        <f>SUM(C7:C14)</f>
        <v/>
      </c>
      <c r="D15" s="4">
        <f>SUM(D7:D14)</f>
        <v/>
      </c>
      <c r="E15" s="4" t="n"/>
      <c r="F15" s="4" t="n"/>
    </row>
    <row r="17">
      <c r="A17" s="3" t="inlineStr">
        <is>
          <t>Asset</t>
        </is>
      </c>
      <c r="B17" s="3" t="inlineStr">
        <is>
          <t>Purchase date</t>
        </is>
      </c>
      <c r="C17" s="3" t="inlineStr">
        <is>
          <t>Cost</t>
        </is>
      </c>
      <c r="D17" s="3" t="inlineStr">
        <is>
          <t>Salvage value</t>
        </is>
      </c>
      <c r="E17" s="3" t="inlineStr">
        <is>
          <t>Life (years)</t>
        </is>
      </c>
      <c r="F17" s="3" t="inlineStr">
        <is>
          <t>Yearly SLN</t>
        </is>
      </c>
    </row>
    <row r="18">
      <c r="A18" t="inlineStr">
        <is>
          <t>Laptops (10 units)</t>
        </is>
      </c>
      <c r="B18" s="13" t="n">
        <v>45757</v>
      </c>
      <c r="C18" s="4" t="n">
        <v>650000</v>
      </c>
      <c r="D18" s="4" t="n">
        <v>32500</v>
      </c>
      <c r="E18" t="n">
        <v>3</v>
      </c>
      <c r="F18" s="5" t="n"/>
    </row>
    <row r="19">
      <c r="A19" t="inlineStr">
        <is>
          <t>Office furniture</t>
        </is>
      </c>
      <c r="B19" s="13" t="n">
        <v>45779</v>
      </c>
      <c r="C19" s="4" t="n">
        <v>420000</v>
      </c>
      <c r="D19" s="4" t="n">
        <v>21000</v>
      </c>
      <c r="E19" t="n">
        <v>10</v>
      </c>
      <c r="F19" s="5" t="n"/>
    </row>
    <row r="20">
      <c r="A20" t="inlineStr">
        <is>
          <t>Air conditioners</t>
        </is>
      </c>
      <c r="B20" s="13" t="n">
        <v>45826</v>
      </c>
      <c r="C20" s="4" t="n">
        <v>360000</v>
      </c>
      <c r="D20" s="4" t="n">
        <v>18000</v>
      </c>
      <c r="E20" t="n">
        <v>8</v>
      </c>
      <c r="F20" s="5" t="n"/>
    </row>
    <row r="21">
      <c r="A21" t="inlineStr">
        <is>
          <t>Server rack</t>
        </is>
      </c>
      <c r="B21" s="13" t="n">
        <v>45845</v>
      </c>
      <c r="C21" s="4" t="n">
        <v>900000</v>
      </c>
      <c r="D21" s="4" t="n">
        <v>45000</v>
      </c>
      <c r="E21" t="n">
        <v>6</v>
      </c>
      <c r="F21" s="5" t="n"/>
    </row>
    <row r="22">
      <c r="A22" t="inlineStr">
        <is>
          <t>Delivery van</t>
        </is>
      </c>
      <c r="B22" s="13" t="n">
        <v>45748</v>
      </c>
      <c r="C22" s="4" t="n">
        <v>800000</v>
      </c>
      <c r="D22" s="4" t="n">
        <v>100000</v>
      </c>
      <c r="E22" t="n">
        <v>8</v>
      </c>
      <c r="F22" s="5" t="n"/>
    </row>
    <row r="23">
      <c r="E23" s="8" t="inlineStr">
        <is>
          <t>Total</t>
        </is>
      </c>
      <c r="F23" s="4">
        <f>SUM(F18:F22)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>
      <c r="A1" s="8" t="inlineStr">
        <is>
          <t>Asset</t>
        </is>
      </c>
      <c r="B1" t="inlineStr">
        <is>
          <t>Delivery van</t>
        </is>
      </c>
    </row>
    <row r="2">
      <c r="A2" s="8" t="inlineStr">
        <is>
          <t>Cost</t>
        </is>
      </c>
      <c r="B2" s="4" t="n">
        <v>800000</v>
      </c>
    </row>
    <row r="3">
      <c r="A3" s="8" t="inlineStr">
        <is>
          <t>Salvage value</t>
        </is>
      </c>
      <c r="B3" s="4" t="n">
        <v>100000</v>
      </c>
    </row>
    <row r="4">
      <c r="A4" s="8" t="inlineStr">
        <is>
          <t>Useful life (years)</t>
        </is>
      </c>
      <c r="B4" t="n">
        <v>8</v>
      </c>
    </row>
    <row r="6">
      <c r="A6" s="3" t="inlineStr">
        <is>
          <t>Year</t>
        </is>
      </c>
      <c r="B6" s="3" t="inlineStr">
        <is>
          <t>SLN</t>
        </is>
      </c>
      <c r="C6" s="3" t="inlineStr">
        <is>
          <t>DB (written-down value)</t>
        </is>
      </c>
      <c r="D6" s="3" t="inlineStr">
        <is>
          <t>DDB</t>
        </is>
      </c>
      <c r="E6" s="3" t="inlineStr">
        <is>
          <t>Book value (SLN)</t>
        </is>
      </c>
      <c r="F6" s="3" t="inlineStr">
        <is>
          <t>Book value (DDB)</t>
        </is>
      </c>
      <c r="G6" s="3" t="inlineStr">
        <is>
          <t>Book value (DB) (challenge)</t>
        </is>
      </c>
    </row>
    <row r="7">
      <c r="A7" t="n">
        <v>1</v>
      </c>
      <c r="B7" s="5">
        <f>SLN($B$2,$B$3,$B$4)</f>
        <v/>
      </c>
      <c r="C7" s="5">
        <f>DB($B$2,$B$3,$B$4,A7)</f>
        <v/>
      </c>
      <c r="D7" s="5">
        <f>DDB($B$2,$B$3,$B$4,A7)</f>
        <v/>
      </c>
      <c r="E7" s="5">
        <f>$B$2-SUM($B$7:B7)</f>
        <v/>
      </c>
      <c r="F7" s="5">
        <f>$B$2-SUM($D$7:D7)</f>
        <v/>
      </c>
      <c r="G7" s="4">
        <f>$B$2-SUM($C$7:C7)</f>
        <v/>
      </c>
    </row>
    <row r="8">
      <c r="A8" t="n">
        <v>2</v>
      </c>
      <c r="B8" s="5">
        <f>SLN($B$2,$B$3,$B$4)</f>
        <v/>
      </c>
      <c r="C8" s="5">
        <f>DB($B$2,$B$3,$B$4,A8)</f>
        <v/>
      </c>
      <c r="D8" s="5">
        <f>DDB($B$2,$B$3,$B$4,A8)</f>
        <v/>
      </c>
      <c r="E8" s="5">
        <f>$B$2-SUM($B$7:B8)</f>
        <v/>
      </c>
      <c r="F8" s="5">
        <f>$B$2-SUM($D$7:D8)</f>
        <v/>
      </c>
      <c r="G8" s="4">
        <f>$B$2-SUM($C$7:C8)</f>
        <v/>
      </c>
    </row>
    <row r="9">
      <c r="A9" t="n">
        <v>3</v>
      </c>
      <c r="B9" s="5">
        <f>SLN($B$2,$B$3,$B$4)</f>
        <v/>
      </c>
      <c r="C9" s="5">
        <f>DB($B$2,$B$3,$B$4,A9)</f>
        <v/>
      </c>
      <c r="D9" s="5">
        <f>DDB($B$2,$B$3,$B$4,A9)</f>
        <v/>
      </c>
      <c r="E9" s="5">
        <f>$B$2-SUM($B$7:B9)</f>
        <v/>
      </c>
      <c r="F9" s="5">
        <f>$B$2-SUM($D$7:D9)</f>
        <v/>
      </c>
      <c r="G9" s="4">
        <f>$B$2-SUM($C$7:C9)</f>
        <v/>
      </c>
    </row>
    <row r="10">
      <c r="A10" t="n">
        <v>4</v>
      </c>
      <c r="B10" s="5">
        <f>SLN($B$2,$B$3,$B$4)</f>
        <v/>
      </c>
      <c r="C10" s="5">
        <f>DB($B$2,$B$3,$B$4,A10)</f>
        <v/>
      </c>
      <c r="D10" s="5">
        <f>DDB($B$2,$B$3,$B$4,A10)</f>
        <v/>
      </c>
      <c r="E10" s="5">
        <f>$B$2-SUM($B$7:B10)</f>
        <v/>
      </c>
      <c r="F10" s="5">
        <f>$B$2-SUM($D$7:D10)</f>
        <v/>
      </c>
      <c r="G10" s="4">
        <f>$B$2-SUM($C$7:C10)</f>
        <v/>
      </c>
    </row>
    <row r="11">
      <c r="A11" t="n">
        <v>5</v>
      </c>
      <c r="B11" s="5">
        <f>SLN($B$2,$B$3,$B$4)</f>
        <v/>
      </c>
      <c r="C11" s="5">
        <f>DB($B$2,$B$3,$B$4,A11)</f>
        <v/>
      </c>
      <c r="D11" s="5">
        <f>DDB($B$2,$B$3,$B$4,A11)</f>
        <v/>
      </c>
      <c r="E11" s="5">
        <f>$B$2-SUM($B$7:B11)</f>
        <v/>
      </c>
      <c r="F11" s="5">
        <f>$B$2-SUM($D$7:D11)</f>
        <v/>
      </c>
      <c r="G11" s="4">
        <f>$B$2-SUM($C$7:C11)</f>
        <v/>
      </c>
    </row>
    <row r="12">
      <c r="A12" t="n">
        <v>6</v>
      </c>
      <c r="B12" s="5">
        <f>SLN($B$2,$B$3,$B$4)</f>
        <v/>
      </c>
      <c r="C12" s="5">
        <f>DB($B$2,$B$3,$B$4,A12)</f>
        <v/>
      </c>
      <c r="D12" s="5">
        <f>DDB($B$2,$B$3,$B$4,A12)</f>
        <v/>
      </c>
      <c r="E12" s="5">
        <f>$B$2-SUM($B$7:B12)</f>
        <v/>
      </c>
      <c r="F12" s="5">
        <f>$B$2-SUM($D$7:D12)</f>
        <v/>
      </c>
      <c r="G12" s="4">
        <f>$B$2-SUM($C$7:C12)</f>
        <v/>
      </c>
    </row>
    <row r="13">
      <c r="A13" t="n">
        <v>7</v>
      </c>
      <c r="B13" s="5">
        <f>SLN($B$2,$B$3,$B$4)</f>
        <v/>
      </c>
      <c r="C13" s="5">
        <f>DB($B$2,$B$3,$B$4,A13)</f>
        <v/>
      </c>
      <c r="D13" s="5">
        <f>DDB($B$2,$B$3,$B$4,A13)</f>
        <v/>
      </c>
      <c r="E13" s="5">
        <f>$B$2-SUM($B$7:B13)</f>
        <v/>
      </c>
      <c r="F13" s="5">
        <f>$B$2-SUM($D$7:D13)</f>
        <v/>
      </c>
      <c r="G13" s="4">
        <f>$B$2-SUM($C$7:C13)</f>
        <v/>
      </c>
    </row>
    <row r="14">
      <c r="A14" t="n">
        <v>8</v>
      </c>
      <c r="B14" s="5">
        <f>SLN($B$2,$B$3,$B$4)</f>
        <v/>
      </c>
      <c r="C14" s="5">
        <f>DB($B$2,$B$3,$B$4,A14)</f>
        <v/>
      </c>
      <c r="D14" s="5">
        <f>DDB($B$2,$B$3,$B$4,A14)</f>
        <v/>
      </c>
      <c r="E14" s="5">
        <f>$B$2-SUM($B$7:B14)</f>
        <v/>
      </c>
      <c r="F14" s="5">
        <f>$B$2-SUM($D$7:D14)</f>
        <v/>
      </c>
      <c r="G14" s="4">
        <f>$B$2-SUM($C$7:C14)</f>
        <v/>
      </c>
    </row>
    <row r="15">
      <c r="A15" s="8" t="inlineStr">
        <is>
          <t>Total</t>
        </is>
      </c>
      <c r="B15" s="4">
        <f>SUM(B7:B14)</f>
        <v/>
      </c>
      <c r="C15" s="4">
        <f>SUM(C7:C14)</f>
        <v/>
      </c>
      <c r="D15" s="4">
        <f>SUM(D7:D14)</f>
        <v/>
      </c>
      <c r="E15" s="4" t="n"/>
      <c r="F15" s="4" t="n"/>
    </row>
    <row r="17">
      <c r="A17" s="3" t="inlineStr">
        <is>
          <t>Asset</t>
        </is>
      </c>
      <c r="B17" s="3" t="inlineStr">
        <is>
          <t>Purchase date</t>
        </is>
      </c>
      <c r="C17" s="3" t="inlineStr">
        <is>
          <t>Cost</t>
        </is>
      </c>
      <c r="D17" s="3" t="inlineStr">
        <is>
          <t>Salvage value</t>
        </is>
      </c>
      <c r="E17" s="3" t="inlineStr">
        <is>
          <t>Life (years)</t>
        </is>
      </c>
      <c r="F17" s="3" t="inlineStr">
        <is>
          <t>Yearly SLN</t>
        </is>
      </c>
    </row>
    <row r="18">
      <c r="A18" t="inlineStr">
        <is>
          <t>Laptops (10 units)</t>
        </is>
      </c>
      <c r="B18" s="13" t="n">
        <v>45757</v>
      </c>
      <c r="C18" s="4" t="n">
        <v>650000</v>
      </c>
      <c r="D18" s="4" t="n">
        <v>32500</v>
      </c>
      <c r="E18" t="n">
        <v>3</v>
      </c>
      <c r="F18" s="5">
        <f>SLN(C18,D18,E18)</f>
        <v/>
      </c>
    </row>
    <row r="19">
      <c r="A19" t="inlineStr">
        <is>
          <t>Office furniture</t>
        </is>
      </c>
      <c r="B19" s="13" t="n">
        <v>45779</v>
      </c>
      <c r="C19" s="4" t="n">
        <v>420000</v>
      </c>
      <c r="D19" s="4" t="n">
        <v>21000</v>
      </c>
      <c r="E19" t="n">
        <v>10</v>
      </c>
      <c r="F19" s="5">
        <f>SLN(C19,D19,E19)</f>
        <v/>
      </c>
    </row>
    <row r="20">
      <c r="A20" t="inlineStr">
        <is>
          <t>Air conditioners</t>
        </is>
      </c>
      <c r="B20" s="13" t="n">
        <v>45826</v>
      </c>
      <c r="C20" s="4" t="n">
        <v>360000</v>
      </c>
      <c r="D20" s="4" t="n">
        <v>18000</v>
      </c>
      <c r="E20" t="n">
        <v>8</v>
      </c>
      <c r="F20" s="5">
        <f>SLN(C20,D20,E20)</f>
        <v/>
      </c>
    </row>
    <row r="21">
      <c r="A21" t="inlineStr">
        <is>
          <t>Server rack</t>
        </is>
      </c>
      <c r="B21" s="13" t="n">
        <v>45845</v>
      </c>
      <c r="C21" s="4" t="n">
        <v>900000</v>
      </c>
      <c r="D21" s="4" t="n">
        <v>45000</v>
      </c>
      <c r="E21" t="n">
        <v>6</v>
      </c>
      <c r="F21" s="5">
        <f>SLN(C21,D21,E21)</f>
        <v/>
      </c>
    </row>
    <row r="22">
      <c r="A22" t="inlineStr">
        <is>
          <t>Delivery van</t>
        </is>
      </c>
      <c r="B22" s="13" t="n">
        <v>45748</v>
      </c>
      <c r="C22" s="4" t="n">
        <v>800000</v>
      </c>
      <c r="D22" s="4" t="n">
        <v>100000</v>
      </c>
      <c r="E22" t="n">
        <v>8</v>
      </c>
      <c r="F22" s="5">
        <f>SLN(C22,D22,E22)</f>
        <v/>
      </c>
    </row>
    <row r="23">
      <c r="E23" s="8" t="inlineStr">
        <is>
          <t>Total</t>
        </is>
      </c>
      <c r="F23" s="4">
        <f>SUM(F18:F22)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8" customWidth="1" min="4" max="4"/>
    <col width="18" customWidth="1" min="5" max="5"/>
    <col width="14" customWidth="1" min="6" max="6"/>
    <col width="9" customWidth="1" min="7" max="7"/>
    <col width="12" customWidth="1" min="8" max="8"/>
    <col width="12" customWidth="1" min="9" max="9"/>
    <col width="13" customWidth="1" min="10" max="10"/>
    <col width="13" customWidth="1" min="11" max="11"/>
    <col width="3" customWidth="1" min="12" max="12"/>
    <col width="12" customWidth="1" min="13" max="13"/>
    <col width="8" customWidth="1" min="14" max="14"/>
    <col width="3" customWidth="1" min="15" max="15"/>
    <col width="6" customWidth="1" min="16" max="16"/>
    <col width="38" customWidth="1" min="17" max="17"/>
    <col width="3" customWidth="1" min="18" max="18"/>
    <col width="8" customWidth="1" min="19" max="19"/>
    <col width="16" customWidth="1" min="20" max="20"/>
  </cols>
  <sheetData>
    <row r="1">
      <c r="A1" s="1" t="inlineStr">
        <is>
          <t>TAX INVOICE</t>
        </is>
      </c>
      <c r="D1" s="8" t="inlineStr">
        <is>
          <t>Shree Ganesh Traders, Bhiwandi, Maharashtra</t>
        </is>
      </c>
      <c r="P1" s="3" t="inlineStr">
        <is>
          <t>Code</t>
        </is>
      </c>
      <c r="Q1" s="3" t="inlineStr">
        <is>
          <t>State</t>
        </is>
      </c>
      <c r="S1" s="3" t="inlineStr">
        <is>
          <t>Number</t>
        </is>
      </c>
      <c r="T1" s="3" t="inlineStr">
        <is>
          <t>Words</t>
        </is>
      </c>
    </row>
    <row r="2">
      <c r="P2" t="inlineStr">
        <is>
          <t>01</t>
        </is>
      </c>
      <c r="Q2" t="inlineStr">
        <is>
          <t>Jammu and Kashmir</t>
        </is>
      </c>
      <c r="S2" t="n">
        <v>0</v>
      </c>
    </row>
    <row r="3">
      <c r="A3" s="8" t="inlineStr">
        <is>
          <t>Seller GSTIN</t>
        </is>
      </c>
      <c r="B3" t="inlineStr">
        <is>
          <t>27AAGCS4821K1Z3</t>
        </is>
      </c>
      <c r="D3" s="8" t="inlineStr">
        <is>
          <t>Buyer name</t>
        </is>
      </c>
      <c r="E3" t="inlineStr">
        <is>
          <t>Kaveri Electricals</t>
        </is>
      </c>
      <c r="P3" t="inlineStr">
        <is>
          <t>02</t>
        </is>
      </c>
      <c r="Q3" t="inlineStr">
        <is>
          <t>Himachal Pradesh</t>
        </is>
      </c>
      <c r="S3" t="n">
        <v>1</v>
      </c>
      <c r="T3" t="inlineStr">
        <is>
          <t>One</t>
        </is>
      </c>
    </row>
    <row r="4">
      <c r="A4" s="8" t="inlineStr">
        <is>
          <t>Seller state code</t>
        </is>
      </c>
      <c r="B4" s="6" t="n"/>
      <c r="D4" s="8" t="inlineStr">
        <is>
          <t>Buyer GSTIN</t>
        </is>
      </c>
      <c r="E4" t="inlineStr">
        <is>
          <t>29AAFCK7712M1Z8</t>
        </is>
      </c>
      <c r="P4" t="inlineStr">
        <is>
          <t>03</t>
        </is>
      </c>
      <c r="Q4" t="inlineStr">
        <is>
          <t>Punjab</t>
        </is>
      </c>
      <c r="S4" t="n">
        <v>2</v>
      </c>
      <c r="T4" t="inlineStr">
        <is>
          <t>Two</t>
        </is>
      </c>
    </row>
    <row r="5">
      <c r="A5" s="8" t="inlineStr">
        <is>
          <t>Invoice No</t>
        </is>
      </c>
      <c r="B5" s="6" t="n"/>
      <c r="D5" s="8" t="inlineStr">
        <is>
          <t>Buyer state code</t>
        </is>
      </c>
      <c r="E5" s="6" t="n"/>
      <c r="P5" t="inlineStr">
        <is>
          <t>04</t>
        </is>
      </c>
      <c r="Q5" t="inlineStr">
        <is>
          <t>Chandigarh</t>
        </is>
      </c>
      <c r="S5" t="n">
        <v>3</v>
      </c>
      <c r="T5" t="inlineStr">
        <is>
          <t>Three</t>
        </is>
      </c>
    </row>
    <row r="6">
      <c r="A6" s="8" t="inlineStr">
        <is>
          <t>Invoice date</t>
        </is>
      </c>
      <c r="B6" s="13" t="n">
        <v>45945</v>
      </c>
      <c r="D6" s="8" t="inlineStr">
        <is>
          <t>Supply type</t>
        </is>
      </c>
      <c r="E6" s="6" t="n"/>
      <c r="P6" t="inlineStr">
        <is>
          <t>05</t>
        </is>
      </c>
      <c r="Q6" t="inlineStr">
        <is>
          <t>Uttarakhand</t>
        </is>
      </c>
      <c r="S6" t="n">
        <v>4</v>
      </c>
      <c r="T6" t="inlineStr">
        <is>
          <t>Four</t>
        </is>
      </c>
    </row>
    <row r="7">
      <c r="A7" s="8" t="inlineStr">
        <is>
          <t>Invoice serial</t>
        </is>
      </c>
      <c r="B7" t="n">
        <v>42</v>
      </c>
      <c r="D7" s="8" t="inlineStr">
        <is>
          <t>Place of supply</t>
        </is>
      </c>
      <c r="E7" s="6" t="n"/>
      <c r="P7" t="inlineStr">
        <is>
          <t>06</t>
        </is>
      </c>
      <c r="Q7" t="inlineStr">
        <is>
          <t>Haryana</t>
        </is>
      </c>
      <c r="S7" t="n">
        <v>5</v>
      </c>
      <c r="T7" t="inlineStr">
        <is>
          <t>Five</t>
        </is>
      </c>
    </row>
    <row r="8">
      <c r="P8" t="inlineStr">
        <is>
          <t>07</t>
        </is>
      </c>
      <c r="Q8" t="inlineStr">
        <is>
          <t>Delhi</t>
        </is>
      </c>
      <c r="S8" t="n">
        <v>6</v>
      </c>
      <c r="T8" t="inlineStr">
        <is>
          <t>Six</t>
        </is>
      </c>
    </row>
    <row r="9">
      <c r="P9" t="inlineStr">
        <is>
          <t>08</t>
        </is>
      </c>
      <c r="Q9" t="inlineStr">
        <is>
          <t>Rajasthan</t>
        </is>
      </c>
      <c r="S9" t="n">
        <v>7</v>
      </c>
      <c r="T9" t="inlineStr">
        <is>
          <t>Seven</t>
        </is>
      </c>
    </row>
    <row r="10">
      <c r="A10" s="22" t="inlineStr">
        <is>
          <t>S.No</t>
        </is>
      </c>
      <c r="B10" s="22" t="inlineStr">
        <is>
          <t>Description</t>
        </is>
      </c>
      <c r="C10" s="22" t="inlineStr">
        <is>
          <t>HSN</t>
        </is>
      </c>
      <c r="D10" s="22" t="inlineStr">
        <is>
          <t>Qty</t>
        </is>
      </c>
      <c r="E10" s="22" t="inlineStr">
        <is>
          <t>Rate</t>
        </is>
      </c>
      <c r="F10" s="22" t="inlineStr">
        <is>
          <t>Taxable value</t>
        </is>
      </c>
      <c r="G10" s="22" t="inlineStr">
        <is>
          <t>GST %</t>
        </is>
      </c>
      <c r="H10" s="22" t="inlineStr">
        <is>
          <t>CGST</t>
        </is>
      </c>
      <c r="I10" s="22" t="inlineStr">
        <is>
          <t>SGST</t>
        </is>
      </c>
      <c r="J10" s="22" t="inlineStr">
        <is>
          <t>IGST</t>
        </is>
      </c>
      <c r="K10" s="22" t="inlineStr">
        <is>
          <t>Total</t>
        </is>
      </c>
      <c r="M10" s="3" t="inlineStr">
        <is>
          <t>Words helper</t>
        </is>
      </c>
      <c r="N10" s="3" t="n"/>
      <c r="P10" t="inlineStr">
        <is>
          <t>09</t>
        </is>
      </c>
      <c r="Q10" t="inlineStr">
        <is>
          <t>Uttar Pradesh</t>
        </is>
      </c>
      <c r="S10" t="n">
        <v>8</v>
      </c>
      <c r="T10" t="inlineStr">
        <is>
          <t>Eight</t>
        </is>
      </c>
    </row>
    <row r="11">
      <c r="A11" s="23" t="n">
        <v>1</v>
      </c>
      <c r="B11" s="23" t="inlineStr">
        <is>
          <t>LED panel light 18 W</t>
        </is>
      </c>
      <c r="C11" s="23" t="inlineStr">
        <is>
          <t>9405</t>
        </is>
      </c>
      <c r="D11" s="23" t="n">
        <v>120</v>
      </c>
      <c r="E11" s="24" t="n">
        <v>450</v>
      </c>
      <c r="F11" s="25" t="n"/>
      <c r="G11" s="26" t="n">
        <v>0.18</v>
      </c>
      <c r="H11" s="25" t="n"/>
      <c r="I11" s="25" t="n"/>
      <c r="J11" s="25" t="n"/>
      <c r="K11" s="25" t="n"/>
      <c r="M11" t="inlineStr">
        <is>
          <t>Crore</t>
        </is>
      </c>
      <c r="N11">
        <f>INT(K18/10^7)</f>
        <v/>
      </c>
      <c r="P11" t="inlineStr">
        <is>
          <t>10</t>
        </is>
      </c>
      <c r="Q11" t="inlineStr">
        <is>
          <t>Bihar</t>
        </is>
      </c>
      <c r="S11" t="n">
        <v>9</v>
      </c>
      <c r="T11" t="inlineStr">
        <is>
          <t>Nine</t>
        </is>
      </c>
    </row>
    <row r="12">
      <c r="A12" s="23" t="n">
        <v>2</v>
      </c>
      <c r="B12" s="23" t="inlineStr">
        <is>
          <t>Copper wire 1.5 sq mm, 90 m coil</t>
        </is>
      </c>
      <c r="C12" s="23" t="inlineStr">
        <is>
          <t>8544</t>
        </is>
      </c>
      <c r="D12" s="23" t="n">
        <v>40</v>
      </c>
      <c r="E12" s="24" t="n">
        <v>1850</v>
      </c>
      <c r="F12" s="25" t="n"/>
      <c r="G12" s="26" t="n">
        <v>0.18</v>
      </c>
      <c r="H12" s="25" t="n"/>
      <c r="I12" s="25" t="n"/>
      <c r="J12" s="25" t="n"/>
      <c r="K12" s="25" t="n"/>
      <c r="M12" t="inlineStr">
        <is>
          <t>Lakh</t>
        </is>
      </c>
      <c r="N12">
        <f>INT(MOD(K18,10^7)/10^5)</f>
        <v/>
      </c>
      <c r="P12" t="inlineStr">
        <is>
          <t>11</t>
        </is>
      </c>
      <c r="Q12" t="inlineStr">
        <is>
          <t>Sikkim</t>
        </is>
      </c>
      <c r="S12" t="n">
        <v>10</v>
      </c>
      <c r="T12" t="inlineStr">
        <is>
          <t>Ten</t>
        </is>
      </c>
    </row>
    <row r="13">
      <c r="A13" s="23" t="n">
        <v>3</v>
      </c>
      <c r="B13" s="23" t="inlineStr">
        <is>
          <t>Ceiling fan 1200 mm</t>
        </is>
      </c>
      <c r="C13" s="23" t="inlineStr">
        <is>
          <t>8414</t>
        </is>
      </c>
      <c r="D13" s="23" t="n">
        <v>25</v>
      </c>
      <c r="E13" s="24" t="n">
        <v>2390</v>
      </c>
      <c r="F13" s="25" t="n"/>
      <c r="G13" s="26" t="n">
        <v>0.18</v>
      </c>
      <c r="H13" s="25" t="n"/>
      <c r="I13" s="25" t="n"/>
      <c r="J13" s="25" t="n"/>
      <c r="K13" s="25" t="n"/>
      <c r="M13" t="inlineStr">
        <is>
          <t>Thousand</t>
        </is>
      </c>
      <c r="N13">
        <f>INT(MOD(K18,10^5)/1000)</f>
        <v/>
      </c>
      <c r="P13" t="inlineStr">
        <is>
          <t>12</t>
        </is>
      </c>
      <c r="Q13" t="inlineStr">
        <is>
          <t>Arunachal Pradesh</t>
        </is>
      </c>
      <c r="S13" t="n">
        <v>11</v>
      </c>
      <c r="T13" t="inlineStr">
        <is>
          <t>Eleven</t>
        </is>
      </c>
    </row>
    <row r="14">
      <c r="A14" s="23" t="n">
        <v>4</v>
      </c>
      <c r="B14" s="23" t="inlineStr">
        <is>
          <t>Modular switch 6 A</t>
        </is>
      </c>
      <c r="C14" s="23" t="inlineStr">
        <is>
          <t>8536</t>
        </is>
      </c>
      <c r="D14" s="23" t="n">
        <v>300</v>
      </c>
      <c r="E14" s="24" t="n">
        <v>65</v>
      </c>
      <c r="F14" s="25" t="n"/>
      <c r="G14" s="26" t="n">
        <v>0.18</v>
      </c>
      <c r="H14" s="25" t="n"/>
      <c r="I14" s="25" t="n"/>
      <c r="J14" s="25" t="n"/>
      <c r="K14" s="25" t="n"/>
      <c r="M14" t="inlineStr">
        <is>
          <t>Hundred</t>
        </is>
      </c>
      <c r="N14">
        <f>INT(MOD(K18,1000)/100)</f>
        <v/>
      </c>
      <c r="P14" t="inlineStr">
        <is>
          <t>13</t>
        </is>
      </c>
      <c r="Q14" t="inlineStr">
        <is>
          <t>Nagaland</t>
        </is>
      </c>
      <c r="S14" t="n">
        <v>12</v>
      </c>
      <c r="T14" t="inlineStr">
        <is>
          <t>Twelve</t>
        </is>
      </c>
    </row>
    <row r="15">
      <c r="A15" s="23" t="n">
        <v>5</v>
      </c>
      <c r="B15" s="23" t="inlineStr">
        <is>
          <t>Solar water heater 100 L</t>
        </is>
      </c>
      <c r="C15" s="23" t="inlineStr">
        <is>
          <t>8419</t>
        </is>
      </c>
      <c r="D15" s="23" t="n">
        <v>2</v>
      </c>
      <c r="E15" s="24" t="n">
        <v>18500</v>
      </c>
      <c r="F15" s="25" t="n"/>
      <c r="G15" s="26" t="n">
        <v>0.05</v>
      </c>
      <c r="H15" s="25" t="n"/>
      <c r="I15" s="25" t="n"/>
      <c r="J15" s="25" t="n"/>
      <c r="K15" s="25" t="n"/>
      <c r="M15" t="inlineStr">
        <is>
          <t>Rest (0-99)</t>
        </is>
      </c>
      <c r="N15">
        <f>MOD(K18,100)</f>
        <v/>
      </c>
      <c r="P15" t="inlineStr">
        <is>
          <t>14</t>
        </is>
      </c>
      <c r="Q15" t="inlineStr">
        <is>
          <t>Manipur</t>
        </is>
      </c>
      <c r="S15" t="n">
        <v>13</v>
      </c>
      <c r="T15" t="inlineStr">
        <is>
          <t>Thirteen</t>
        </is>
      </c>
    </row>
    <row r="16">
      <c r="A16" s="23" t="n"/>
      <c r="B16" s="27" t="inlineStr">
        <is>
          <t>Total</t>
        </is>
      </c>
      <c r="C16" s="23" t="n"/>
      <c r="D16" s="23" t="n"/>
      <c r="E16" s="23" t="n"/>
      <c r="F16" s="25" t="n"/>
      <c r="G16" s="28" t="n"/>
      <c r="H16" s="25" t="n"/>
      <c r="I16" s="25" t="n"/>
      <c r="J16" s="25" t="n"/>
      <c r="K16" s="25" t="n"/>
      <c r="P16" t="inlineStr">
        <is>
          <t>15</t>
        </is>
      </c>
      <c r="Q16" t="inlineStr">
        <is>
          <t>Mizoram</t>
        </is>
      </c>
      <c r="S16" t="n">
        <v>14</v>
      </c>
      <c r="T16" t="inlineStr">
        <is>
          <t>Fourteen</t>
        </is>
      </c>
    </row>
    <row r="17">
      <c r="P17" t="inlineStr">
        <is>
          <t>16</t>
        </is>
      </c>
      <c r="Q17" t="inlineStr">
        <is>
          <t>Tripura</t>
        </is>
      </c>
      <c r="S17" t="n">
        <v>15</v>
      </c>
      <c r="T17" t="inlineStr">
        <is>
          <t>Fifteen</t>
        </is>
      </c>
    </row>
    <row r="18">
      <c r="J18" s="8" t="inlineStr">
        <is>
          <t>Invoice total (rounded)</t>
        </is>
      </c>
      <c r="K18" s="5" t="n"/>
      <c r="P18" t="inlineStr">
        <is>
          <t>17</t>
        </is>
      </c>
      <c r="Q18" t="inlineStr">
        <is>
          <t>Meghalaya</t>
        </is>
      </c>
      <c r="S18" t="n">
        <v>16</v>
      </c>
      <c r="T18" t="inlineStr">
        <is>
          <t>Sixteen</t>
        </is>
      </c>
    </row>
    <row r="19">
      <c r="A19" s="8" t="inlineStr">
        <is>
          <t>Amount in words</t>
        </is>
      </c>
      <c r="B19" s="6" t="n"/>
      <c r="P19" t="inlineStr">
        <is>
          <t>18</t>
        </is>
      </c>
      <c r="Q19" t="inlineStr">
        <is>
          <t>Assam</t>
        </is>
      </c>
      <c r="S19" t="n">
        <v>17</v>
      </c>
      <c r="T19" t="inlineStr">
        <is>
          <t>Seventeen</t>
        </is>
      </c>
    </row>
    <row r="20">
      <c r="P20" t="inlineStr">
        <is>
          <t>19</t>
        </is>
      </c>
      <c r="Q20" t="inlineStr">
        <is>
          <t>West Bengal</t>
        </is>
      </c>
      <c r="S20" t="n">
        <v>18</v>
      </c>
      <c r="T20" t="inlineStr">
        <is>
          <t>Eighteen</t>
        </is>
      </c>
    </row>
    <row r="21">
      <c r="P21" t="inlineStr">
        <is>
          <t>20</t>
        </is>
      </c>
      <c r="Q21" t="inlineStr">
        <is>
          <t>Jharkhand</t>
        </is>
      </c>
      <c r="S21" t="n">
        <v>19</v>
      </c>
      <c r="T21" t="inlineStr">
        <is>
          <t>Nineteen</t>
        </is>
      </c>
    </row>
    <row r="22">
      <c r="A22" s="14" t="inlineStr">
        <is>
          <t>SALES REGISTER: October 2025</t>
        </is>
      </c>
      <c r="P22" t="inlineStr">
        <is>
          <t>21</t>
        </is>
      </c>
      <c r="Q22" t="inlineStr">
        <is>
          <t>Odisha</t>
        </is>
      </c>
      <c r="S22" t="n">
        <v>20</v>
      </c>
      <c r="T22" t="inlineStr">
        <is>
          <t>Twenty</t>
        </is>
      </c>
    </row>
    <row r="23">
      <c r="A23" s="3" t="inlineStr">
        <is>
          <t>Invoice No</t>
        </is>
      </c>
      <c r="B23" s="3" t="inlineStr">
        <is>
          <t>Date</t>
        </is>
      </c>
      <c r="C23" s="3" t="inlineStr">
        <is>
          <t>Buyer</t>
        </is>
      </c>
      <c r="D23" s="3" t="inlineStr">
        <is>
          <t>Buyer GSTIN</t>
        </is>
      </c>
      <c r="E23" s="3" t="inlineStr">
        <is>
          <t>State code</t>
        </is>
      </c>
      <c r="F23" s="3" t="inlineStr">
        <is>
          <t>Taxable value</t>
        </is>
      </c>
      <c r="G23" s="3" t="inlineStr">
        <is>
          <t>CGST 9%</t>
        </is>
      </c>
      <c r="H23" s="3" t="inlineStr">
        <is>
          <t>SGST 9%</t>
        </is>
      </c>
      <c r="I23" s="3" t="inlineStr">
        <is>
          <t>IGST 18%</t>
        </is>
      </c>
      <c r="J23" s="3" t="inlineStr">
        <is>
          <t>Total</t>
        </is>
      </c>
      <c r="P23" t="inlineStr">
        <is>
          <t>22</t>
        </is>
      </c>
      <c r="Q23" t="inlineStr">
        <is>
          <t>Chhattisgarh</t>
        </is>
      </c>
      <c r="S23" t="n">
        <v>21</v>
      </c>
      <c r="T23" t="inlineStr">
        <is>
          <t>Twenty One</t>
        </is>
      </c>
    </row>
    <row r="24">
      <c r="A24" t="inlineStr">
        <is>
          <t>SGT/25-26/0034</t>
        </is>
      </c>
      <c r="B24" s="13" t="n">
        <v>45933</v>
      </c>
      <c r="C24" t="inlineStr">
        <is>
          <t>Patil Hardware</t>
        </is>
      </c>
      <c r="D24" t="inlineStr">
        <is>
          <t>27AABFP2231Q1Z9</t>
        </is>
      </c>
      <c r="E24" s="6" t="n">
        <v>86500</v>
      </c>
      <c r="F24" s="4" t="n"/>
      <c r="G24" s="5" t="n"/>
      <c r="H24" s="5" t="n"/>
      <c r="I24" s="5" t="n"/>
      <c r="J24" s="5" t="n"/>
      <c r="P24" t="inlineStr">
        <is>
          <t>23</t>
        </is>
      </c>
      <c r="Q24" t="inlineStr">
        <is>
          <t>Madhya Pradesh</t>
        </is>
      </c>
      <c r="S24" t="n">
        <v>22</v>
      </c>
      <c r="T24" t="inlineStr">
        <is>
          <t>Twenty Two</t>
        </is>
      </c>
    </row>
    <row r="25">
      <c r="A25" t="inlineStr">
        <is>
          <t>SGT/25-26/0035</t>
        </is>
      </c>
      <c r="B25" s="13" t="n">
        <v>45936</v>
      </c>
      <c r="C25" t="inlineStr">
        <is>
          <t>Kaveri Electricals</t>
        </is>
      </c>
      <c r="D25" t="inlineStr">
        <is>
          <t>29AAFCK7712M1Z8</t>
        </is>
      </c>
      <c r="E25" s="6" t="n">
        <v>142000</v>
      </c>
      <c r="F25" s="4" t="n"/>
      <c r="G25" s="5" t="n"/>
      <c r="H25" s="5" t="n"/>
      <c r="I25" s="5" t="n"/>
      <c r="J25" s="5" t="n"/>
      <c r="P25" t="inlineStr">
        <is>
          <t>24</t>
        </is>
      </c>
      <c r="Q25" t="inlineStr">
        <is>
          <t>Gujarat</t>
        </is>
      </c>
      <c r="S25" t="n">
        <v>23</v>
      </c>
      <c r="T25" t="inlineStr">
        <is>
          <t>Twenty Three</t>
        </is>
      </c>
    </row>
    <row r="26">
      <c r="A26" t="inlineStr">
        <is>
          <t>SGT/25-26/0036</t>
        </is>
      </c>
      <c r="B26" s="13" t="n">
        <v>45938</v>
      </c>
      <c r="C26" t="inlineStr">
        <is>
          <t>Sabarmati Traders</t>
        </is>
      </c>
      <c r="D26" t="inlineStr">
        <is>
          <t>24AAHCS5567D1Z2</t>
        </is>
      </c>
      <c r="E26" s="6" t="n">
        <v>63250</v>
      </c>
      <c r="F26" s="4" t="n"/>
      <c r="G26" s="5" t="n"/>
      <c r="H26" s="5" t="n"/>
      <c r="I26" s="5" t="n"/>
      <c r="J26" s="5" t="n"/>
      <c r="P26" t="inlineStr">
        <is>
          <t>26</t>
        </is>
      </c>
      <c r="Q26" t="inlineStr">
        <is>
          <t>Dadra and Nagar Haveli and Daman and Diu</t>
        </is>
      </c>
      <c r="S26" t="n">
        <v>24</v>
      </c>
      <c r="T26" t="inlineStr">
        <is>
          <t>Twenty Four</t>
        </is>
      </c>
    </row>
    <row r="27">
      <c r="A27" t="inlineStr">
        <is>
          <t>SGT/25-26/0037</t>
        </is>
      </c>
      <c r="B27" s="13" t="n">
        <v>45939</v>
      </c>
      <c r="C27" t="inlineStr">
        <is>
          <t>Deshmukh Builders</t>
        </is>
      </c>
      <c r="D27" t="inlineStr">
        <is>
          <t>27AACCD9081H1Z4</t>
        </is>
      </c>
      <c r="E27" s="6" t="n">
        <v>218400</v>
      </c>
      <c r="F27" s="4" t="n"/>
      <c r="G27" s="5" t="n"/>
      <c r="H27" s="5" t="n"/>
      <c r="I27" s="5" t="n"/>
      <c r="J27" s="5" t="n"/>
      <c r="P27" t="inlineStr">
        <is>
          <t>27</t>
        </is>
      </c>
      <c r="Q27" t="inlineStr">
        <is>
          <t>Maharashtra</t>
        </is>
      </c>
      <c r="S27" t="n">
        <v>25</v>
      </c>
      <c r="T27" t="inlineStr">
        <is>
          <t>Twenty Five</t>
        </is>
      </c>
    </row>
    <row r="28">
      <c r="A28" t="inlineStr">
        <is>
          <t>SGT/25-26/0038</t>
        </is>
      </c>
      <c r="B28" s="13" t="n">
        <v>45941</v>
      </c>
      <c r="C28" t="inlineStr">
        <is>
          <t>Chola Lighting</t>
        </is>
      </c>
      <c r="D28" t="inlineStr">
        <is>
          <t>33AADFC4410K1Z7</t>
        </is>
      </c>
      <c r="E28" s="6" t="n">
        <v>97800</v>
      </c>
      <c r="F28" s="4" t="n"/>
      <c r="G28" s="5" t="n"/>
      <c r="H28" s="5" t="n"/>
      <c r="I28" s="5" t="n"/>
      <c r="J28" s="5" t="n"/>
      <c r="P28" t="inlineStr">
        <is>
          <t>29</t>
        </is>
      </c>
      <c r="Q28" t="inlineStr">
        <is>
          <t>Karnataka</t>
        </is>
      </c>
      <c r="S28" t="n">
        <v>26</v>
      </c>
      <c r="T28" t="inlineStr">
        <is>
          <t>Twenty Six</t>
        </is>
      </c>
    </row>
    <row r="29">
      <c r="A29" t="inlineStr">
        <is>
          <t>SGT/25-26/0039</t>
        </is>
      </c>
      <c r="B29" s="13" t="n">
        <v>45943</v>
      </c>
      <c r="C29" t="inlineStr">
        <is>
          <t>Yamuna Electric Co</t>
        </is>
      </c>
      <c r="D29" t="inlineStr">
        <is>
          <t>07AAGFY6620B1Z1</t>
        </is>
      </c>
      <c r="E29" s="6" t="n">
        <v>154300</v>
      </c>
      <c r="F29" s="4" t="n"/>
      <c r="G29" s="5" t="n"/>
      <c r="H29" s="5" t="n"/>
      <c r="I29" s="5" t="n"/>
      <c r="J29" s="5" t="n"/>
      <c r="P29" t="inlineStr">
        <is>
          <t>30</t>
        </is>
      </c>
      <c r="Q29" t="inlineStr">
        <is>
          <t>Goa</t>
        </is>
      </c>
      <c r="S29" t="n">
        <v>27</v>
      </c>
      <c r="T29" t="inlineStr">
        <is>
          <t>Twenty Seven</t>
        </is>
      </c>
    </row>
    <row r="30">
      <c r="A30" t="inlineStr">
        <is>
          <t>SGT/25-26/0040</t>
        </is>
      </c>
      <c r="B30" s="13" t="n">
        <v>45944</v>
      </c>
      <c r="C30" t="inlineStr">
        <is>
          <t>Nashik Power Tools</t>
        </is>
      </c>
      <c r="D30" t="inlineStr">
        <is>
          <t>27AABCN7712E1Z5</t>
        </is>
      </c>
      <c r="E30" s="6" t="n">
        <v>45600</v>
      </c>
      <c r="F30" s="4" t="n"/>
      <c r="G30" s="5" t="n"/>
      <c r="H30" s="5" t="n"/>
      <c r="I30" s="5" t="n"/>
      <c r="J30" s="5" t="n"/>
      <c r="P30" t="inlineStr">
        <is>
          <t>31</t>
        </is>
      </c>
      <c r="Q30" t="inlineStr">
        <is>
          <t>Lakshadweep</t>
        </is>
      </c>
      <c r="S30" t="n">
        <v>28</v>
      </c>
      <c r="T30" t="inlineStr">
        <is>
          <t>Twenty Eight</t>
        </is>
      </c>
    </row>
    <row r="31">
      <c r="A31" t="inlineStr">
        <is>
          <t>SGT/25-26/0041</t>
        </is>
      </c>
      <c r="B31" s="13" t="n">
        <v>45944</v>
      </c>
      <c r="C31" t="inlineStr">
        <is>
          <t>Deccan Switchgear</t>
        </is>
      </c>
      <c r="D31" t="inlineStr">
        <is>
          <t>36AAECD3345F1Z8</t>
        </is>
      </c>
      <c r="E31" s="6" t="n">
        <v>121750</v>
      </c>
      <c r="F31" s="4" t="n"/>
      <c r="G31" s="5" t="n"/>
      <c r="H31" s="5" t="n"/>
      <c r="I31" s="5" t="n"/>
      <c r="J31" s="5" t="n"/>
      <c r="P31" t="inlineStr">
        <is>
          <t>32</t>
        </is>
      </c>
      <c r="Q31" t="inlineStr">
        <is>
          <t>Kerala</t>
        </is>
      </c>
      <c r="S31" t="n">
        <v>29</v>
      </c>
      <c r="T31" t="inlineStr">
        <is>
          <t>Twenty Nine</t>
        </is>
      </c>
    </row>
    <row r="32">
      <c r="D32" s="8" t="inlineStr">
        <is>
          <t>Total</t>
        </is>
      </c>
      <c r="F32" s="4">
        <f>SUM(F24:F31)</f>
        <v/>
      </c>
      <c r="G32" s="4">
        <f>SUM(G24:G31)</f>
        <v/>
      </c>
      <c r="H32" s="4">
        <f>SUM(H24:H31)</f>
        <v/>
      </c>
      <c r="I32" s="4">
        <f>SUM(I24:I31)</f>
        <v/>
      </c>
      <c r="J32" s="4">
        <f>SUM(J24:J31)</f>
        <v/>
      </c>
      <c r="P32" t="inlineStr">
        <is>
          <t>33</t>
        </is>
      </c>
      <c r="Q32" t="inlineStr">
        <is>
          <t>Tamil Nadu</t>
        </is>
      </c>
      <c r="S32" t="n">
        <v>30</v>
      </c>
      <c r="T32" t="inlineStr">
        <is>
          <t>Thirty</t>
        </is>
      </c>
    </row>
    <row r="33">
      <c r="P33" t="inlineStr">
        <is>
          <t>34</t>
        </is>
      </c>
      <c r="Q33" t="inlineStr">
        <is>
          <t>Puducherry</t>
        </is>
      </c>
      <c r="S33" t="n">
        <v>31</v>
      </c>
      <c r="T33" t="inlineStr">
        <is>
          <t>Thirty One</t>
        </is>
      </c>
    </row>
    <row r="34">
      <c r="P34" t="inlineStr">
        <is>
          <t>35</t>
        </is>
      </c>
      <c r="Q34" t="inlineStr">
        <is>
          <t>Andaman and Nicobar Islands</t>
        </is>
      </c>
      <c r="S34" t="n">
        <v>32</v>
      </c>
      <c r="T34" t="inlineStr">
        <is>
          <t>Thirty Two</t>
        </is>
      </c>
    </row>
    <row r="35">
      <c r="P35" t="inlineStr">
        <is>
          <t>36</t>
        </is>
      </c>
      <c r="Q35" t="inlineStr">
        <is>
          <t>Telangana</t>
        </is>
      </c>
      <c r="S35" t="n">
        <v>33</v>
      </c>
      <c r="T35" t="inlineStr">
        <is>
          <t>Thirty Three</t>
        </is>
      </c>
    </row>
    <row r="36">
      <c r="P36" t="inlineStr">
        <is>
          <t>37</t>
        </is>
      </c>
      <c r="Q36" t="inlineStr">
        <is>
          <t>Andhra Pradesh</t>
        </is>
      </c>
      <c r="S36" t="n">
        <v>34</v>
      </c>
      <c r="T36" t="inlineStr">
        <is>
          <t>Thirty Four</t>
        </is>
      </c>
    </row>
    <row r="37">
      <c r="P37" t="inlineStr">
        <is>
          <t>38</t>
        </is>
      </c>
      <c r="Q37" t="inlineStr">
        <is>
          <t>Ladakh</t>
        </is>
      </c>
      <c r="S37" t="n">
        <v>35</v>
      </c>
      <c r="T37" t="inlineStr">
        <is>
          <t>Thirty Five</t>
        </is>
      </c>
    </row>
    <row r="38">
      <c r="S38" t="n">
        <v>36</v>
      </c>
      <c r="T38" t="inlineStr">
        <is>
          <t>Thirty Six</t>
        </is>
      </c>
    </row>
    <row r="39">
      <c r="S39" t="n">
        <v>37</v>
      </c>
      <c r="T39" t="inlineStr">
        <is>
          <t>Thirty Seven</t>
        </is>
      </c>
    </row>
    <row r="40">
      <c r="S40" t="n">
        <v>38</v>
      </c>
      <c r="T40" t="inlineStr">
        <is>
          <t>Thirty Eight</t>
        </is>
      </c>
    </row>
    <row r="41">
      <c r="S41" t="n">
        <v>39</v>
      </c>
      <c r="T41" t="inlineStr">
        <is>
          <t>Thirty Nine</t>
        </is>
      </c>
    </row>
    <row r="42">
      <c r="S42" t="n">
        <v>40</v>
      </c>
      <c r="T42" t="inlineStr">
        <is>
          <t>Forty</t>
        </is>
      </c>
    </row>
    <row r="43">
      <c r="S43" t="n">
        <v>41</v>
      </c>
      <c r="T43" t="inlineStr">
        <is>
          <t>Forty One</t>
        </is>
      </c>
    </row>
    <row r="44">
      <c r="S44" t="n">
        <v>42</v>
      </c>
      <c r="T44" t="inlineStr">
        <is>
          <t>Forty Two</t>
        </is>
      </c>
    </row>
    <row r="45">
      <c r="S45" t="n">
        <v>43</v>
      </c>
      <c r="T45" t="inlineStr">
        <is>
          <t>Forty Three</t>
        </is>
      </c>
    </row>
    <row r="46">
      <c r="S46" t="n">
        <v>44</v>
      </c>
      <c r="T46" t="inlineStr">
        <is>
          <t>Forty Four</t>
        </is>
      </c>
    </row>
    <row r="47">
      <c r="S47" t="n">
        <v>45</v>
      </c>
      <c r="T47" t="inlineStr">
        <is>
          <t>Forty Five</t>
        </is>
      </c>
    </row>
    <row r="48">
      <c r="S48" t="n">
        <v>46</v>
      </c>
      <c r="T48" t="inlineStr">
        <is>
          <t>Forty Six</t>
        </is>
      </c>
    </row>
    <row r="49">
      <c r="S49" t="n">
        <v>47</v>
      </c>
      <c r="T49" t="inlineStr">
        <is>
          <t>Forty Seven</t>
        </is>
      </c>
    </row>
    <row r="50">
      <c r="S50" t="n">
        <v>48</v>
      </c>
      <c r="T50" t="inlineStr">
        <is>
          <t>Forty Eight</t>
        </is>
      </c>
    </row>
    <row r="51">
      <c r="S51" t="n">
        <v>49</v>
      </c>
      <c r="T51" t="inlineStr">
        <is>
          <t>Forty Nine</t>
        </is>
      </c>
    </row>
    <row r="52">
      <c r="S52" t="n">
        <v>50</v>
      </c>
      <c r="T52" t="inlineStr">
        <is>
          <t>Fifty</t>
        </is>
      </c>
    </row>
    <row r="53">
      <c r="S53" t="n">
        <v>51</v>
      </c>
      <c r="T53" t="inlineStr">
        <is>
          <t>Fifty One</t>
        </is>
      </c>
    </row>
    <row r="54">
      <c r="S54" t="n">
        <v>52</v>
      </c>
      <c r="T54" t="inlineStr">
        <is>
          <t>Fifty Two</t>
        </is>
      </c>
    </row>
    <row r="55">
      <c r="S55" t="n">
        <v>53</v>
      </c>
      <c r="T55" t="inlineStr">
        <is>
          <t>Fifty Three</t>
        </is>
      </c>
    </row>
    <row r="56">
      <c r="S56" t="n">
        <v>54</v>
      </c>
      <c r="T56" t="inlineStr">
        <is>
          <t>Fifty Four</t>
        </is>
      </c>
    </row>
    <row r="57">
      <c r="S57" t="n">
        <v>55</v>
      </c>
      <c r="T57" t="inlineStr">
        <is>
          <t>Fifty Five</t>
        </is>
      </c>
    </row>
    <row r="58">
      <c r="S58" t="n">
        <v>56</v>
      </c>
      <c r="T58" t="inlineStr">
        <is>
          <t>Fifty Six</t>
        </is>
      </c>
    </row>
    <row r="59">
      <c r="S59" t="n">
        <v>57</v>
      </c>
      <c r="T59" t="inlineStr">
        <is>
          <t>Fifty Seven</t>
        </is>
      </c>
    </row>
    <row r="60">
      <c r="S60" t="n">
        <v>58</v>
      </c>
      <c r="T60" t="inlineStr">
        <is>
          <t>Fifty Eight</t>
        </is>
      </c>
    </row>
    <row r="61">
      <c r="S61" t="n">
        <v>59</v>
      </c>
      <c r="T61" t="inlineStr">
        <is>
          <t>Fifty Nine</t>
        </is>
      </c>
    </row>
    <row r="62">
      <c r="S62" t="n">
        <v>60</v>
      </c>
      <c r="T62" t="inlineStr">
        <is>
          <t>Sixty</t>
        </is>
      </c>
    </row>
    <row r="63">
      <c r="S63" t="n">
        <v>61</v>
      </c>
      <c r="T63" t="inlineStr">
        <is>
          <t>Sixty One</t>
        </is>
      </c>
    </row>
    <row r="64">
      <c r="S64" t="n">
        <v>62</v>
      </c>
      <c r="T64" t="inlineStr">
        <is>
          <t>Sixty Two</t>
        </is>
      </c>
    </row>
    <row r="65">
      <c r="S65" t="n">
        <v>63</v>
      </c>
      <c r="T65" t="inlineStr">
        <is>
          <t>Sixty Three</t>
        </is>
      </c>
    </row>
    <row r="66">
      <c r="S66" t="n">
        <v>64</v>
      </c>
      <c r="T66" t="inlineStr">
        <is>
          <t>Sixty Four</t>
        </is>
      </c>
    </row>
    <row r="67">
      <c r="S67" t="n">
        <v>65</v>
      </c>
      <c r="T67" t="inlineStr">
        <is>
          <t>Sixty Five</t>
        </is>
      </c>
    </row>
    <row r="68">
      <c r="S68" t="n">
        <v>66</v>
      </c>
      <c r="T68" t="inlineStr">
        <is>
          <t>Sixty Six</t>
        </is>
      </c>
    </row>
    <row r="69">
      <c r="S69" t="n">
        <v>67</v>
      </c>
      <c r="T69" t="inlineStr">
        <is>
          <t>Sixty Seven</t>
        </is>
      </c>
    </row>
    <row r="70">
      <c r="S70" t="n">
        <v>68</v>
      </c>
      <c r="T70" t="inlineStr">
        <is>
          <t>Sixty Eight</t>
        </is>
      </c>
    </row>
    <row r="71">
      <c r="S71" t="n">
        <v>69</v>
      </c>
      <c r="T71" t="inlineStr">
        <is>
          <t>Sixty Nine</t>
        </is>
      </c>
    </row>
    <row r="72">
      <c r="S72" t="n">
        <v>70</v>
      </c>
      <c r="T72" t="inlineStr">
        <is>
          <t>Seventy</t>
        </is>
      </c>
    </row>
    <row r="73">
      <c r="S73" t="n">
        <v>71</v>
      </c>
      <c r="T73" t="inlineStr">
        <is>
          <t>Seventy One</t>
        </is>
      </c>
    </row>
    <row r="74">
      <c r="S74" t="n">
        <v>72</v>
      </c>
      <c r="T74" t="inlineStr">
        <is>
          <t>Seventy Two</t>
        </is>
      </c>
    </row>
    <row r="75">
      <c r="S75" t="n">
        <v>73</v>
      </c>
      <c r="T75" t="inlineStr">
        <is>
          <t>Seventy Three</t>
        </is>
      </c>
    </row>
    <row r="76">
      <c r="S76" t="n">
        <v>74</v>
      </c>
      <c r="T76" t="inlineStr">
        <is>
          <t>Seventy Four</t>
        </is>
      </c>
    </row>
    <row r="77">
      <c r="S77" t="n">
        <v>75</v>
      </c>
      <c r="T77" t="inlineStr">
        <is>
          <t>Seventy Five</t>
        </is>
      </c>
    </row>
    <row r="78">
      <c r="S78" t="n">
        <v>76</v>
      </c>
      <c r="T78" t="inlineStr">
        <is>
          <t>Seventy Six</t>
        </is>
      </c>
    </row>
    <row r="79">
      <c r="S79" t="n">
        <v>77</v>
      </c>
      <c r="T79" t="inlineStr">
        <is>
          <t>Seventy Seven</t>
        </is>
      </c>
    </row>
    <row r="80">
      <c r="S80" t="n">
        <v>78</v>
      </c>
      <c r="T80" t="inlineStr">
        <is>
          <t>Seventy Eight</t>
        </is>
      </c>
    </row>
    <row r="81">
      <c r="S81" t="n">
        <v>79</v>
      </c>
      <c r="T81" t="inlineStr">
        <is>
          <t>Seventy Nine</t>
        </is>
      </c>
    </row>
    <row r="82">
      <c r="S82" t="n">
        <v>80</v>
      </c>
      <c r="T82" t="inlineStr">
        <is>
          <t>Eighty</t>
        </is>
      </c>
    </row>
    <row r="83">
      <c r="S83" t="n">
        <v>81</v>
      </c>
      <c r="T83" t="inlineStr">
        <is>
          <t>Eighty One</t>
        </is>
      </c>
    </row>
    <row r="84">
      <c r="S84" t="n">
        <v>82</v>
      </c>
      <c r="T84" t="inlineStr">
        <is>
          <t>Eighty Two</t>
        </is>
      </c>
    </row>
    <row r="85">
      <c r="S85" t="n">
        <v>83</v>
      </c>
      <c r="T85" t="inlineStr">
        <is>
          <t>Eighty Three</t>
        </is>
      </c>
    </row>
    <row r="86">
      <c r="S86" t="n">
        <v>84</v>
      </c>
      <c r="T86" t="inlineStr">
        <is>
          <t>Eighty Four</t>
        </is>
      </c>
    </row>
    <row r="87">
      <c r="S87" t="n">
        <v>85</v>
      </c>
      <c r="T87" t="inlineStr">
        <is>
          <t>Eighty Five</t>
        </is>
      </c>
    </row>
    <row r="88">
      <c r="S88" t="n">
        <v>86</v>
      </c>
      <c r="T88" t="inlineStr">
        <is>
          <t>Eighty Six</t>
        </is>
      </c>
    </row>
    <row r="89">
      <c r="S89" t="n">
        <v>87</v>
      </c>
      <c r="T89" t="inlineStr">
        <is>
          <t>Eighty Seven</t>
        </is>
      </c>
    </row>
    <row r="90">
      <c r="S90" t="n">
        <v>88</v>
      </c>
      <c r="T90" t="inlineStr">
        <is>
          <t>Eighty Eight</t>
        </is>
      </c>
    </row>
    <row r="91">
      <c r="S91" t="n">
        <v>89</v>
      </c>
      <c r="T91" t="inlineStr">
        <is>
          <t>Eighty Nine</t>
        </is>
      </c>
    </row>
    <row r="92">
      <c r="S92" t="n">
        <v>90</v>
      </c>
      <c r="T92" t="inlineStr">
        <is>
          <t>Ninety</t>
        </is>
      </c>
    </row>
    <row r="93">
      <c r="S93" t="n">
        <v>91</v>
      </c>
      <c r="T93" t="inlineStr">
        <is>
          <t>Ninety One</t>
        </is>
      </c>
    </row>
    <row r="94">
      <c r="S94" t="n">
        <v>92</v>
      </c>
      <c r="T94" t="inlineStr">
        <is>
          <t>Ninety Two</t>
        </is>
      </c>
    </row>
    <row r="95">
      <c r="S95" t="n">
        <v>93</v>
      </c>
      <c r="T95" t="inlineStr">
        <is>
          <t>Ninety Three</t>
        </is>
      </c>
    </row>
    <row r="96">
      <c r="S96" t="n">
        <v>94</v>
      </c>
      <c r="T96" t="inlineStr">
        <is>
          <t>Ninety Four</t>
        </is>
      </c>
    </row>
    <row r="97">
      <c r="S97" t="n">
        <v>95</v>
      </c>
      <c r="T97" t="inlineStr">
        <is>
          <t>Ninety Five</t>
        </is>
      </c>
    </row>
    <row r="98">
      <c r="S98" t="n">
        <v>96</v>
      </c>
      <c r="T98" t="inlineStr">
        <is>
          <t>Ninety Six</t>
        </is>
      </c>
    </row>
    <row r="99">
      <c r="S99" t="n">
        <v>97</v>
      </c>
      <c r="T99" t="inlineStr">
        <is>
          <t>Ninety Seven</t>
        </is>
      </c>
    </row>
    <row r="100">
      <c r="S100" t="n">
        <v>98</v>
      </c>
      <c r="T100" t="inlineStr">
        <is>
          <t>Ninety Eight</t>
        </is>
      </c>
    </row>
    <row r="101">
      <c r="S101" t="n">
        <v>99</v>
      </c>
      <c r="T101" t="inlineStr">
        <is>
          <t>Ninety Nine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8" customWidth="1" min="4" max="4"/>
    <col width="18" customWidth="1" min="5" max="5"/>
    <col width="14" customWidth="1" min="6" max="6"/>
    <col width="9" customWidth="1" min="7" max="7"/>
    <col width="12" customWidth="1" min="8" max="8"/>
    <col width="12" customWidth="1" min="9" max="9"/>
    <col width="13" customWidth="1" min="10" max="10"/>
    <col width="13" customWidth="1" min="11" max="11"/>
    <col width="3" customWidth="1" min="12" max="12"/>
    <col width="12" customWidth="1" min="13" max="13"/>
    <col width="8" customWidth="1" min="14" max="14"/>
    <col width="3" customWidth="1" min="15" max="15"/>
    <col width="6" customWidth="1" min="16" max="16"/>
    <col width="38" customWidth="1" min="17" max="17"/>
    <col width="3" customWidth="1" min="18" max="18"/>
    <col width="8" customWidth="1" min="19" max="19"/>
    <col width="16" customWidth="1" min="20" max="20"/>
  </cols>
  <sheetData>
    <row r="1">
      <c r="A1" s="1" t="inlineStr">
        <is>
          <t>TAX INVOICE</t>
        </is>
      </c>
      <c r="D1" s="8" t="inlineStr">
        <is>
          <t>Shree Ganesh Traders, Bhiwandi, Maharashtra</t>
        </is>
      </c>
      <c r="P1" s="3" t="inlineStr">
        <is>
          <t>Code</t>
        </is>
      </c>
      <c r="Q1" s="3" t="inlineStr">
        <is>
          <t>State</t>
        </is>
      </c>
      <c r="S1" s="3" t="inlineStr">
        <is>
          <t>Number</t>
        </is>
      </c>
      <c r="T1" s="3" t="inlineStr">
        <is>
          <t>Words</t>
        </is>
      </c>
    </row>
    <row r="2">
      <c r="P2" t="inlineStr">
        <is>
          <t>01</t>
        </is>
      </c>
      <c r="Q2" t="inlineStr">
        <is>
          <t>Jammu and Kashmir</t>
        </is>
      </c>
      <c r="S2" t="n">
        <v>0</v>
      </c>
    </row>
    <row r="3">
      <c r="A3" s="8" t="inlineStr">
        <is>
          <t>Seller GSTIN</t>
        </is>
      </c>
      <c r="B3" t="inlineStr">
        <is>
          <t>27AAGCS4821K1Z3</t>
        </is>
      </c>
      <c r="D3" s="8" t="inlineStr">
        <is>
          <t>Buyer name</t>
        </is>
      </c>
      <c r="E3" t="inlineStr">
        <is>
          <t>Kaveri Electricals</t>
        </is>
      </c>
      <c r="P3" t="inlineStr">
        <is>
          <t>02</t>
        </is>
      </c>
      <c r="Q3" t="inlineStr">
        <is>
          <t>Himachal Pradesh</t>
        </is>
      </c>
      <c r="S3" t="n">
        <v>1</v>
      </c>
      <c r="T3" t="inlineStr">
        <is>
          <t>One</t>
        </is>
      </c>
    </row>
    <row r="4">
      <c r="A4" s="8" t="inlineStr">
        <is>
          <t>Seller state code</t>
        </is>
      </c>
      <c r="B4" s="6">
        <f>LEFT(B3,2)</f>
        <v/>
      </c>
      <c r="D4" s="8" t="inlineStr">
        <is>
          <t>Buyer GSTIN</t>
        </is>
      </c>
      <c r="E4" t="inlineStr">
        <is>
          <t>29AAFCK7712M1Z8</t>
        </is>
      </c>
      <c r="P4" t="inlineStr">
        <is>
          <t>03</t>
        </is>
      </c>
      <c r="Q4" t="inlineStr">
        <is>
          <t>Punjab</t>
        </is>
      </c>
      <c r="S4" t="n">
        <v>2</v>
      </c>
      <c r="T4" t="inlineStr">
        <is>
          <t>Two</t>
        </is>
      </c>
    </row>
    <row r="5">
      <c r="A5" s="8" t="inlineStr">
        <is>
          <t>Invoice No</t>
        </is>
      </c>
      <c r="B5" s="6">
        <f>"SGT/"&amp;RIGHT(YEAR(B6)-(MONTH(B6)&lt;4),2)&amp;"-"&amp;RIGHT(YEAR(B6)-(MONTH(B6)&lt;4)+1,2)&amp;"/"&amp;TEXT(B7,"0000")</f>
        <v/>
      </c>
      <c r="D5" s="8" t="inlineStr">
        <is>
          <t>Buyer state code</t>
        </is>
      </c>
      <c r="E5" s="6">
        <f>LEFT(E4,2)</f>
        <v/>
      </c>
      <c r="P5" t="inlineStr">
        <is>
          <t>04</t>
        </is>
      </c>
      <c r="Q5" t="inlineStr">
        <is>
          <t>Chandigarh</t>
        </is>
      </c>
      <c r="S5" t="n">
        <v>3</v>
      </c>
      <c r="T5" t="inlineStr">
        <is>
          <t>Three</t>
        </is>
      </c>
    </row>
    <row r="6">
      <c r="A6" s="8" t="inlineStr">
        <is>
          <t>Invoice date</t>
        </is>
      </c>
      <c r="B6" s="13" t="n">
        <v>45945</v>
      </c>
      <c r="D6" s="8" t="inlineStr">
        <is>
          <t>Supply type</t>
        </is>
      </c>
      <c r="E6" s="6">
        <f>IF(E5=B4,"Intra-state","Inter-state")</f>
        <v/>
      </c>
      <c r="P6" t="inlineStr">
        <is>
          <t>05</t>
        </is>
      </c>
      <c r="Q6" t="inlineStr">
        <is>
          <t>Uttarakhand</t>
        </is>
      </c>
      <c r="S6" t="n">
        <v>4</v>
      </c>
      <c r="T6" t="inlineStr">
        <is>
          <t>Four</t>
        </is>
      </c>
    </row>
    <row r="7">
      <c r="A7" s="8" t="inlineStr">
        <is>
          <t>Invoice serial</t>
        </is>
      </c>
      <c r="B7" t="n">
        <v>42</v>
      </c>
      <c r="D7" s="8" t="inlineStr">
        <is>
          <t>Place of supply</t>
        </is>
      </c>
      <c r="E7" s="6" cm="1">
        <f t="array" ref="E7">_xlfn.XLOOKUP(E5,$P$2:$P$37,$Q$2:$Q$37,"Check GSTIN")</f>
        <v/>
      </c>
      <c r="P7" t="inlineStr">
        <is>
          <t>06</t>
        </is>
      </c>
      <c r="Q7" t="inlineStr">
        <is>
          <t>Haryana</t>
        </is>
      </c>
      <c r="S7" t="n">
        <v>5</v>
      </c>
      <c r="T7" t="inlineStr">
        <is>
          <t>Five</t>
        </is>
      </c>
    </row>
    <row r="8">
      <c r="P8" t="inlineStr">
        <is>
          <t>07</t>
        </is>
      </c>
      <c r="Q8" t="inlineStr">
        <is>
          <t>Delhi</t>
        </is>
      </c>
      <c r="S8" t="n">
        <v>6</v>
      </c>
      <c r="T8" t="inlineStr">
        <is>
          <t>Six</t>
        </is>
      </c>
    </row>
    <row r="9">
      <c r="P9" t="inlineStr">
        <is>
          <t>08</t>
        </is>
      </c>
      <c r="Q9" t="inlineStr">
        <is>
          <t>Rajasthan</t>
        </is>
      </c>
      <c r="S9" t="n">
        <v>7</v>
      </c>
      <c r="T9" t="inlineStr">
        <is>
          <t>Seven</t>
        </is>
      </c>
    </row>
    <row r="10">
      <c r="A10" s="22" t="inlineStr">
        <is>
          <t>S.No</t>
        </is>
      </c>
      <c r="B10" s="22" t="inlineStr">
        <is>
          <t>Description</t>
        </is>
      </c>
      <c r="C10" s="22" t="inlineStr">
        <is>
          <t>HSN</t>
        </is>
      </c>
      <c r="D10" s="22" t="inlineStr">
        <is>
          <t>Qty</t>
        </is>
      </c>
      <c r="E10" s="22" t="inlineStr">
        <is>
          <t>Rate</t>
        </is>
      </c>
      <c r="F10" s="22" t="inlineStr">
        <is>
          <t>Taxable value</t>
        </is>
      </c>
      <c r="G10" s="22" t="inlineStr">
        <is>
          <t>GST %</t>
        </is>
      </c>
      <c r="H10" s="22" t="inlineStr">
        <is>
          <t>CGST</t>
        </is>
      </c>
      <c r="I10" s="22" t="inlineStr">
        <is>
          <t>SGST</t>
        </is>
      </c>
      <c r="J10" s="22" t="inlineStr">
        <is>
          <t>IGST</t>
        </is>
      </c>
      <c r="K10" s="22" t="inlineStr">
        <is>
          <t>Total</t>
        </is>
      </c>
      <c r="M10" s="3" t="inlineStr">
        <is>
          <t>Words helper</t>
        </is>
      </c>
      <c r="N10" s="3" t="n"/>
      <c r="P10" t="inlineStr">
        <is>
          <t>09</t>
        </is>
      </c>
      <c r="Q10" t="inlineStr">
        <is>
          <t>Uttar Pradesh</t>
        </is>
      </c>
      <c r="S10" t="n">
        <v>8</v>
      </c>
      <c r="T10" t="inlineStr">
        <is>
          <t>Eight</t>
        </is>
      </c>
    </row>
    <row r="11">
      <c r="A11" s="23" t="n">
        <v>1</v>
      </c>
      <c r="B11" s="23" t="inlineStr">
        <is>
          <t>LED panel light 18 W</t>
        </is>
      </c>
      <c r="C11" s="23" t="inlineStr">
        <is>
          <t>9405</t>
        </is>
      </c>
      <c r="D11" s="23" t="n">
        <v>120</v>
      </c>
      <c r="E11" s="24" t="n">
        <v>450</v>
      </c>
      <c r="F11" s="25">
        <f>D11*E11</f>
        <v/>
      </c>
      <c r="G11" s="26" t="n">
        <v>0.18</v>
      </c>
      <c r="H11" s="25">
        <f>IF($E$6="Intra-state",F11*G11/2,0)</f>
        <v/>
      </c>
      <c r="I11" s="25">
        <f>H11</f>
        <v/>
      </c>
      <c r="J11" s="25">
        <f>IF($E$6="Inter-state",F11*G11,0)</f>
        <v/>
      </c>
      <c r="K11" s="25">
        <f>F11+H11+I11+J11</f>
        <v/>
      </c>
      <c r="M11" t="inlineStr">
        <is>
          <t>Crore</t>
        </is>
      </c>
      <c r="N11">
        <f>INT(K18/10^7)</f>
        <v/>
      </c>
      <c r="P11" t="inlineStr">
        <is>
          <t>10</t>
        </is>
      </c>
      <c r="Q11" t="inlineStr">
        <is>
          <t>Bihar</t>
        </is>
      </c>
      <c r="S11" t="n">
        <v>9</v>
      </c>
      <c r="T11" t="inlineStr">
        <is>
          <t>Nine</t>
        </is>
      </c>
    </row>
    <row r="12">
      <c r="A12" s="23" t="n">
        <v>2</v>
      </c>
      <c r="B12" s="23" t="inlineStr">
        <is>
          <t>Copper wire 1.5 sq mm, 90 m coil</t>
        </is>
      </c>
      <c r="C12" s="23" t="inlineStr">
        <is>
          <t>8544</t>
        </is>
      </c>
      <c r="D12" s="23" t="n">
        <v>40</v>
      </c>
      <c r="E12" s="24" t="n">
        <v>1850</v>
      </c>
      <c r="F12" s="25">
        <f>D12*E12</f>
        <v/>
      </c>
      <c r="G12" s="26" t="n">
        <v>0.18</v>
      </c>
      <c r="H12" s="25">
        <f>IF($E$6="Intra-state",F12*G12/2,0)</f>
        <v/>
      </c>
      <c r="I12" s="25">
        <f>H12</f>
        <v/>
      </c>
      <c r="J12" s="25">
        <f>IF($E$6="Inter-state",F12*G12,0)</f>
        <v/>
      </c>
      <c r="K12" s="25">
        <f>F12+H12+I12+J12</f>
        <v/>
      </c>
      <c r="M12" t="inlineStr">
        <is>
          <t>Lakh</t>
        </is>
      </c>
      <c r="N12">
        <f>INT(MOD(K18,10^7)/10^5)</f>
        <v/>
      </c>
      <c r="P12" t="inlineStr">
        <is>
          <t>11</t>
        </is>
      </c>
      <c r="Q12" t="inlineStr">
        <is>
          <t>Sikkim</t>
        </is>
      </c>
      <c r="S12" t="n">
        <v>10</v>
      </c>
      <c r="T12" t="inlineStr">
        <is>
          <t>Ten</t>
        </is>
      </c>
    </row>
    <row r="13">
      <c r="A13" s="23" t="n">
        <v>3</v>
      </c>
      <c r="B13" s="23" t="inlineStr">
        <is>
          <t>Ceiling fan 1200 mm</t>
        </is>
      </c>
      <c r="C13" s="23" t="inlineStr">
        <is>
          <t>8414</t>
        </is>
      </c>
      <c r="D13" s="23" t="n">
        <v>25</v>
      </c>
      <c r="E13" s="24" t="n">
        <v>2390</v>
      </c>
      <c r="F13" s="25">
        <f>D13*E13</f>
        <v/>
      </c>
      <c r="G13" s="26" t="n">
        <v>0.18</v>
      </c>
      <c r="H13" s="25">
        <f>IF($E$6="Intra-state",F13*G13/2,0)</f>
        <v/>
      </c>
      <c r="I13" s="25">
        <f>H13</f>
        <v/>
      </c>
      <c r="J13" s="25">
        <f>IF($E$6="Inter-state",F13*G13,0)</f>
        <v/>
      </c>
      <c r="K13" s="25">
        <f>F13+H13+I13+J13</f>
        <v/>
      </c>
      <c r="M13" t="inlineStr">
        <is>
          <t>Thousand</t>
        </is>
      </c>
      <c r="N13">
        <f>INT(MOD(K18,10^5)/1000)</f>
        <v/>
      </c>
      <c r="P13" t="inlineStr">
        <is>
          <t>12</t>
        </is>
      </c>
      <c r="Q13" t="inlineStr">
        <is>
          <t>Arunachal Pradesh</t>
        </is>
      </c>
      <c r="S13" t="n">
        <v>11</v>
      </c>
      <c r="T13" t="inlineStr">
        <is>
          <t>Eleven</t>
        </is>
      </c>
    </row>
    <row r="14">
      <c r="A14" s="23" t="n">
        <v>4</v>
      </c>
      <c r="B14" s="23" t="inlineStr">
        <is>
          <t>Modular switch 6 A</t>
        </is>
      </c>
      <c r="C14" s="23" t="inlineStr">
        <is>
          <t>8536</t>
        </is>
      </c>
      <c r="D14" s="23" t="n">
        <v>300</v>
      </c>
      <c r="E14" s="24" t="n">
        <v>65</v>
      </c>
      <c r="F14" s="25">
        <f>D14*E14</f>
        <v/>
      </c>
      <c r="G14" s="26" t="n">
        <v>0.18</v>
      </c>
      <c r="H14" s="25">
        <f>IF($E$6="Intra-state",F14*G14/2,0)</f>
        <v/>
      </c>
      <c r="I14" s="25">
        <f>H14</f>
        <v/>
      </c>
      <c r="J14" s="25">
        <f>IF($E$6="Inter-state",F14*G14,0)</f>
        <v/>
      </c>
      <c r="K14" s="25">
        <f>F14+H14+I14+J14</f>
        <v/>
      </c>
      <c r="M14" t="inlineStr">
        <is>
          <t>Hundred</t>
        </is>
      </c>
      <c r="N14">
        <f>INT(MOD(K18,1000)/100)</f>
        <v/>
      </c>
      <c r="P14" t="inlineStr">
        <is>
          <t>13</t>
        </is>
      </c>
      <c r="Q14" t="inlineStr">
        <is>
          <t>Nagaland</t>
        </is>
      </c>
      <c r="S14" t="n">
        <v>12</v>
      </c>
      <c r="T14" t="inlineStr">
        <is>
          <t>Twelve</t>
        </is>
      </c>
    </row>
    <row r="15">
      <c r="A15" s="23" t="n">
        <v>5</v>
      </c>
      <c r="B15" s="23" t="inlineStr">
        <is>
          <t>Solar water heater 100 L</t>
        </is>
      </c>
      <c r="C15" s="23" t="inlineStr">
        <is>
          <t>8419</t>
        </is>
      </c>
      <c r="D15" s="23" t="n">
        <v>2</v>
      </c>
      <c r="E15" s="24" t="n">
        <v>18500</v>
      </c>
      <c r="F15" s="25">
        <f>D15*E15</f>
        <v/>
      </c>
      <c r="G15" s="26" t="n">
        <v>0.05</v>
      </c>
      <c r="H15" s="25">
        <f>IF($E$6="Intra-state",F15*G15/2,0)</f>
        <v/>
      </c>
      <c r="I15" s="25">
        <f>H15</f>
        <v/>
      </c>
      <c r="J15" s="25">
        <f>IF($E$6="Inter-state",F15*G15,0)</f>
        <v/>
      </c>
      <c r="K15" s="25">
        <f>F15+H15+I15+J15</f>
        <v/>
      </c>
      <c r="M15" t="inlineStr">
        <is>
          <t>Rest (0-99)</t>
        </is>
      </c>
      <c r="N15">
        <f>MOD(K18,100)</f>
        <v/>
      </c>
      <c r="P15" t="inlineStr">
        <is>
          <t>14</t>
        </is>
      </c>
      <c r="Q15" t="inlineStr">
        <is>
          <t>Manipur</t>
        </is>
      </c>
      <c r="S15" t="n">
        <v>13</v>
      </c>
      <c r="T15" t="inlineStr">
        <is>
          <t>Thirteen</t>
        </is>
      </c>
    </row>
    <row r="16">
      <c r="A16" s="23" t="n"/>
      <c r="B16" s="27" t="inlineStr">
        <is>
          <t>Total</t>
        </is>
      </c>
      <c r="C16" s="23" t="n"/>
      <c r="D16" s="23" t="n"/>
      <c r="E16" s="23" t="n"/>
      <c r="F16" s="25">
        <f>SUM(F11:F15)</f>
        <v/>
      </c>
      <c r="G16" s="28" t="n"/>
      <c r="H16" s="25">
        <f>SUM(H11:H15)</f>
        <v/>
      </c>
      <c r="I16" s="25">
        <f>SUM(I11:I15)</f>
        <v/>
      </c>
      <c r="J16" s="25">
        <f>SUM(J11:J15)</f>
        <v/>
      </c>
      <c r="K16" s="25">
        <f>SUM(K11:K15)</f>
        <v/>
      </c>
      <c r="P16" t="inlineStr">
        <is>
          <t>15</t>
        </is>
      </c>
      <c r="Q16" t="inlineStr">
        <is>
          <t>Mizoram</t>
        </is>
      </c>
      <c r="S16" t="n">
        <v>14</v>
      </c>
      <c r="T16" t="inlineStr">
        <is>
          <t>Fourteen</t>
        </is>
      </c>
    </row>
    <row r="17">
      <c r="P17" t="inlineStr">
        <is>
          <t>16</t>
        </is>
      </c>
      <c r="Q17" t="inlineStr">
        <is>
          <t>Tripura</t>
        </is>
      </c>
      <c r="S17" t="n">
        <v>15</v>
      </c>
      <c r="T17" t="inlineStr">
        <is>
          <t>Fifteen</t>
        </is>
      </c>
    </row>
    <row r="18">
      <c r="J18" s="8" t="inlineStr">
        <is>
          <t>Invoice total (rounded)</t>
        </is>
      </c>
      <c r="K18" s="5">
        <f>ROUND(K16,0)</f>
        <v/>
      </c>
      <c r="P18" t="inlineStr">
        <is>
          <t>17</t>
        </is>
      </c>
      <c r="Q18" t="inlineStr">
        <is>
          <t>Meghalaya</t>
        </is>
      </c>
      <c r="S18" t="n">
        <v>16</v>
      </c>
      <c r="T18" t="inlineStr">
        <is>
          <t>Sixteen</t>
        </is>
      </c>
    </row>
    <row r="19">
      <c r="A19" s="8" t="inlineStr">
        <is>
          <t>Amount in words</t>
        </is>
      </c>
      <c r="B19" s="6">
        <f>"Rupees "&amp;TRIM(IF(N11&gt;0,INDEX($T$2:$T$101,N11+1)&amp;" Crore ","")&amp;IF(N12&gt;0,INDEX($T$2:$T$101,N12+1)&amp;" Lakh ","")&amp;IF(N13&gt;0,INDEX($T$2:$T$101,N13+1)&amp;" Thousand ","")&amp;IF(N14&gt;0,INDEX($T$2:$T$101,N14+1)&amp;" Hundred ","")&amp;INDEX($T$2:$T$101,N15+1))&amp;" Only"</f>
        <v/>
      </c>
      <c r="P19" t="inlineStr">
        <is>
          <t>18</t>
        </is>
      </c>
      <c r="Q19" t="inlineStr">
        <is>
          <t>Assam</t>
        </is>
      </c>
      <c r="S19" t="n">
        <v>17</v>
      </c>
      <c r="T19" t="inlineStr">
        <is>
          <t>Seventeen</t>
        </is>
      </c>
    </row>
    <row r="20">
      <c r="P20" t="inlineStr">
        <is>
          <t>19</t>
        </is>
      </c>
      <c r="Q20" t="inlineStr">
        <is>
          <t>West Bengal</t>
        </is>
      </c>
      <c r="S20" t="n">
        <v>18</v>
      </c>
      <c r="T20" t="inlineStr">
        <is>
          <t>Eighteen</t>
        </is>
      </c>
    </row>
    <row r="21">
      <c r="P21" t="inlineStr">
        <is>
          <t>20</t>
        </is>
      </c>
      <c r="Q21" t="inlineStr">
        <is>
          <t>Jharkhand</t>
        </is>
      </c>
      <c r="S21" t="n">
        <v>19</v>
      </c>
      <c r="T21" t="inlineStr">
        <is>
          <t>Nineteen</t>
        </is>
      </c>
    </row>
    <row r="22">
      <c r="A22" s="14" t="inlineStr">
        <is>
          <t>SALES REGISTER: October 2025</t>
        </is>
      </c>
      <c r="P22" t="inlineStr">
        <is>
          <t>21</t>
        </is>
      </c>
      <c r="Q22" t="inlineStr">
        <is>
          <t>Odisha</t>
        </is>
      </c>
      <c r="S22" t="n">
        <v>20</v>
      </c>
      <c r="T22" t="inlineStr">
        <is>
          <t>Twenty</t>
        </is>
      </c>
    </row>
    <row r="23">
      <c r="A23" s="3" t="inlineStr">
        <is>
          <t>Invoice No</t>
        </is>
      </c>
      <c r="B23" s="3" t="inlineStr">
        <is>
          <t>Date</t>
        </is>
      </c>
      <c r="C23" s="3" t="inlineStr">
        <is>
          <t>Buyer</t>
        </is>
      </c>
      <c r="D23" s="3" t="inlineStr">
        <is>
          <t>Buyer GSTIN</t>
        </is>
      </c>
      <c r="E23" s="3" t="inlineStr">
        <is>
          <t>State code</t>
        </is>
      </c>
      <c r="F23" s="3" t="inlineStr">
        <is>
          <t>Taxable value</t>
        </is>
      </c>
      <c r="G23" s="3" t="inlineStr">
        <is>
          <t>CGST 9%</t>
        </is>
      </c>
      <c r="H23" s="3" t="inlineStr">
        <is>
          <t>SGST 9%</t>
        </is>
      </c>
      <c r="I23" s="3" t="inlineStr">
        <is>
          <t>IGST 18%</t>
        </is>
      </c>
      <c r="J23" s="3" t="inlineStr">
        <is>
          <t>Total</t>
        </is>
      </c>
      <c r="P23" t="inlineStr">
        <is>
          <t>22</t>
        </is>
      </c>
      <c r="Q23" t="inlineStr">
        <is>
          <t>Chhattisgarh</t>
        </is>
      </c>
      <c r="S23" t="n">
        <v>21</v>
      </c>
      <c r="T23" t="inlineStr">
        <is>
          <t>Twenty One</t>
        </is>
      </c>
    </row>
    <row r="24">
      <c r="A24" t="inlineStr">
        <is>
          <t>SGT/25-26/0034</t>
        </is>
      </c>
      <c r="B24" s="13" t="n">
        <v>45933</v>
      </c>
      <c r="C24" t="inlineStr">
        <is>
          <t>Patil Hardware</t>
        </is>
      </c>
      <c r="D24" t="inlineStr">
        <is>
          <t>27AABFP2231Q1Z9</t>
        </is>
      </c>
      <c r="E24" s="6">
        <f>LEFT(D24,2)</f>
        <v/>
      </c>
      <c r="F24" s="4" t="n"/>
      <c r="G24" s="5">
        <f>IF(E24=$B$4,F24*9%,0)</f>
        <v/>
      </c>
      <c r="H24" s="5">
        <f>G24</f>
        <v/>
      </c>
      <c r="I24" s="5">
        <f>IF(E24&lt;&gt;$B$4,F24*18%,0)</f>
        <v/>
      </c>
      <c r="J24" s="5">
        <f>F24+G24+H24+I24</f>
        <v/>
      </c>
      <c r="P24" t="inlineStr">
        <is>
          <t>23</t>
        </is>
      </c>
      <c r="Q24" t="inlineStr">
        <is>
          <t>Madhya Pradesh</t>
        </is>
      </c>
      <c r="S24" t="n">
        <v>22</v>
      </c>
      <c r="T24" t="inlineStr">
        <is>
          <t>Twenty Two</t>
        </is>
      </c>
    </row>
    <row r="25">
      <c r="A25" t="inlineStr">
        <is>
          <t>SGT/25-26/0035</t>
        </is>
      </c>
      <c r="B25" s="13" t="n">
        <v>45936</v>
      </c>
      <c r="C25" t="inlineStr">
        <is>
          <t>Kaveri Electricals</t>
        </is>
      </c>
      <c r="D25" t="inlineStr">
        <is>
          <t>29AAFCK7712M1Z8</t>
        </is>
      </c>
      <c r="E25" s="6">
        <f>LEFT(D25,2)</f>
        <v/>
      </c>
      <c r="F25" s="4" t="n"/>
      <c r="G25" s="5">
        <f>IF(E25=$B$4,F25*9%,0)</f>
        <v/>
      </c>
      <c r="H25" s="5">
        <f>G25</f>
        <v/>
      </c>
      <c r="I25" s="5">
        <f>IF(E25&lt;&gt;$B$4,F25*18%,0)</f>
        <v/>
      </c>
      <c r="J25" s="5">
        <f>F25+G25+H25+I25</f>
        <v/>
      </c>
      <c r="P25" t="inlineStr">
        <is>
          <t>24</t>
        </is>
      </c>
      <c r="Q25" t="inlineStr">
        <is>
          <t>Gujarat</t>
        </is>
      </c>
      <c r="S25" t="n">
        <v>23</v>
      </c>
      <c r="T25" t="inlineStr">
        <is>
          <t>Twenty Three</t>
        </is>
      </c>
    </row>
    <row r="26">
      <c r="A26" t="inlineStr">
        <is>
          <t>SGT/25-26/0036</t>
        </is>
      </c>
      <c r="B26" s="13" t="n">
        <v>45938</v>
      </c>
      <c r="C26" t="inlineStr">
        <is>
          <t>Sabarmati Traders</t>
        </is>
      </c>
      <c r="D26" t="inlineStr">
        <is>
          <t>24AAHCS5567D1Z2</t>
        </is>
      </c>
      <c r="E26" s="6">
        <f>LEFT(D26,2)</f>
        <v/>
      </c>
      <c r="F26" s="4" t="n"/>
      <c r="G26" s="5">
        <f>IF(E26=$B$4,F26*9%,0)</f>
        <v/>
      </c>
      <c r="H26" s="5">
        <f>G26</f>
        <v/>
      </c>
      <c r="I26" s="5">
        <f>IF(E26&lt;&gt;$B$4,F26*18%,0)</f>
        <v/>
      </c>
      <c r="J26" s="5">
        <f>F26+G26+H26+I26</f>
        <v/>
      </c>
      <c r="P26" t="inlineStr">
        <is>
          <t>26</t>
        </is>
      </c>
      <c r="Q26" t="inlineStr">
        <is>
          <t>Dadra and Nagar Haveli and Daman and Diu</t>
        </is>
      </c>
      <c r="S26" t="n">
        <v>24</v>
      </c>
      <c r="T26" t="inlineStr">
        <is>
          <t>Twenty Four</t>
        </is>
      </c>
    </row>
    <row r="27">
      <c r="A27" t="inlineStr">
        <is>
          <t>SGT/25-26/0037</t>
        </is>
      </c>
      <c r="B27" s="13" t="n">
        <v>45939</v>
      </c>
      <c r="C27" t="inlineStr">
        <is>
          <t>Deshmukh Builders</t>
        </is>
      </c>
      <c r="D27" t="inlineStr">
        <is>
          <t>27AACCD9081H1Z4</t>
        </is>
      </c>
      <c r="E27" s="6">
        <f>LEFT(D27,2)</f>
        <v/>
      </c>
      <c r="F27" s="4" t="n"/>
      <c r="G27" s="5">
        <f>IF(E27=$B$4,F27*9%,0)</f>
        <v/>
      </c>
      <c r="H27" s="5">
        <f>G27</f>
        <v/>
      </c>
      <c r="I27" s="5">
        <f>IF(E27&lt;&gt;$B$4,F27*18%,0)</f>
        <v/>
      </c>
      <c r="J27" s="5">
        <f>F27+G27+H27+I27</f>
        <v/>
      </c>
      <c r="P27" t="inlineStr">
        <is>
          <t>27</t>
        </is>
      </c>
      <c r="Q27" t="inlineStr">
        <is>
          <t>Maharashtra</t>
        </is>
      </c>
      <c r="S27" t="n">
        <v>25</v>
      </c>
      <c r="T27" t="inlineStr">
        <is>
          <t>Twenty Five</t>
        </is>
      </c>
    </row>
    <row r="28">
      <c r="A28" t="inlineStr">
        <is>
          <t>SGT/25-26/0038</t>
        </is>
      </c>
      <c r="B28" s="13" t="n">
        <v>45941</v>
      </c>
      <c r="C28" t="inlineStr">
        <is>
          <t>Chola Lighting</t>
        </is>
      </c>
      <c r="D28" t="inlineStr">
        <is>
          <t>33AADFC4410K1Z7</t>
        </is>
      </c>
      <c r="E28" s="6">
        <f>LEFT(D28,2)</f>
        <v/>
      </c>
      <c r="F28" s="4" t="n"/>
      <c r="G28" s="5">
        <f>IF(E28=$B$4,F28*9%,0)</f>
        <v/>
      </c>
      <c r="H28" s="5">
        <f>G28</f>
        <v/>
      </c>
      <c r="I28" s="5">
        <f>IF(E28&lt;&gt;$B$4,F28*18%,0)</f>
        <v/>
      </c>
      <c r="J28" s="5">
        <f>F28+G28+H28+I28</f>
        <v/>
      </c>
      <c r="P28" t="inlineStr">
        <is>
          <t>29</t>
        </is>
      </c>
      <c r="Q28" t="inlineStr">
        <is>
          <t>Karnataka</t>
        </is>
      </c>
      <c r="S28" t="n">
        <v>26</v>
      </c>
      <c r="T28" t="inlineStr">
        <is>
          <t>Twenty Six</t>
        </is>
      </c>
    </row>
    <row r="29">
      <c r="A29" t="inlineStr">
        <is>
          <t>SGT/25-26/0039</t>
        </is>
      </c>
      <c r="B29" s="13" t="n">
        <v>45943</v>
      </c>
      <c r="C29" t="inlineStr">
        <is>
          <t>Yamuna Electric Co</t>
        </is>
      </c>
      <c r="D29" t="inlineStr">
        <is>
          <t>07AAGFY6620B1Z1</t>
        </is>
      </c>
      <c r="E29" s="6">
        <f>LEFT(D29,2)</f>
        <v/>
      </c>
      <c r="F29" s="4" t="n"/>
      <c r="G29" s="5">
        <f>IF(E29=$B$4,F29*9%,0)</f>
        <v/>
      </c>
      <c r="H29" s="5">
        <f>G29</f>
        <v/>
      </c>
      <c r="I29" s="5">
        <f>IF(E29&lt;&gt;$B$4,F29*18%,0)</f>
        <v/>
      </c>
      <c r="J29" s="5">
        <f>F29+G29+H29+I29</f>
        <v/>
      </c>
      <c r="P29" t="inlineStr">
        <is>
          <t>30</t>
        </is>
      </c>
      <c r="Q29" t="inlineStr">
        <is>
          <t>Goa</t>
        </is>
      </c>
      <c r="S29" t="n">
        <v>27</v>
      </c>
      <c r="T29" t="inlineStr">
        <is>
          <t>Twenty Seven</t>
        </is>
      </c>
    </row>
    <row r="30">
      <c r="A30" t="inlineStr">
        <is>
          <t>SGT/25-26/0040</t>
        </is>
      </c>
      <c r="B30" s="13" t="n">
        <v>45944</v>
      </c>
      <c r="C30" t="inlineStr">
        <is>
          <t>Nashik Power Tools</t>
        </is>
      </c>
      <c r="D30" t="inlineStr">
        <is>
          <t>27AABCN7712E1Z5</t>
        </is>
      </c>
      <c r="E30" s="6">
        <f>LEFT(D30,2)</f>
        <v/>
      </c>
      <c r="F30" s="4" t="n"/>
      <c r="G30" s="5">
        <f>IF(E30=$B$4,F30*9%,0)</f>
        <v/>
      </c>
      <c r="H30" s="5">
        <f>G30</f>
        <v/>
      </c>
      <c r="I30" s="5">
        <f>IF(E30&lt;&gt;$B$4,F30*18%,0)</f>
        <v/>
      </c>
      <c r="J30" s="5">
        <f>F30+G30+H30+I30</f>
        <v/>
      </c>
      <c r="P30" t="inlineStr">
        <is>
          <t>31</t>
        </is>
      </c>
      <c r="Q30" t="inlineStr">
        <is>
          <t>Lakshadweep</t>
        </is>
      </c>
      <c r="S30" t="n">
        <v>28</v>
      </c>
      <c r="T30" t="inlineStr">
        <is>
          <t>Twenty Eight</t>
        </is>
      </c>
    </row>
    <row r="31">
      <c r="A31" t="inlineStr">
        <is>
          <t>SGT/25-26/0041</t>
        </is>
      </c>
      <c r="B31" s="13" t="n">
        <v>45944</v>
      </c>
      <c r="C31" t="inlineStr">
        <is>
          <t>Deccan Switchgear</t>
        </is>
      </c>
      <c r="D31" t="inlineStr">
        <is>
          <t>36AAECD3345F1Z8</t>
        </is>
      </c>
      <c r="E31" s="6">
        <f>LEFT(D31,2)</f>
        <v/>
      </c>
      <c r="F31" s="4" t="n"/>
      <c r="G31" s="5">
        <f>IF(E31=$B$4,F31*9%,0)</f>
        <v/>
      </c>
      <c r="H31" s="5">
        <f>G31</f>
        <v/>
      </c>
      <c r="I31" s="5">
        <f>IF(E31&lt;&gt;$B$4,F31*18%,0)</f>
        <v/>
      </c>
      <c r="J31" s="5">
        <f>F31+G31+H31+I31</f>
        <v/>
      </c>
      <c r="P31" t="inlineStr">
        <is>
          <t>32</t>
        </is>
      </c>
      <c r="Q31" t="inlineStr">
        <is>
          <t>Kerala</t>
        </is>
      </c>
      <c r="S31" t="n">
        <v>29</v>
      </c>
      <c r="T31" t="inlineStr">
        <is>
          <t>Twenty Nine</t>
        </is>
      </c>
    </row>
    <row r="32">
      <c r="D32" s="8" t="inlineStr">
        <is>
          <t>Total</t>
        </is>
      </c>
      <c r="F32" s="4">
        <f>SUM(F24:F31)</f>
        <v/>
      </c>
      <c r="G32" s="4">
        <f>SUM(G24:G31)</f>
        <v/>
      </c>
      <c r="H32" s="4">
        <f>SUM(H24:H31)</f>
        <v/>
      </c>
      <c r="I32" s="4">
        <f>SUM(I24:I31)</f>
        <v/>
      </c>
      <c r="J32" s="4">
        <f>SUM(J24:J31)</f>
        <v/>
      </c>
      <c r="P32" t="inlineStr">
        <is>
          <t>33</t>
        </is>
      </c>
      <c r="Q32" t="inlineStr">
        <is>
          <t>Tamil Nadu</t>
        </is>
      </c>
      <c r="S32" t="n">
        <v>30</v>
      </c>
      <c r="T32" t="inlineStr">
        <is>
          <t>Thirty</t>
        </is>
      </c>
    </row>
    <row r="33">
      <c r="P33" t="inlineStr">
        <is>
          <t>34</t>
        </is>
      </c>
      <c r="Q33" t="inlineStr">
        <is>
          <t>Puducherry</t>
        </is>
      </c>
      <c r="S33" t="n">
        <v>31</v>
      </c>
      <c r="T33" t="inlineStr">
        <is>
          <t>Thirty One</t>
        </is>
      </c>
    </row>
    <row r="34">
      <c r="A34" s="8" t="inlineStr">
        <is>
          <t>Challenge: inter-state sales count</t>
        </is>
      </c>
      <c r="F34">
        <f>COUNTIF(I24:I31,"&gt;0")</f>
        <v/>
      </c>
      <c r="P34" t="inlineStr">
        <is>
          <t>35</t>
        </is>
      </c>
      <c r="Q34" t="inlineStr">
        <is>
          <t>Andaman and Nicobar Islands</t>
        </is>
      </c>
      <c r="S34" t="n">
        <v>32</v>
      </c>
      <c r="T34" t="inlineStr">
        <is>
          <t>Thirty Two</t>
        </is>
      </c>
    </row>
    <row r="35">
      <c r="P35" t="inlineStr">
        <is>
          <t>36</t>
        </is>
      </c>
      <c r="Q35" t="inlineStr">
        <is>
          <t>Telangana</t>
        </is>
      </c>
      <c r="S35" t="n">
        <v>33</v>
      </c>
      <c r="T35" t="inlineStr">
        <is>
          <t>Thirty Three</t>
        </is>
      </c>
    </row>
    <row r="36">
      <c r="P36" t="inlineStr">
        <is>
          <t>37</t>
        </is>
      </c>
      <c r="Q36" t="inlineStr">
        <is>
          <t>Andhra Pradesh</t>
        </is>
      </c>
      <c r="S36" t="n">
        <v>34</v>
      </c>
      <c r="T36" t="inlineStr">
        <is>
          <t>Thirty Four</t>
        </is>
      </c>
    </row>
    <row r="37">
      <c r="P37" t="inlineStr">
        <is>
          <t>38</t>
        </is>
      </c>
      <c r="Q37" t="inlineStr">
        <is>
          <t>Ladakh</t>
        </is>
      </c>
      <c r="S37" t="n">
        <v>35</v>
      </c>
      <c r="T37" t="inlineStr">
        <is>
          <t>Thirty Five</t>
        </is>
      </c>
    </row>
    <row r="38">
      <c r="S38" t="n">
        <v>36</v>
      </c>
      <c r="T38" t="inlineStr">
        <is>
          <t>Thirty Six</t>
        </is>
      </c>
    </row>
    <row r="39">
      <c r="S39" t="n">
        <v>37</v>
      </c>
      <c r="T39" t="inlineStr">
        <is>
          <t>Thirty Seven</t>
        </is>
      </c>
    </row>
    <row r="40">
      <c r="S40" t="n">
        <v>38</v>
      </c>
      <c r="T40" t="inlineStr">
        <is>
          <t>Thirty Eight</t>
        </is>
      </c>
    </row>
    <row r="41">
      <c r="S41" t="n">
        <v>39</v>
      </c>
      <c r="T41" t="inlineStr">
        <is>
          <t>Thirty Nine</t>
        </is>
      </c>
    </row>
    <row r="42">
      <c r="S42" t="n">
        <v>40</v>
      </c>
      <c r="T42" t="inlineStr">
        <is>
          <t>Forty</t>
        </is>
      </c>
    </row>
    <row r="43">
      <c r="S43" t="n">
        <v>41</v>
      </c>
      <c r="T43" t="inlineStr">
        <is>
          <t>Forty One</t>
        </is>
      </c>
    </row>
    <row r="44">
      <c r="S44" t="n">
        <v>42</v>
      </c>
      <c r="T44" t="inlineStr">
        <is>
          <t>Forty Two</t>
        </is>
      </c>
    </row>
    <row r="45">
      <c r="S45" t="n">
        <v>43</v>
      </c>
      <c r="T45" t="inlineStr">
        <is>
          <t>Forty Three</t>
        </is>
      </c>
    </row>
    <row r="46">
      <c r="S46" t="n">
        <v>44</v>
      </c>
      <c r="T46" t="inlineStr">
        <is>
          <t>Forty Four</t>
        </is>
      </c>
    </row>
    <row r="47">
      <c r="S47" t="n">
        <v>45</v>
      </c>
      <c r="T47" t="inlineStr">
        <is>
          <t>Forty Five</t>
        </is>
      </c>
    </row>
    <row r="48">
      <c r="S48" t="n">
        <v>46</v>
      </c>
      <c r="T48" t="inlineStr">
        <is>
          <t>Forty Six</t>
        </is>
      </c>
    </row>
    <row r="49">
      <c r="S49" t="n">
        <v>47</v>
      </c>
      <c r="T49" t="inlineStr">
        <is>
          <t>Forty Seven</t>
        </is>
      </c>
    </row>
    <row r="50">
      <c r="S50" t="n">
        <v>48</v>
      </c>
      <c r="T50" t="inlineStr">
        <is>
          <t>Forty Eight</t>
        </is>
      </c>
    </row>
    <row r="51">
      <c r="S51" t="n">
        <v>49</v>
      </c>
      <c r="T51" t="inlineStr">
        <is>
          <t>Forty Nine</t>
        </is>
      </c>
    </row>
    <row r="52">
      <c r="S52" t="n">
        <v>50</v>
      </c>
      <c r="T52" t="inlineStr">
        <is>
          <t>Fifty</t>
        </is>
      </c>
    </row>
    <row r="53">
      <c r="S53" t="n">
        <v>51</v>
      </c>
      <c r="T53" t="inlineStr">
        <is>
          <t>Fifty One</t>
        </is>
      </c>
    </row>
    <row r="54">
      <c r="S54" t="n">
        <v>52</v>
      </c>
      <c r="T54" t="inlineStr">
        <is>
          <t>Fifty Two</t>
        </is>
      </c>
    </row>
    <row r="55">
      <c r="S55" t="n">
        <v>53</v>
      </c>
      <c r="T55" t="inlineStr">
        <is>
          <t>Fifty Three</t>
        </is>
      </c>
    </row>
    <row r="56">
      <c r="S56" t="n">
        <v>54</v>
      </c>
      <c r="T56" t="inlineStr">
        <is>
          <t>Fifty Four</t>
        </is>
      </c>
    </row>
    <row r="57">
      <c r="S57" t="n">
        <v>55</v>
      </c>
      <c r="T57" t="inlineStr">
        <is>
          <t>Fifty Five</t>
        </is>
      </c>
    </row>
    <row r="58">
      <c r="S58" t="n">
        <v>56</v>
      </c>
      <c r="T58" t="inlineStr">
        <is>
          <t>Fifty Six</t>
        </is>
      </c>
    </row>
    <row r="59">
      <c r="S59" t="n">
        <v>57</v>
      </c>
      <c r="T59" t="inlineStr">
        <is>
          <t>Fifty Seven</t>
        </is>
      </c>
    </row>
    <row r="60">
      <c r="S60" t="n">
        <v>58</v>
      </c>
      <c r="T60" t="inlineStr">
        <is>
          <t>Fifty Eight</t>
        </is>
      </c>
    </row>
    <row r="61">
      <c r="S61" t="n">
        <v>59</v>
      </c>
      <c r="T61" t="inlineStr">
        <is>
          <t>Fifty Nine</t>
        </is>
      </c>
    </row>
    <row r="62">
      <c r="S62" t="n">
        <v>60</v>
      </c>
      <c r="T62" t="inlineStr">
        <is>
          <t>Sixty</t>
        </is>
      </c>
    </row>
    <row r="63">
      <c r="S63" t="n">
        <v>61</v>
      </c>
      <c r="T63" t="inlineStr">
        <is>
          <t>Sixty One</t>
        </is>
      </c>
    </row>
    <row r="64">
      <c r="S64" t="n">
        <v>62</v>
      </c>
      <c r="T64" t="inlineStr">
        <is>
          <t>Sixty Two</t>
        </is>
      </c>
    </row>
    <row r="65">
      <c r="S65" t="n">
        <v>63</v>
      </c>
      <c r="T65" t="inlineStr">
        <is>
          <t>Sixty Three</t>
        </is>
      </c>
    </row>
    <row r="66">
      <c r="S66" t="n">
        <v>64</v>
      </c>
      <c r="T66" t="inlineStr">
        <is>
          <t>Sixty Four</t>
        </is>
      </c>
    </row>
    <row r="67">
      <c r="S67" t="n">
        <v>65</v>
      </c>
      <c r="T67" t="inlineStr">
        <is>
          <t>Sixty Five</t>
        </is>
      </c>
    </row>
    <row r="68">
      <c r="S68" t="n">
        <v>66</v>
      </c>
      <c r="T68" t="inlineStr">
        <is>
          <t>Sixty Six</t>
        </is>
      </c>
    </row>
    <row r="69">
      <c r="S69" t="n">
        <v>67</v>
      </c>
      <c r="T69" t="inlineStr">
        <is>
          <t>Sixty Seven</t>
        </is>
      </c>
    </row>
    <row r="70">
      <c r="S70" t="n">
        <v>68</v>
      </c>
      <c r="T70" t="inlineStr">
        <is>
          <t>Sixty Eight</t>
        </is>
      </c>
    </row>
    <row r="71">
      <c r="S71" t="n">
        <v>69</v>
      </c>
      <c r="T71" t="inlineStr">
        <is>
          <t>Sixty Nine</t>
        </is>
      </c>
    </row>
    <row r="72">
      <c r="S72" t="n">
        <v>70</v>
      </c>
      <c r="T72" t="inlineStr">
        <is>
          <t>Seventy</t>
        </is>
      </c>
    </row>
    <row r="73">
      <c r="S73" t="n">
        <v>71</v>
      </c>
      <c r="T73" t="inlineStr">
        <is>
          <t>Seventy One</t>
        </is>
      </c>
    </row>
    <row r="74">
      <c r="S74" t="n">
        <v>72</v>
      </c>
      <c r="T74" t="inlineStr">
        <is>
          <t>Seventy Two</t>
        </is>
      </c>
    </row>
    <row r="75">
      <c r="S75" t="n">
        <v>73</v>
      </c>
      <c r="T75" t="inlineStr">
        <is>
          <t>Seventy Three</t>
        </is>
      </c>
    </row>
    <row r="76">
      <c r="S76" t="n">
        <v>74</v>
      </c>
      <c r="T76" t="inlineStr">
        <is>
          <t>Seventy Four</t>
        </is>
      </c>
    </row>
    <row r="77">
      <c r="S77" t="n">
        <v>75</v>
      </c>
      <c r="T77" t="inlineStr">
        <is>
          <t>Seventy Five</t>
        </is>
      </c>
    </row>
    <row r="78">
      <c r="S78" t="n">
        <v>76</v>
      </c>
      <c r="T78" t="inlineStr">
        <is>
          <t>Seventy Six</t>
        </is>
      </c>
    </row>
    <row r="79">
      <c r="S79" t="n">
        <v>77</v>
      </c>
      <c r="T79" t="inlineStr">
        <is>
          <t>Seventy Seven</t>
        </is>
      </c>
    </row>
    <row r="80">
      <c r="S80" t="n">
        <v>78</v>
      </c>
      <c r="T80" t="inlineStr">
        <is>
          <t>Seventy Eight</t>
        </is>
      </c>
    </row>
    <row r="81">
      <c r="S81" t="n">
        <v>79</v>
      </c>
      <c r="T81" t="inlineStr">
        <is>
          <t>Seventy Nine</t>
        </is>
      </c>
    </row>
    <row r="82">
      <c r="S82" t="n">
        <v>80</v>
      </c>
      <c r="T82" t="inlineStr">
        <is>
          <t>Eighty</t>
        </is>
      </c>
    </row>
    <row r="83">
      <c r="S83" t="n">
        <v>81</v>
      </c>
      <c r="T83" t="inlineStr">
        <is>
          <t>Eighty One</t>
        </is>
      </c>
    </row>
    <row r="84">
      <c r="S84" t="n">
        <v>82</v>
      </c>
      <c r="T84" t="inlineStr">
        <is>
          <t>Eighty Two</t>
        </is>
      </c>
    </row>
    <row r="85">
      <c r="S85" t="n">
        <v>83</v>
      </c>
      <c r="T85" t="inlineStr">
        <is>
          <t>Eighty Three</t>
        </is>
      </c>
    </row>
    <row r="86">
      <c r="S86" t="n">
        <v>84</v>
      </c>
      <c r="T86" t="inlineStr">
        <is>
          <t>Eighty Four</t>
        </is>
      </c>
    </row>
    <row r="87">
      <c r="S87" t="n">
        <v>85</v>
      </c>
      <c r="T87" t="inlineStr">
        <is>
          <t>Eighty Five</t>
        </is>
      </c>
    </row>
    <row r="88">
      <c r="S88" t="n">
        <v>86</v>
      </c>
      <c r="T88" t="inlineStr">
        <is>
          <t>Eighty Six</t>
        </is>
      </c>
    </row>
    <row r="89">
      <c r="S89" t="n">
        <v>87</v>
      </c>
      <c r="T89" t="inlineStr">
        <is>
          <t>Eighty Seven</t>
        </is>
      </c>
    </row>
    <row r="90">
      <c r="S90" t="n">
        <v>88</v>
      </c>
      <c r="T90" t="inlineStr">
        <is>
          <t>Eighty Eight</t>
        </is>
      </c>
    </row>
    <row r="91">
      <c r="S91" t="n">
        <v>89</v>
      </c>
      <c r="T91" t="inlineStr">
        <is>
          <t>Eighty Nine</t>
        </is>
      </c>
    </row>
    <row r="92">
      <c r="S92" t="n">
        <v>90</v>
      </c>
      <c r="T92" t="inlineStr">
        <is>
          <t>Ninety</t>
        </is>
      </c>
    </row>
    <row r="93">
      <c r="S93" t="n">
        <v>91</v>
      </c>
      <c r="T93" t="inlineStr">
        <is>
          <t>Ninety One</t>
        </is>
      </c>
    </row>
    <row r="94">
      <c r="S94" t="n">
        <v>92</v>
      </c>
      <c r="T94" t="inlineStr">
        <is>
          <t>Ninety Two</t>
        </is>
      </c>
    </row>
    <row r="95">
      <c r="S95" t="n">
        <v>93</v>
      </c>
      <c r="T95" t="inlineStr">
        <is>
          <t>Ninety Three</t>
        </is>
      </c>
    </row>
    <row r="96">
      <c r="S96" t="n">
        <v>94</v>
      </c>
      <c r="T96" t="inlineStr">
        <is>
          <t>Ninety Four</t>
        </is>
      </c>
    </row>
    <row r="97">
      <c r="S97" t="n">
        <v>95</v>
      </c>
      <c r="T97" t="inlineStr">
        <is>
          <t>Ninety Five</t>
        </is>
      </c>
    </row>
    <row r="98">
      <c r="S98" t="n">
        <v>96</v>
      </c>
      <c r="T98" t="inlineStr">
        <is>
          <t>Ninety Six</t>
        </is>
      </c>
    </row>
    <row r="99">
      <c r="S99" t="n">
        <v>97</v>
      </c>
      <c r="T99" t="inlineStr">
        <is>
          <t>Ninety Seven</t>
        </is>
      </c>
    </row>
    <row r="100">
      <c r="S100" t="n">
        <v>98</v>
      </c>
      <c r="T100" t="inlineStr">
        <is>
          <t>Ninety Eight</t>
        </is>
      </c>
    </row>
    <row r="101">
      <c r="S101" t="n">
        <v>99</v>
      </c>
      <c r="T101" t="inlineStr">
        <is>
          <t>Ninety Nine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2026-10-23T10:15:25Z</dcterms:created>
  <dcterms:modified xmlns:dcterms="http://purl.org/dc/terms/" xmlns:xsi="http://www.w3.org/2001/XMLSchema-instance" xsi:type="dcterms:W3CDTF">2026-10-23T10:15:25Z</dcterms:modified>
</cp:coreProperties>
</file>