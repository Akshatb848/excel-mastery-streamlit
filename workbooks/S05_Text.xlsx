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05-01" sheetId="2" state="visible" r:id="rId2"/>
    <sheet xmlns:r="http://schemas.openxmlformats.org/officeDocument/2006/relationships" name="S05-01 Done" sheetId="3" state="visible" r:id="rId3"/>
    <sheet xmlns:r="http://schemas.openxmlformats.org/officeDocument/2006/relationships" name="S05-02" sheetId="4" state="visible" r:id="rId4"/>
    <sheet xmlns:r="http://schemas.openxmlformats.org/officeDocument/2006/relationships" name="S05-02 Done" sheetId="5" state="visible" r:id="rId5"/>
    <sheet xmlns:r="http://schemas.openxmlformats.org/officeDocument/2006/relationships" name="S05-03" sheetId="6" state="visible" r:id="rId6"/>
    <sheet xmlns:r="http://schemas.openxmlformats.org/officeDocument/2006/relationships" name="S05-03 Done" sheetId="7" state="visible" r:id="rId7"/>
    <sheet xmlns:r="http://schemas.openxmlformats.org/officeDocument/2006/relationships" name="S05-04" sheetId="8" state="visible" r:id="rId8"/>
    <sheet xmlns:r="http://schemas.openxmlformats.org/officeDocument/2006/relationships" name="S05-04 Done" sheetId="9" state="visible" r:id="rId9"/>
    <sheet xmlns:r="http://schemas.openxmlformats.org/officeDocument/2006/relationships" name="S05-05" sheetId="10" state="visible" r:id="rId10"/>
    <sheet xmlns:r="http://schemas.openxmlformats.org/officeDocument/2006/relationships" name="S05-05 Done" sheetId="11" state="visible" r:id="rId11"/>
    <sheet xmlns:r="http://schemas.openxmlformats.org/officeDocument/2006/relationships" name="S05-06" sheetId="12" state="visible" r:id="rId12"/>
    <sheet xmlns:r="http://schemas.openxmlformats.org/officeDocument/2006/relationships" name="S05-06 Done" sheetId="13" state="visible" r:id="rId13"/>
    <sheet xmlns:r="http://schemas.openxmlformats.org/officeDocument/2006/relationships" name="S05-07" sheetId="14" state="visible" r:id="rId14"/>
    <sheet xmlns:r="http://schemas.openxmlformats.org/officeDocument/2006/relationships" name="S05-07 Done" sheetId="15" state="visible" r:id="rId15"/>
    <sheet xmlns:r="http://schemas.openxmlformats.org/officeDocument/2006/relationships" name="S05-08" sheetId="16" state="visible" r:id="rId16"/>
    <sheet xmlns:r="http://schemas.openxmlformats.org/officeDocument/2006/relationships" name="S05-08 Done" sheetId="17" state="visible" r:id="rId17"/>
    <sheet xmlns:r="http://schemas.openxmlformats.org/officeDocument/2006/relationships" name="S05-09" sheetId="18" state="visible" r:id="rId18"/>
    <sheet xmlns:r="http://schemas.openxmlformats.org/officeDocument/2006/relationships" name="S05-09 Answers" sheetId="19" state="visible" r:id="rId19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[&gt;=10000000]&quot;₹&quot;##\,##\,##\,##0;[&gt;=100000]&quot;₹&quot;##\,##\,##0;&quot;₹&quot;##,##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9" fontId="0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4" fillId="0" borderId="0" pivotButton="0" quotePrefix="0" xfId="0"/>
    <xf numFmtId="165" fontId="0" fillId="3" borderId="0" pivotButton="0" quotePrefix="0" xfId="0"/>
    <xf numFmtId="0" fontId="2" fillId="0" borderId="0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Relationship Id="rIdMeta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14" customWidth="1" min="4" max="4"/>
    <col width="16" customWidth="1" min="5" max="5"/>
  </cols>
  <sheetData>
    <row r="1">
      <c r="A1" s="1" t="inlineStr">
        <is>
          <t>Excel Mastery for Mac: Section S05, Text functions and cleaning</t>
        </is>
      </c>
    </row>
    <row r="2">
      <c r="A2" t="inlineStr">
        <is>
          <t>Each lesson has a practice sheet and a finished copy ('&lt;id&gt; Done'); the challenge has an 'Answers' sheet. Yellow cells are for you. All data is fictitious sample data.</t>
        </is>
      </c>
    </row>
    <row r="4">
      <c r="A4" s="2" t="inlineStr">
        <is>
          <t>Lesson</t>
        </is>
      </c>
      <c r="B4" s="2" t="inlineStr">
        <is>
          <t>Title</t>
        </is>
      </c>
      <c r="C4" s="2" t="inlineStr">
        <is>
          <t>Type</t>
        </is>
      </c>
      <c r="D4" s="2" t="inlineStr">
        <is>
          <t>Practice sheet</t>
        </is>
      </c>
      <c r="E4" s="2" t="inlineStr">
        <is>
          <t>Finished sheet</t>
        </is>
      </c>
    </row>
    <row r="5">
      <c r="A5" t="inlineStr">
        <is>
          <t>S05-01</t>
        </is>
      </c>
      <c r="B5" t="inlineStr">
        <is>
          <t>LEFT, RIGHT, MID and LEN</t>
        </is>
      </c>
      <c r="C5" t="inlineStr">
        <is>
          <t>demo</t>
        </is>
      </c>
      <c r="D5" t="inlineStr">
        <is>
          <t>S05-01</t>
        </is>
      </c>
      <c r="E5" t="inlineStr">
        <is>
          <t>S05-01 Done</t>
        </is>
      </c>
    </row>
    <row r="6">
      <c r="A6" t="inlineStr">
        <is>
          <t>S05-02</t>
        </is>
      </c>
      <c r="B6" t="inlineStr">
        <is>
          <t>FIND, SEARCH, SUBSTITUTE and REPLACE</t>
        </is>
      </c>
      <c r="C6" t="inlineStr">
        <is>
          <t>demo</t>
        </is>
      </c>
      <c r="D6" t="inlineStr">
        <is>
          <t>S05-02</t>
        </is>
      </c>
      <c r="E6" t="inlineStr">
        <is>
          <t>S05-02 Done</t>
        </is>
      </c>
    </row>
    <row r="7">
      <c r="A7" t="inlineStr">
        <is>
          <t>S05-03</t>
        </is>
      </c>
      <c r="B7" t="inlineStr">
        <is>
          <t>UPPER, LOWER, PROPER, TRIM and CLEAN</t>
        </is>
      </c>
      <c r="C7" t="inlineStr">
        <is>
          <t>demo</t>
        </is>
      </c>
      <c r="D7" t="inlineStr">
        <is>
          <t>S05-03</t>
        </is>
      </c>
      <c r="E7" t="inlineStr">
        <is>
          <t>S05-03 Done</t>
        </is>
      </c>
    </row>
    <row r="8">
      <c r="A8" t="inlineStr">
        <is>
          <t>S05-04</t>
        </is>
      </c>
      <c r="B8" t="inlineStr">
        <is>
          <t>Joining text: &amp;, CONCAT and TEXTJOIN</t>
        </is>
      </c>
      <c r="C8" t="inlineStr">
        <is>
          <t>demo</t>
        </is>
      </c>
      <c r="D8" t="inlineStr">
        <is>
          <t>S05-04</t>
        </is>
      </c>
      <c r="E8" t="inlineStr">
        <is>
          <t>S05-04 Done</t>
        </is>
      </c>
    </row>
    <row r="9">
      <c r="A9" t="inlineStr">
        <is>
          <t>S05-05</t>
        </is>
      </c>
      <c r="B9" t="inlineStr">
        <is>
          <t>TEXT and VALUE</t>
        </is>
      </c>
      <c r="C9" t="inlineStr">
        <is>
          <t>demo</t>
        </is>
      </c>
      <c r="D9" t="inlineStr">
        <is>
          <t>S05-05</t>
        </is>
      </c>
      <c r="E9" t="inlineStr">
        <is>
          <t>S05-05 Done</t>
        </is>
      </c>
    </row>
    <row r="10">
      <c r="A10" t="inlineStr">
        <is>
          <t>S05-06</t>
        </is>
      </c>
      <c r="B10" t="inlineStr">
        <is>
          <t>TEXTBEFORE, TEXTAFTER and TEXTSPLIT</t>
        </is>
      </c>
      <c r="C10" t="inlineStr">
        <is>
          <t>demo</t>
        </is>
      </c>
      <c r="D10" t="inlineStr">
        <is>
          <t>S05-06</t>
        </is>
      </c>
      <c r="E10" t="inlineStr">
        <is>
          <t>S05-06 Done</t>
        </is>
      </c>
    </row>
    <row r="11">
      <c r="A11" t="inlineStr">
        <is>
          <t>S05-07</t>
        </is>
      </c>
      <c r="B11" t="inlineStr">
        <is>
          <t>REGEX functions: validate PAN, GSTIN and phone numbers</t>
        </is>
      </c>
      <c r="C11" t="inlineStr">
        <is>
          <t>demo</t>
        </is>
      </c>
      <c r="D11" t="inlineStr">
        <is>
          <t>S05-07</t>
        </is>
      </c>
      <c r="E11" t="inlineStr">
        <is>
          <t>S05-07 Done</t>
        </is>
      </c>
    </row>
    <row r="12">
      <c r="A12" t="inlineStr">
        <is>
          <t>S05-08</t>
        </is>
      </c>
      <c r="B12" t="inlineStr">
        <is>
          <t>Text to Columns and Remove Duplicates</t>
        </is>
      </c>
      <c r="C12" t="inlineStr">
        <is>
          <t>demo</t>
        </is>
      </c>
      <c r="D12" t="inlineStr">
        <is>
          <t>S05-08</t>
        </is>
      </c>
      <c r="E12" t="inlineStr">
        <is>
          <t>S05-08 Done</t>
        </is>
      </c>
    </row>
    <row r="13">
      <c r="A13" t="inlineStr">
        <is>
          <t>S05-09</t>
        </is>
      </c>
      <c r="B13" t="inlineStr">
        <is>
          <t>Challenge 4: clean a messy customer export</t>
        </is>
      </c>
      <c r="C13" t="inlineStr">
        <is>
          <t>challenge</t>
        </is>
      </c>
      <c r="D13" t="inlineStr">
        <is>
          <t>S05-09</t>
        </is>
      </c>
      <c r="E13" t="inlineStr">
        <is>
          <t>S05-09 Answers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3" customWidth="1" min="4" max="4"/>
    <col width="9" customWidth="1" min="5" max="5"/>
    <col width="13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2" t="inlineStr">
        <is>
          <t>Supplier</t>
        </is>
      </c>
      <c r="B1" s="2" t="inlineStr">
        <is>
          <t>City</t>
        </is>
      </c>
      <c r="C1" s="2" t="inlineStr">
        <is>
          <t>GSTIN</t>
        </is>
      </c>
      <c r="D1" s="2" t="inlineStr">
        <is>
          <t>Mobile</t>
        </is>
      </c>
      <c r="E1" s="2" t="inlineStr">
        <is>
          <t>State code</t>
        </is>
      </c>
      <c r="F1" s="2" t="inlineStr">
        <is>
          <t>PAN</t>
        </is>
      </c>
      <c r="G1" s="2" t="inlineStr">
        <is>
          <t>GSTIN length</t>
        </is>
      </c>
      <c r="H1" s="2" t="inlineStr">
        <is>
          <t>Mobile length</t>
        </is>
      </c>
      <c r="I1" s="2" t="inlineStr">
        <is>
          <t>Last 4 digits</t>
        </is>
      </c>
      <c r="J1" s="2" t="inlineStr">
        <is>
          <t>PAN holder type</t>
        </is>
      </c>
    </row>
    <row r="2">
      <c r="A2" t="inlineStr">
        <is>
          <t>Shree Balaji Textiles</t>
        </is>
      </c>
      <c r="B2" t="inlineStr">
        <is>
          <t>Surat</t>
        </is>
      </c>
      <c r="C2" t="inlineStr">
        <is>
          <t>24AAKFS4821K1Z0</t>
        </is>
      </c>
      <c r="D2" s="3" t="inlineStr">
        <is>
          <t>9825012345</t>
        </is>
      </c>
      <c r="E2" s="4" t="n"/>
      <c r="F2" s="4" t="n"/>
      <c r="G2" s="4" t="n"/>
      <c r="H2" s="4" t="n"/>
      <c r="I2" s="4" t="n"/>
      <c r="J2" s="4" t="n"/>
    </row>
    <row r="3">
      <c r="A3" t="inlineStr">
        <is>
          <t>Kaveri Spices</t>
        </is>
      </c>
      <c r="B3" t="inlineStr">
        <is>
          <t>Mysuru</t>
        </is>
      </c>
      <c r="C3" t="inlineStr">
        <is>
          <t>29AAGCK1259P1ZW</t>
        </is>
      </c>
      <c r="D3" s="3" t="inlineStr">
        <is>
          <t>9844523190</t>
        </is>
      </c>
      <c r="E3" s="4" t="n"/>
      <c r="F3" s="4" t="n"/>
      <c r="G3" s="4" t="n"/>
      <c r="H3" s="4" t="n"/>
      <c r="I3" s="4" t="n"/>
      <c r="J3" s="4" t="n"/>
    </row>
    <row r="4">
      <c r="A4" t="inlineStr">
        <is>
          <t>Indus Auto Parts</t>
        </is>
      </c>
      <c r="B4" t="inlineStr">
        <is>
          <t>Pune</t>
        </is>
      </c>
      <c r="C4" t="inlineStr">
        <is>
          <t>27AABCI7364M1Z3</t>
        </is>
      </c>
      <c r="D4" s="3" t="inlineStr">
        <is>
          <t>9822045678</t>
        </is>
      </c>
      <c r="E4" s="4" t="n"/>
      <c r="F4" s="4" t="n"/>
      <c r="G4" s="4" t="n"/>
      <c r="H4" s="4" t="n"/>
      <c r="I4" s="4" t="n"/>
      <c r="J4" s="4" t="n"/>
    </row>
    <row r="5">
      <c r="A5" t="inlineStr">
        <is>
          <t>Ganga Paper Mills</t>
        </is>
      </c>
      <c r="B5" t="inlineStr">
        <is>
          <t>Kanpur</t>
        </is>
      </c>
      <c r="C5" t="inlineStr">
        <is>
          <t>09AADCG5813L1ZD</t>
        </is>
      </c>
      <c r="D5" s="3" t="inlineStr">
        <is>
          <t>9415067321</t>
        </is>
      </c>
      <c r="E5" s="4" t="n"/>
      <c r="F5" s="4" t="n"/>
      <c r="G5" s="4" t="n"/>
      <c r="H5" s="4" t="n"/>
      <c r="I5" s="4" t="n"/>
      <c r="J5" s="4" t="n"/>
    </row>
    <row r="6">
      <c r="A6" t="inlineStr">
        <is>
          <t>Coromandel Fabrics</t>
        </is>
      </c>
      <c r="B6" t="inlineStr">
        <is>
          <t>Chennai</t>
        </is>
      </c>
      <c r="C6" t="inlineStr">
        <is>
          <t>33AABCC6402N1ZT</t>
        </is>
      </c>
      <c r="D6" s="3" t="inlineStr">
        <is>
          <t>09840123456</t>
        </is>
      </c>
      <c r="E6" s="4" t="n"/>
      <c r="F6" s="4" t="n"/>
      <c r="G6" s="4" t="n"/>
      <c r="H6" s="4" t="n"/>
      <c r="I6" s="4" t="n"/>
      <c r="J6" s="4" t="n"/>
    </row>
    <row r="7">
      <c r="A7" t="inlineStr">
        <is>
          <t>Hooghly Jute Works</t>
        </is>
      </c>
      <c r="B7" t="inlineStr">
        <is>
          <t>Kolkata</t>
        </is>
      </c>
      <c r="C7" t="inlineStr">
        <is>
          <t>19AAEFH9077Q1ZE</t>
        </is>
      </c>
      <c r="D7" s="3" t="inlineStr">
        <is>
          <t>9830098765</t>
        </is>
      </c>
      <c r="E7" s="4" t="n"/>
      <c r="F7" s="4" t="n"/>
      <c r="G7" s="4" t="n"/>
      <c r="H7" s="4" t="n"/>
      <c r="I7" s="4" t="n"/>
      <c r="J7" s="4" t="n"/>
    </row>
    <row r="8">
      <c r="A8" t="inlineStr">
        <is>
          <t>Charminar Pharma Distributors</t>
        </is>
      </c>
      <c r="B8" t="inlineStr">
        <is>
          <t>Hyderabad</t>
        </is>
      </c>
      <c r="C8" t="inlineStr">
        <is>
          <t>36AAHCC330D1ZT</t>
        </is>
      </c>
      <c r="D8" s="3" t="inlineStr">
        <is>
          <t>9849011223</t>
        </is>
      </c>
      <c r="E8" s="4" t="n"/>
      <c r="F8" s="4" t="n"/>
      <c r="G8" s="4" t="n"/>
      <c r="H8" s="4" t="n"/>
      <c r="I8" s="4" t="n"/>
      <c r="J8" s="4" t="n"/>
    </row>
    <row r="9">
      <c r="A9" t="inlineStr">
        <is>
          <t>Malabar Cashew Exports</t>
        </is>
      </c>
      <c r="B9" t="inlineStr">
        <is>
          <t>Kollam</t>
        </is>
      </c>
      <c r="C9" t="inlineStr">
        <is>
          <t>32AAJFM2216B1Z0</t>
        </is>
      </c>
      <c r="D9" s="3" t="inlineStr">
        <is>
          <t>944712345</t>
        </is>
      </c>
      <c r="E9" s="4" t="n"/>
      <c r="F9" s="4" t="n"/>
      <c r="G9" s="4" t="n"/>
      <c r="H9" s="4" t="n"/>
      <c r="I9" s="4" t="n"/>
      <c r="J9" s="4" t="n"/>
    </row>
    <row r="10">
      <c r="A10" t="inlineStr">
        <is>
          <t>Pink City Handicrafts</t>
        </is>
      </c>
      <c r="B10" t="inlineStr">
        <is>
          <t>Jaipur</t>
        </is>
      </c>
      <c r="C10" t="inlineStr">
        <is>
          <t>08AALFP4471H1ZX</t>
        </is>
      </c>
      <c r="D10" s="3" t="inlineStr">
        <is>
          <t>9414033445</t>
        </is>
      </c>
      <c r="E10" s="4" t="n"/>
      <c r="F10" s="4" t="n"/>
      <c r="G10" s="4" t="n"/>
      <c r="H10" s="4" t="n"/>
      <c r="I10" s="4" t="n"/>
      <c r="J10" s="4" t="n"/>
    </row>
    <row r="11">
      <c r="A11" t="inlineStr">
        <is>
          <t>Yamuna Electricals</t>
        </is>
      </c>
      <c r="B11" t="inlineStr">
        <is>
          <t>New Delhi</t>
        </is>
      </c>
      <c r="C11" t="inlineStr">
        <is>
          <t>07AAMFY8823C1ZV</t>
        </is>
      </c>
      <c r="D11" s="3" t="inlineStr">
        <is>
          <t>9811056789</t>
        </is>
      </c>
      <c r="E11" s="4" t="n"/>
      <c r="F11" s="4" t="n"/>
      <c r="G11" s="4" t="n"/>
      <c r="H11" s="4" t="n"/>
      <c r="I11" s="4" t="n"/>
      <c r="J1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3" customWidth="1" min="4" max="4"/>
    <col width="9" customWidth="1" min="5" max="5"/>
    <col width="13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2" t="inlineStr">
        <is>
          <t>Supplier</t>
        </is>
      </c>
      <c r="B1" s="2" t="inlineStr">
        <is>
          <t>City</t>
        </is>
      </c>
      <c r="C1" s="2" t="inlineStr">
        <is>
          <t>GSTIN</t>
        </is>
      </c>
      <c r="D1" s="2" t="inlineStr">
        <is>
          <t>Mobile</t>
        </is>
      </c>
      <c r="E1" s="2" t="inlineStr">
        <is>
          <t>State code</t>
        </is>
      </c>
      <c r="F1" s="2" t="inlineStr">
        <is>
          <t>PAN</t>
        </is>
      </c>
      <c r="G1" s="2" t="inlineStr">
        <is>
          <t>GSTIN length</t>
        </is>
      </c>
      <c r="H1" s="2" t="inlineStr">
        <is>
          <t>Mobile length</t>
        </is>
      </c>
      <c r="I1" s="2" t="inlineStr">
        <is>
          <t>Last 4 digits</t>
        </is>
      </c>
      <c r="J1" s="2" t="inlineStr">
        <is>
          <t>PAN holder type</t>
        </is>
      </c>
    </row>
    <row r="2">
      <c r="A2" t="inlineStr">
        <is>
          <t>Shree Balaji Textiles</t>
        </is>
      </c>
      <c r="B2" t="inlineStr">
        <is>
          <t>Surat</t>
        </is>
      </c>
      <c r="C2" t="inlineStr">
        <is>
          <t>24AAKFS4821K1Z0</t>
        </is>
      </c>
      <c r="D2" s="3" t="inlineStr">
        <is>
          <t>9825012345</t>
        </is>
      </c>
      <c r="E2" s="4">
        <f>LEFT(C2,2)</f>
        <v/>
      </c>
      <c r="F2" s="4">
        <f>MID(C2,3,10)</f>
        <v/>
      </c>
      <c r="G2" s="4">
        <f>LEN(C2)</f>
        <v/>
      </c>
      <c r="H2" s="4">
        <f>LEN(D2)</f>
        <v/>
      </c>
      <c r="I2" s="4">
        <f>RIGHT(D2,4)</f>
        <v/>
      </c>
      <c r="J2" s="4">
        <f>MID(F2,4,1)</f>
        <v/>
      </c>
    </row>
    <row r="3">
      <c r="A3" t="inlineStr">
        <is>
          <t>Kaveri Spices</t>
        </is>
      </c>
      <c r="B3" t="inlineStr">
        <is>
          <t>Mysuru</t>
        </is>
      </c>
      <c r="C3" t="inlineStr">
        <is>
          <t>29AAGCK1259P1ZW</t>
        </is>
      </c>
      <c r="D3" s="3" t="inlineStr">
        <is>
          <t>9844523190</t>
        </is>
      </c>
      <c r="E3" s="4">
        <f>LEFT(C3,2)</f>
        <v/>
      </c>
      <c r="F3" s="4">
        <f>MID(C3,3,10)</f>
        <v/>
      </c>
      <c r="G3" s="4">
        <f>LEN(C3)</f>
        <v/>
      </c>
      <c r="H3" s="4">
        <f>LEN(D3)</f>
        <v/>
      </c>
      <c r="I3" s="4">
        <f>RIGHT(D3,4)</f>
        <v/>
      </c>
      <c r="J3" s="4">
        <f>MID(F3,4,1)</f>
        <v/>
      </c>
    </row>
    <row r="4">
      <c r="A4" t="inlineStr">
        <is>
          <t>Indus Auto Parts</t>
        </is>
      </c>
      <c r="B4" t="inlineStr">
        <is>
          <t>Pune</t>
        </is>
      </c>
      <c r="C4" t="inlineStr">
        <is>
          <t>27AABCI7364M1Z3</t>
        </is>
      </c>
      <c r="D4" s="3" t="inlineStr">
        <is>
          <t>9822045678</t>
        </is>
      </c>
      <c r="E4" s="4">
        <f>LEFT(C4,2)</f>
        <v/>
      </c>
      <c r="F4" s="4">
        <f>MID(C4,3,10)</f>
        <v/>
      </c>
      <c r="G4" s="4">
        <f>LEN(C4)</f>
        <v/>
      </c>
      <c r="H4" s="4">
        <f>LEN(D4)</f>
        <v/>
      </c>
      <c r="I4" s="4">
        <f>RIGHT(D4,4)</f>
        <v/>
      </c>
      <c r="J4" s="4">
        <f>MID(F4,4,1)</f>
        <v/>
      </c>
    </row>
    <row r="5">
      <c r="A5" t="inlineStr">
        <is>
          <t>Ganga Paper Mills</t>
        </is>
      </c>
      <c r="B5" t="inlineStr">
        <is>
          <t>Kanpur</t>
        </is>
      </c>
      <c r="C5" t="inlineStr">
        <is>
          <t>09AADCG5813L1ZD</t>
        </is>
      </c>
      <c r="D5" s="3" t="inlineStr">
        <is>
          <t>9415067321</t>
        </is>
      </c>
      <c r="E5" s="4">
        <f>LEFT(C5,2)</f>
        <v/>
      </c>
      <c r="F5" s="4">
        <f>MID(C5,3,10)</f>
        <v/>
      </c>
      <c r="G5" s="4">
        <f>LEN(C5)</f>
        <v/>
      </c>
      <c r="H5" s="4">
        <f>LEN(D5)</f>
        <v/>
      </c>
      <c r="I5" s="4">
        <f>RIGHT(D5,4)</f>
        <v/>
      </c>
      <c r="J5" s="4">
        <f>MID(F5,4,1)</f>
        <v/>
      </c>
    </row>
    <row r="6">
      <c r="A6" t="inlineStr">
        <is>
          <t>Coromandel Fabrics</t>
        </is>
      </c>
      <c r="B6" t="inlineStr">
        <is>
          <t>Chennai</t>
        </is>
      </c>
      <c r="C6" t="inlineStr">
        <is>
          <t>33AABCC6402N1ZT</t>
        </is>
      </c>
      <c r="D6" s="3" t="inlineStr">
        <is>
          <t>09840123456</t>
        </is>
      </c>
      <c r="E6" s="4">
        <f>LEFT(C6,2)</f>
        <v/>
      </c>
      <c r="F6" s="4">
        <f>MID(C6,3,10)</f>
        <v/>
      </c>
      <c r="G6" s="4">
        <f>LEN(C6)</f>
        <v/>
      </c>
      <c r="H6" s="4">
        <f>LEN(D6)</f>
        <v/>
      </c>
      <c r="I6" s="4">
        <f>RIGHT(D6,4)</f>
        <v/>
      </c>
      <c r="J6" s="4">
        <f>MID(F6,4,1)</f>
        <v/>
      </c>
    </row>
    <row r="7">
      <c r="A7" t="inlineStr">
        <is>
          <t>Hooghly Jute Works</t>
        </is>
      </c>
      <c r="B7" t="inlineStr">
        <is>
          <t>Kolkata</t>
        </is>
      </c>
      <c r="C7" t="inlineStr">
        <is>
          <t>19AAEFH9077Q1ZE</t>
        </is>
      </c>
      <c r="D7" s="3" t="inlineStr">
        <is>
          <t>9830098765</t>
        </is>
      </c>
      <c r="E7" s="4">
        <f>LEFT(C7,2)</f>
        <v/>
      </c>
      <c r="F7" s="4">
        <f>MID(C7,3,10)</f>
        <v/>
      </c>
      <c r="G7" s="4">
        <f>LEN(C7)</f>
        <v/>
      </c>
      <c r="H7" s="4">
        <f>LEN(D7)</f>
        <v/>
      </c>
      <c r="I7" s="4">
        <f>RIGHT(D7,4)</f>
        <v/>
      </c>
      <c r="J7" s="4">
        <f>MID(F7,4,1)</f>
        <v/>
      </c>
    </row>
    <row r="8">
      <c r="A8" t="inlineStr">
        <is>
          <t>Charminar Pharma Distributors</t>
        </is>
      </c>
      <c r="B8" t="inlineStr">
        <is>
          <t>Hyderabad</t>
        </is>
      </c>
      <c r="C8" t="inlineStr">
        <is>
          <t>36AAHCC330D1ZT</t>
        </is>
      </c>
      <c r="D8" s="3" t="inlineStr">
        <is>
          <t>9849011223</t>
        </is>
      </c>
      <c r="E8" s="4">
        <f>LEFT(C8,2)</f>
        <v/>
      </c>
      <c r="F8" s="4">
        <f>MID(C8,3,10)</f>
        <v/>
      </c>
      <c r="G8" s="4">
        <f>LEN(C8)</f>
        <v/>
      </c>
      <c r="H8" s="4">
        <f>LEN(D8)</f>
        <v/>
      </c>
      <c r="I8" s="4">
        <f>RIGHT(D8,4)</f>
        <v/>
      </c>
      <c r="J8" s="4">
        <f>MID(F8,4,1)</f>
        <v/>
      </c>
    </row>
    <row r="9">
      <c r="A9" t="inlineStr">
        <is>
          <t>Malabar Cashew Exports</t>
        </is>
      </c>
      <c r="B9" t="inlineStr">
        <is>
          <t>Kollam</t>
        </is>
      </c>
      <c r="C9" t="inlineStr">
        <is>
          <t>32AAJFM2216B1Z0</t>
        </is>
      </c>
      <c r="D9" s="3" t="inlineStr">
        <is>
          <t>944712345</t>
        </is>
      </c>
      <c r="E9" s="4">
        <f>LEFT(C9,2)</f>
        <v/>
      </c>
      <c r="F9" s="4">
        <f>MID(C9,3,10)</f>
        <v/>
      </c>
      <c r="G9" s="4">
        <f>LEN(C9)</f>
        <v/>
      </c>
      <c r="H9" s="4">
        <f>LEN(D9)</f>
        <v/>
      </c>
      <c r="I9" s="4">
        <f>RIGHT(D9,4)</f>
        <v/>
      </c>
      <c r="J9" s="4">
        <f>MID(F9,4,1)</f>
        <v/>
      </c>
    </row>
    <row r="10">
      <c r="A10" t="inlineStr">
        <is>
          <t>Pink City Handicrafts</t>
        </is>
      </c>
      <c r="B10" t="inlineStr">
        <is>
          <t>Jaipur</t>
        </is>
      </c>
      <c r="C10" t="inlineStr">
        <is>
          <t>08AALFP4471H1ZX</t>
        </is>
      </c>
      <c r="D10" s="3" t="inlineStr">
        <is>
          <t>9414033445</t>
        </is>
      </c>
      <c r="E10" s="4">
        <f>LEFT(C10,2)</f>
        <v/>
      </c>
      <c r="F10" s="4">
        <f>MID(C10,3,10)</f>
        <v/>
      </c>
      <c r="G10" s="4">
        <f>LEN(C10)</f>
        <v/>
      </c>
      <c r="H10" s="4">
        <f>LEN(D10)</f>
        <v/>
      </c>
      <c r="I10" s="4">
        <f>RIGHT(D10,4)</f>
        <v/>
      </c>
      <c r="J10" s="4">
        <f>MID(F10,4,1)</f>
        <v/>
      </c>
    </row>
    <row r="11">
      <c r="A11" t="inlineStr">
        <is>
          <t>Yamuna Electricals</t>
        </is>
      </c>
      <c r="B11" t="inlineStr">
        <is>
          <t>New Delhi</t>
        </is>
      </c>
      <c r="C11" t="inlineStr">
        <is>
          <t>07AAMFY8823C1ZV</t>
        </is>
      </c>
      <c r="D11" s="3" t="inlineStr">
        <is>
          <t>9811056789</t>
        </is>
      </c>
      <c r="E11" s="4">
        <f>LEFT(C11,2)</f>
        <v/>
      </c>
      <c r="F11" s="4">
        <f>MID(C11,3,10)</f>
        <v/>
      </c>
      <c r="G11" s="4">
        <f>LEN(C11)</f>
        <v/>
      </c>
      <c r="H11" s="4">
        <f>LEN(D11)</f>
        <v/>
      </c>
      <c r="I11" s="4">
        <f>RIGHT(D11,4)</f>
        <v/>
      </c>
      <c r="J11" s="4">
        <f>MID(F11,4,1)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8" customWidth="1" min="3" max="3"/>
    <col width="10" customWidth="1" min="4" max="4"/>
    <col width="8" customWidth="1" min="5" max="5"/>
    <col width="9" customWidth="1" min="6" max="6"/>
    <col width="12" customWidth="1" min="7" max="7"/>
    <col width="13" customWidth="1" min="8" max="8"/>
    <col width="9" customWidth="1" min="9" max="9"/>
  </cols>
  <sheetData>
    <row r="1">
      <c r="A1" s="2" t="inlineStr">
        <is>
          <t>Invoice ref</t>
        </is>
      </c>
      <c r="B1" s="2" t="inlineStr">
        <is>
          <t>Phone</t>
        </is>
      </c>
      <c r="C1" s="2" t="inlineStr">
        <is>
          <t>Remarks</t>
        </is>
      </c>
      <c r="D1" s="2" t="inlineStr">
        <is>
          <t>Position of /</t>
        </is>
      </c>
      <c r="E1" s="2" t="inlineStr">
        <is>
          <t>Branch</t>
        </is>
      </c>
      <c r="F1" s="2" t="inlineStr">
        <is>
          <t>Urgent?</t>
        </is>
      </c>
      <c r="G1" s="2" t="inlineStr">
        <is>
          <t>Clean phone</t>
        </is>
      </c>
      <c r="H1" s="2" t="inlineStr">
        <is>
          <t>Masked phone</t>
        </is>
      </c>
      <c r="I1" s="2" t="inlineStr">
        <is>
          <t>Year</t>
        </is>
      </c>
    </row>
    <row r="2">
      <c r="A2" t="inlineStr">
        <is>
          <t>MUM/2026-27/0451</t>
        </is>
      </c>
      <c r="B2" t="inlineStr">
        <is>
          <t>98200-12345</t>
        </is>
      </c>
      <c r="C2" t="inlineStr">
        <is>
          <t>Deliver before 10 am</t>
        </is>
      </c>
      <c r="D2" s="4" t="n"/>
      <c r="E2" s="4" t="n"/>
      <c r="F2" s="4" t="n"/>
      <c r="G2" s="4" t="n"/>
      <c r="H2" s="4" t="n"/>
      <c r="I2" s="4" t="n"/>
    </row>
    <row r="3">
      <c r="A3" t="inlineStr">
        <is>
          <t>PUNE/2026-27/0452</t>
        </is>
      </c>
      <c r="B3" t="inlineStr">
        <is>
          <t>98901 23456</t>
        </is>
      </c>
      <c r="C3" t="inlineStr">
        <is>
          <t>URGENT: client visit Monday</t>
        </is>
      </c>
      <c r="D3" s="4" t="n"/>
      <c r="E3" s="4" t="n"/>
      <c r="F3" s="4" t="n"/>
      <c r="G3" s="4" t="n"/>
      <c r="H3" s="4" t="n"/>
      <c r="I3" s="4" t="n"/>
    </row>
    <row r="4">
      <c r="A4" t="inlineStr">
        <is>
          <t>DEL/2026-27/0453</t>
        </is>
      </c>
      <c r="B4" t="inlineStr">
        <is>
          <t>9811-234-567</t>
        </is>
      </c>
      <c r="C4" t="inlineStr">
        <is>
          <t>Regular dispatch</t>
        </is>
      </c>
      <c r="D4" s="4" t="n"/>
      <c r="E4" s="4" t="n"/>
      <c r="F4" s="4" t="n"/>
      <c r="G4" s="4" t="n"/>
      <c r="H4" s="4" t="n"/>
      <c r="I4" s="4" t="n"/>
    </row>
    <row r="5">
      <c r="A5" t="inlineStr">
        <is>
          <t>BLR/2026-27/0454</t>
        </is>
      </c>
      <c r="B5" t="inlineStr">
        <is>
          <t>99000 98765</t>
        </is>
      </c>
      <c r="C5" t="inlineStr">
        <is>
          <t>urgent, GST invoice pending</t>
        </is>
      </c>
      <c r="D5" s="4" t="n"/>
      <c r="E5" s="4" t="n"/>
      <c r="F5" s="4" t="n"/>
      <c r="G5" s="4" t="n"/>
      <c r="H5" s="4" t="n"/>
      <c r="I5" s="4" t="n"/>
    </row>
    <row r="6">
      <c r="A6" t="inlineStr">
        <is>
          <t>HYD/2026-27/0455</t>
        </is>
      </c>
      <c r="B6" t="inlineStr">
        <is>
          <t>90000-11223</t>
        </is>
      </c>
      <c r="C6" t="inlineStr">
        <is>
          <t>Call before delivery</t>
        </is>
      </c>
      <c r="D6" s="4" t="n"/>
      <c r="E6" s="4" t="n"/>
      <c r="F6" s="4" t="n"/>
      <c r="G6" s="4" t="n"/>
      <c r="H6" s="4" t="n"/>
      <c r="I6" s="4" t="n"/>
    </row>
    <row r="7">
      <c r="A7" t="inlineStr">
        <is>
          <t>KOL/2026-27/0456</t>
        </is>
      </c>
      <c r="B7" t="inlineStr">
        <is>
          <t>98300 45678</t>
        </is>
      </c>
      <c r="C7" t="inlineStr">
        <is>
          <t>Payment on delivery</t>
        </is>
      </c>
      <c r="D7" s="4" t="n"/>
      <c r="E7" s="4" t="n"/>
      <c r="F7" s="4" t="n"/>
      <c r="G7" s="4" t="n"/>
      <c r="H7" s="4" t="n"/>
      <c r="I7" s="4" t="n"/>
    </row>
    <row r="8">
      <c r="A8" t="inlineStr">
        <is>
          <t>CHN/2026-27/0457</t>
        </is>
      </c>
      <c r="B8" t="inlineStr">
        <is>
          <t>94440-56789</t>
        </is>
      </c>
      <c r="C8" t="inlineStr">
        <is>
          <t>Urgent replacement</t>
        </is>
      </c>
      <c r="D8" s="4" t="n"/>
      <c r="E8" s="4" t="n"/>
      <c r="F8" s="4" t="n"/>
      <c r="G8" s="4" t="n"/>
      <c r="H8" s="4" t="n"/>
      <c r="I8" s="4" t="n"/>
    </row>
    <row r="9">
      <c r="A9" t="inlineStr">
        <is>
          <t>AMD/2026-27/0458</t>
        </is>
      </c>
      <c r="B9" t="inlineStr">
        <is>
          <t>98250 67890</t>
        </is>
      </c>
      <c r="C9" t="inlineStr">
        <is>
          <t>Regular dispatch</t>
        </is>
      </c>
      <c r="D9" s="4" t="n"/>
      <c r="E9" s="4" t="n"/>
      <c r="F9" s="4" t="n"/>
      <c r="G9" s="4" t="n"/>
      <c r="H9" s="4" t="n"/>
      <c r="I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8" customWidth="1" min="3" max="3"/>
    <col width="10" customWidth="1" min="4" max="4"/>
    <col width="8" customWidth="1" min="5" max="5"/>
    <col width="9" customWidth="1" min="6" max="6"/>
    <col width="12" customWidth="1" min="7" max="7"/>
    <col width="13" customWidth="1" min="8" max="8"/>
    <col width="9" customWidth="1" min="9" max="9"/>
  </cols>
  <sheetData>
    <row r="1">
      <c r="A1" s="2" t="inlineStr">
        <is>
          <t>Invoice ref</t>
        </is>
      </c>
      <c r="B1" s="2" t="inlineStr">
        <is>
          <t>Phone</t>
        </is>
      </c>
      <c r="C1" s="2" t="inlineStr">
        <is>
          <t>Remarks</t>
        </is>
      </c>
      <c r="D1" s="2" t="inlineStr">
        <is>
          <t>Position of /</t>
        </is>
      </c>
      <c r="E1" s="2" t="inlineStr">
        <is>
          <t>Branch</t>
        </is>
      </c>
      <c r="F1" s="2" t="inlineStr">
        <is>
          <t>Urgent?</t>
        </is>
      </c>
      <c r="G1" s="2" t="inlineStr">
        <is>
          <t>Clean phone</t>
        </is>
      </c>
      <c r="H1" s="2" t="inlineStr">
        <is>
          <t>Masked phone</t>
        </is>
      </c>
      <c r="I1" s="2" t="inlineStr">
        <is>
          <t>Year</t>
        </is>
      </c>
    </row>
    <row r="2">
      <c r="A2" t="inlineStr">
        <is>
          <t>MUM/2026-27/0451</t>
        </is>
      </c>
      <c r="B2" t="inlineStr">
        <is>
          <t>98200-12345</t>
        </is>
      </c>
      <c r="C2" t="inlineStr">
        <is>
          <t>Deliver before 10 am</t>
        </is>
      </c>
      <c r="D2" s="4">
        <f>FIND("/",A2)</f>
        <v/>
      </c>
      <c r="E2" s="4">
        <f>LEFT(A2,FIND("/",A2)-1)</f>
        <v/>
      </c>
      <c r="F2" s="4">
        <f>ISNUMBER(SEARCH("urgent",C2))</f>
        <v/>
      </c>
      <c r="G2" s="4">
        <f>SUBSTITUTE(SUBSTITUTE(B2,"-","")," ","")</f>
        <v/>
      </c>
      <c r="H2" s="4">
        <f>REPLACE(G2,3,5,"XXXXX")</f>
        <v/>
      </c>
      <c r="I2" s="4">
        <f>MID(A2,FIND("/",A2)+1,7)</f>
        <v/>
      </c>
    </row>
    <row r="3">
      <c r="A3" t="inlineStr">
        <is>
          <t>PUNE/2026-27/0452</t>
        </is>
      </c>
      <c r="B3" t="inlineStr">
        <is>
          <t>98901 23456</t>
        </is>
      </c>
      <c r="C3" t="inlineStr">
        <is>
          <t>URGENT: client visit Monday</t>
        </is>
      </c>
      <c r="D3" s="4">
        <f>FIND("/",A3)</f>
        <v/>
      </c>
      <c r="E3" s="4">
        <f>LEFT(A3,FIND("/",A3)-1)</f>
        <v/>
      </c>
      <c r="F3" s="4">
        <f>ISNUMBER(SEARCH("urgent",C3))</f>
        <v/>
      </c>
      <c r="G3" s="4">
        <f>SUBSTITUTE(SUBSTITUTE(B3,"-","")," ","")</f>
        <v/>
      </c>
      <c r="H3" s="4">
        <f>REPLACE(G3,3,5,"XXXXX")</f>
        <v/>
      </c>
      <c r="I3" s="4">
        <f>MID(A3,FIND("/",A3)+1,7)</f>
        <v/>
      </c>
    </row>
    <row r="4">
      <c r="A4" t="inlineStr">
        <is>
          <t>DEL/2026-27/0453</t>
        </is>
      </c>
      <c r="B4" t="inlineStr">
        <is>
          <t>9811-234-567</t>
        </is>
      </c>
      <c r="C4" t="inlineStr">
        <is>
          <t>Regular dispatch</t>
        </is>
      </c>
      <c r="D4" s="4">
        <f>FIND("/",A4)</f>
        <v/>
      </c>
      <c r="E4" s="4">
        <f>LEFT(A4,FIND("/",A4)-1)</f>
        <v/>
      </c>
      <c r="F4" s="4">
        <f>ISNUMBER(SEARCH("urgent",C4))</f>
        <v/>
      </c>
      <c r="G4" s="4">
        <f>SUBSTITUTE(SUBSTITUTE(B4,"-","")," ","")</f>
        <v/>
      </c>
      <c r="H4" s="4">
        <f>REPLACE(G4,3,5,"XXXXX")</f>
        <v/>
      </c>
      <c r="I4" s="4">
        <f>MID(A4,FIND("/",A4)+1,7)</f>
        <v/>
      </c>
    </row>
    <row r="5">
      <c r="A5" t="inlineStr">
        <is>
          <t>BLR/2026-27/0454</t>
        </is>
      </c>
      <c r="B5" t="inlineStr">
        <is>
          <t>99000 98765</t>
        </is>
      </c>
      <c r="C5" t="inlineStr">
        <is>
          <t>urgent, GST invoice pending</t>
        </is>
      </c>
      <c r="D5" s="4">
        <f>FIND("/",A5)</f>
        <v/>
      </c>
      <c r="E5" s="4">
        <f>LEFT(A5,FIND("/",A5)-1)</f>
        <v/>
      </c>
      <c r="F5" s="4">
        <f>ISNUMBER(SEARCH("urgent",C5))</f>
        <v/>
      </c>
      <c r="G5" s="4">
        <f>SUBSTITUTE(SUBSTITUTE(B5,"-","")," ","")</f>
        <v/>
      </c>
      <c r="H5" s="4">
        <f>REPLACE(G5,3,5,"XXXXX")</f>
        <v/>
      </c>
      <c r="I5" s="4">
        <f>MID(A5,FIND("/",A5)+1,7)</f>
        <v/>
      </c>
    </row>
    <row r="6">
      <c r="A6" t="inlineStr">
        <is>
          <t>HYD/2026-27/0455</t>
        </is>
      </c>
      <c r="B6" t="inlineStr">
        <is>
          <t>90000-11223</t>
        </is>
      </c>
      <c r="C6" t="inlineStr">
        <is>
          <t>Call before delivery</t>
        </is>
      </c>
      <c r="D6" s="4">
        <f>FIND("/",A6)</f>
        <v/>
      </c>
      <c r="E6" s="4">
        <f>LEFT(A6,FIND("/",A6)-1)</f>
        <v/>
      </c>
      <c r="F6" s="4">
        <f>ISNUMBER(SEARCH("urgent",C6))</f>
        <v/>
      </c>
      <c r="G6" s="4">
        <f>SUBSTITUTE(SUBSTITUTE(B6,"-","")," ","")</f>
        <v/>
      </c>
      <c r="H6" s="4">
        <f>REPLACE(G6,3,5,"XXXXX")</f>
        <v/>
      </c>
      <c r="I6" s="4">
        <f>MID(A6,FIND("/",A6)+1,7)</f>
        <v/>
      </c>
    </row>
    <row r="7">
      <c r="A7" t="inlineStr">
        <is>
          <t>KOL/2026-27/0456</t>
        </is>
      </c>
      <c r="B7" t="inlineStr">
        <is>
          <t>98300 45678</t>
        </is>
      </c>
      <c r="C7" t="inlineStr">
        <is>
          <t>Payment on delivery</t>
        </is>
      </c>
      <c r="D7" s="4">
        <f>FIND("/",A7)</f>
        <v/>
      </c>
      <c r="E7" s="4">
        <f>LEFT(A7,FIND("/",A7)-1)</f>
        <v/>
      </c>
      <c r="F7" s="4">
        <f>ISNUMBER(SEARCH("urgent",C7))</f>
        <v/>
      </c>
      <c r="G7" s="4">
        <f>SUBSTITUTE(SUBSTITUTE(B7,"-","")," ","")</f>
        <v/>
      </c>
      <c r="H7" s="4">
        <f>REPLACE(G7,3,5,"XXXXX")</f>
        <v/>
      </c>
      <c r="I7" s="4">
        <f>MID(A7,FIND("/",A7)+1,7)</f>
        <v/>
      </c>
    </row>
    <row r="8">
      <c r="A8" t="inlineStr">
        <is>
          <t>CHN/2026-27/0457</t>
        </is>
      </c>
      <c r="B8" t="inlineStr">
        <is>
          <t>94440-56789</t>
        </is>
      </c>
      <c r="C8" t="inlineStr">
        <is>
          <t>Urgent replacement</t>
        </is>
      </c>
      <c r="D8" s="4">
        <f>FIND("/",A8)</f>
        <v/>
      </c>
      <c r="E8" s="4">
        <f>LEFT(A8,FIND("/",A8)-1)</f>
        <v/>
      </c>
      <c r="F8" s="4">
        <f>ISNUMBER(SEARCH("urgent",C8))</f>
        <v/>
      </c>
      <c r="G8" s="4">
        <f>SUBSTITUTE(SUBSTITUTE(B8,"-","")," ","")</f>
        <v/>
      </c>
      <c r="H8" s="4">
        <f>REPLACE(G8,3,5,"XXXXX")</f>
        <v/>
      </c>
      <c r="I8" s="4">
        <f>MID(A8,FIND("/",A8)+1,7)</f>
        <v/>
      </c>
    </row>
    <row r="9">
      <c r="A9" t="inlineStr">
        <is>
          <t>AMD/2026-27/0458</t>
        </is>
      </c>
      <c r="B9" t="inlineStr">
        <is>
          <t>98250 67890</t>
        </is>
      </c>
      <c r="C9" t="inlineStr">
        <is>
          <t>Regular dispatch</t>
        </is>
      </c>
      <c r="D9" s="4">
        <f>FIND("/",A9)</f>
        <v/>
      </c>
      <c r="E9" s="4">
        <f>LEFT(A9,FIND("/",A9)-1)</f>
        <v/>
      </c>
      <c r="F9" s="4">
        <f>ISNUMBER(SEARCH("urgent",C9))</f>
        <v/>
      </c>
      <c r="G9" s="4">
        <f>SUBSTITUTE(SUBSTITUTE(B9,"-","")," ","")</f>
        <v/>
      </c>
      <c r="H9" s="4">
        <f>REPLACE(G9,3,5,"XXXXX")</f>
        <v/>
      </c>
      <c r="I9" s="4">
        <f>MID(A9,FIND("/",A9)+1,7)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12" customWidth="1" min="4" max="4"/>
    <col width="18" customWidth="1" min="5" max="5"/>
    <col width="12" customWidth="1" min="6" max="6"/>
    <col width="30" customWidth="1" min="7" max="7"/>
    <col width="12" customWidth="1" min="8" max="8"/>
    <col width="8" customWidth="1" min="9" max="9"/>
  </cols>
  <sheetData>
    <row r="1">
      <c r="A1" s="2" t="inlineStr">
        <is>
          <t>Name (raw)</t>
        </is>
      </c>
      <c r="B1" s="2" t="inlineStr">
        <is>
          <t>City (raw)</t>
        </is>
      </c>
      <c r="C1" s="2" t="inlineStr">
        <is>
          <t>Email (raw)</t>
        </is>
      </c>
      <c r="D1" s="2" t="inlineStr">
        <is>
          <t>PAN (raw)</t>
        </is>
      </c>
      <c r="E1" s="2" t="inlineStr">
        <is>
          <t>Name</t>
        </is>
      </c>
      <c r="F1" s="2" t="inlineStr">
        <is>
          <t>City</t>
        </is>
      </c>
      <c r="G1" s="2" t="inlineStr">
        <is>
          <t>Email</t>
        </is>
      </c>
      <c r="H1" s="2" t="inlineStr">
        <is>
          <t>PAN</t>
        </is>
      </c>
      <c r="I1" s="2" t="inlineStr">
        <is>
          <t>City code</t>
        </is>
      </c>
    </row>
    <row r="2">
      <c r="A2" t="inlineStr">
        <is>
          <t xml:space="preserve">  rajesh   KUMAR</t>
        </is>
      </c>
      <c r="B2" t="inlineStr">
        <is>
          <t xml:space="preserve">pune </t>
        </is>
      </c>
      <c r="C2" t="inlineStr">
        <is>
          <t xml:space="preserve"> Rajesh.Kumar@SharmaTraders.in</t>
        </is>
      </c>
      <c r="D2" t="inlineStr">
        <is>
          <t>abcpk1234d</t>
        </is>
      </c>
      <c r="E2" s="4" t="n"/>
      <c r="F2" s="4" t="n"/>
      <c r="G2" s="4" t="n"/>
      <c r="H2" s="4" t="n"/>
      <c r="I2" s="4" t="n"/>
    </row>
    <row r="3">
      <c r="A3" t="inlineStr">
        <is>
          <t>PRIYANKA deshpande</t>
        </is>
      </c>
      <c r="B3" t="inlineStr">
        <is>
          <t>MUMBAI</t>
        </is>
      </c>
      <c r="C3" t="inlineStr">
        <is>
          <t xml:space="preserve">priyanka.d@Deshpande-Exports.in </t>
        </is>
      </c>
      <c r="D3" t="inlineStr">
        <is>
          <t>bqwpd5678k</t>
        </is>
      </c>
      <c r="E3" s="4" t="n"/>
      <c r="F3" s="4" t="n"/>
      <c r="G3" s="4" t="n"/>
      <c r="H3" s="4" t="n"/>
      <c r="I3" s="4" t="n"/>
    </row>
    <row r="4">
      <c r="A4" t="inlineStr">
        <is>
          <t>sunil  bhosale</t>
        </is>
      </c>
      <c r="B4" t="inlineStr">
        <is>
          <t xml:space="preserve">  nagpur</t>
        </is>
      </c>
      <c r="C4" t="inlineStr">
        <is>
          <t>SUNIL.B@BhosaleAgro.in</t>
        </is>
      </c>
      <c r="D4" t="inlineStr">
        <is>
          <t>cxzpb9012m</t>
        </is>
      </c>
      <c r="E4" s="4" t="n"/>
      <c r="F4" s="4" t="n"/>
      <c r="G4" s="4" t="n"/>
      <c r="H4" s="4" t="n"/>
      <c r="I4" s="4" t="n"/>
    </row>
    <row r="5">
      <c r="A5" t="inlineStr">
        <is>
          <t xml:space="preserve">  anjali  mehra</t>
        </is>
      </c>
      <c r="B5" t="inlineStr">
        <is>
          <t>Ahmedabad</t>
        </is>
      </c>
      <c r="C5" t="inlineStr">
        <is>
          <t>Anjali.Mehra@MehraTextiles.in</t>
        </is>
      </c>
      <c r="D5" t="inlineStr">
        <is>
          <t>dhkpm3456q</t>
        </is>
      </c>
      <c r="E5" s="4" t="n"/>
      <c r="F5" s="4" t="n"/>
      <c r="G5" s="4" t="n"/>
      <c r="H5" s="4" t="n"/>
      <c r="I5" s="4" t="n"/>
    </row>
    <row r="6">
      <c r="A6" t="inlineStr">
        <is>
          <t>farhan ALI</t>
        </is>
      </c>
      <c r="B6" t="inlineStr">
        <is>
          <t xml:space="preserve">hyderabad
</t>
        </is>
      </c>
      <c r="C6" t="inlineStr">
        <is>
          <t>Farhan.Ali@AliLeather.in</t>
        </is>
      </c>
      <c r="D6" t="inlineStr">
        <is>
          <t>epapa7890r</t>
        </is>
      </c>
      <c r="E6" s="4" t="n"/>
      <c r="F6" s="4" t="n"/>
      <c r="G6" s="4" t="n"/>
      <c r="H6" s="4" t="n"/>
      <c r="I6" s="4" t="n"/>
    </row>
    <row r="7">
      <c r="A7" t="inlineStr">
        <is>
          <t>k. venkatesh</t>
        </is>
      </c>
      <c r="B7" t="inlineStr">
        <is>
          <t>chennai</t>
        </is>
      </c>
      <c r="C7" t="inlineStr">
        <is>
          <t>k.venkatesh@VenkyMotors.in</t>
        </is>
      </c>
      <c r="D7" t="inlineStr">
        <is>
          <t>fmnpv2345t</t>
        </is>
      </c>
      <c r="E7" s="4" t="n"/>
      <c r="F7" s="4" t="n"/>
      <c r="G7" s="4" t="n"/>
      <c r="H7" s="4" t="n"/>
      <c r="I7" s="4" t="n"/>
    </row>
    <row r="8">
      <c r="A8" t="inlineStr">
        <is>
          <t>MEENAKSHI   sundaram</t>
        </is>
      </c>
      <c r="B8" t="inlineStr">
        <is>
          <t>MADURAI</t>
        </is>
      </c>
      <c r="C8" t="inlineStr">
        <is>
          <t>Meenakshi.S@SundaramSilks.in</t>
        </is>
      </c>
      <c r="D8" t="inlineStr">
        <is>
          <t>gjkps6789w</t>
        </is>
      </c>
      <c r="E8" s="4" t="n"/>
      <c r="F8" s="4" t="n"/>
      <c r="G8" s="4" t="n"/>
      <c r="H8" s="4" t="n"/>
      <c r="I8" s="4" t="n"/>
    </row>
    <row r="9">
      <c r="A9" t="inlineStr">
        <is>
          <t xml:space="preserve">gurpreet singh  </t>
        </is>
      </c>
      <c r="B9" t="inlineStr">
        <is>
          <t>amritsar</t>
        </is>
      </c>
      <c r="C9" t="inlineStr">
        <is>
          <t xml:space="preserve"> GURPREET@SinghDairy.in</t>
        </is>
      </c>
      <c r="D9" t="inlineStr">
        <is>
          <t>hlmps1122e</t>
        </is>
      </c>
      <c r="E9" s="4" t="n"/>
      <c r="F9" s="4" t="n"/>
      <c r="G9" s="4" t="n"/>
      <c r="H9" s="4" t="n"/>
      <c r="I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12" customWidth="1" min="4" max="4"/>
    <col width="18" customWidth="1" min="5" max="5"/>
    <col width="12" customWidth="1" min="6" max="6"/>
    <col width="30" customWidth="1" min="7" max="7"/>
    <col width="12" customWidth="1" min="8" max="8"/>
    <col width="8" customWidth="1" min="9" max="9"/>
  </cols>
  <sheetData>
    <row r="1">
      <c r="A1" s="2" t="inlineStr">
        <is>
          <t>Name (raw)</t>
        </is>
      </c>
      <c r="B1" s="2" t="inlineStr">
        <is>
          <t>City (raw)</t>
        </is>
      </c>
      <c r="C1" s="2" t="inlineStr">
        <is>
          <t>Email (raw)</t>
        </is>
      </c>
      <c r="D1" s="2" t="inlineStr">
        <is>
          <t>PAN (raw)</t>
        </is>
      </c>
      <c r="E1" s="2" t="inlineStr">
        <is>
          <t>Name</t>
        </is>
      </c>
      <c r="F1" s="2" t="inlineStr">
        <is>
          <t>City</t>
        </is>
      </c>
      <c r="G1" s="2" t="inlineStr">
        <is>
          <t>Email</t>
        </is>
      </c>
      <c r="H1" s="2" t="inlineStr">
        <is>
          <t>PAN</t>
        </is>
      </c>
      <c r="I1" s="2" t="inlineStr">
        <is>
          <t>City code</t>
        </is>
      </c>
    </row>
    <row r="2">
      <c r="A2" t="inlineStr">
        <is>
          <t xml:space="preserve">  rajesh   KUMAR</t>
        </is>
      </c>
      <c r="B2" t="inlineStr">
        <is>
          <t xml:space="preserve">pune </t>
        </is>
      </c>
      <c r="C2" t="inlineStr">
        <is>
          <t xml:space="preserve"> Rajesh.Kumar@SharmaTraders.in</t>
        </is>
      </c>
      <c r="D2" t="inlineStr">
        <is>
          <t>abcpk1234d</t>
        </is>
      </c>
      <c r="E2" s="4">
        <f>PROPER(TRIM(SUBSTITUTE(A2,CHAR(160)," ")))</f>
        <v/>
      </c>
      <c r="F2" s="4">
        <f>PROPER(TRIM(CLEAN(B2)))</f>
        <v/>
      </c>
      <c r="G2" s="4">
        <f>LOWER(TRIM(C2))</f>
        <v/>
      </c>
      <c r="H2" s="4">
        <f>UPPER(TRIM(D2))</f>
        <v/>
      </c>
      <c r="I2" s="4">
        <f>UPPER(LEFT(F2,3))</f>
        <v/>
      </c>
    </row>
    <row r="3">
      <c r="A3" t="inlineStr">
        <is>
          <t>PRIYANKA deshpande</t>
        </is>
      </c>
      <c r="B3" t="inlineStr">
        <is>
          <t>MUMBAI</t>
        </is>
      </c>
      <c r="C3" t="inlineStr">
        <is>
          <t xml:space="preserve">priyanka.d@Deshpande-Exports.in </t>
        </is>
      </c>
      <c r="D3" t="inlineStr">
        <is>
          <t>bqwpd5678k</t>
        </is>
      </c>
      <c r="E3" s="4">
        <f>PROPER(TRIM(SUBSTITUTE(A3,CHAR(160)," ")))</f>
        <v/>
      </c>
      <c r="F3" s="4">
        <f>PROPER(TRIM(CLEAN(B3)))</f>
        <v/>
      </c>
      <c r="G3" s="4">
        <f>LOWER(TRIM(C3))</f>
        <v/>
      </c>
      <c r="H3" s="4">
        <f>UPPER(TRIM(D3))</f>
        <v/>
      </c>
      <c r="I3" s="4">
        <f>UPPER(LEFT(F3,3))</f>
        <v/>
      </c>
    </row>
    <row r="4">
      <c r="A4" t="inlineStr">
        <is>
          <t>sunil  bhosale</t>
        </is>
      </c>
      <c r="B4" t="inlineStr">
        <is>
          <t xml:space="preserve">  nagpur</t>
        </is>
      </c>
      <c r="C4" t="inlineStr">
        <is>
          <t>SUNIL.B@BhosaleAgro.in</t>
        </is>
      </c>
      <c r="D4" t="inlineStr">
        <is>
          <t>cxzpb9012m</t>
        </is>
      </c>
      <c r="E4" s="4">
        <f>PROPER(TRIM(SUBSTITUTE(A4,CHAR(160)," ")))</f>
        <v/>
      </c>
      <c r="F4" s="4">
        <f>PROPER(TRIM(CLEAN(B4)))</f>
        <v/>
      </c>
      <c r="G4" s="4">
        <f>LOWER(TRIM(C4))</f>
        <v/>
      </c>
      <c r="H4" s="4">
        <f>UPPER(TRIM(D4))</f>
        <v/>
      </c>
      <c r="I4" s="4">
        <f>UPPER(LEFT(F4,3))</f>
        <v/>
      </c>
    </row>
    <row r="5">
      <c r="A5" t="inlineStr">
        <is>
          <t xml:space="preserve">  anjali  mehra</t>
        </is>
      </c>
      <c r="B5" t="inlineStr">
        <is>
          <t>Ahmedabad</t>
        </is>
      </c>
      <c r="C5" t="inlineStr">
        <is>
          <t>Anjali.Mehra@MehraTextiles.in</t>
        </is>
      </c>
      <c r="D5" t="inlineStr">
        <is>
          <t>dhkpm3456q</t>
        </is>
      </c>
      <c r="E5" s="4">
        <f>PROPER(TRIM(SUBSTITUTE(A5,CHAR(160)," ")))</f>
        <v/>
      </c>
      <c r="F5" s="4">
        <f>PROPER(TRIM(CLEAN(B5)))</f>
        <v/>
      </c>
      <c r="G5" s="4">
        <f>LOWER(TRIM(C5))</f>
        <v/>
      </c>
      <c r="H5" s="4">
        <f>UPPER(TRIM(D5))</f>
        <v/>
      </c>
      <c r="I5" s="4">
        <f>UPPER(LEFT(F5,3))</f>
        <v/>
      </c>
    </row>
    <row r="6">
      <c r="A6" t="inlineStr">
        <is>
          <t>farhan ALI</t>
        </is>
      </c>
      <c r="B6" t="inlineStr">
        <is>
          <t xml:space="preserve">hyderabad
</t>
        </is>
      </c>
      <c r="C6" t="inlineStr">
        <is>
          <t>Farhan.Ali@AliLeather.in</t>
        </is>
      </c>
      <c r="D6" t="inlineStr">
        <is>
          <t>epapa7890r</t>
        </is>
      </c>
      <c r="E6" s="4">
        <f>PROPER(TRIM(SUBSTITUTE(A6,CHAR(160)," ")))</f>
        <v/>
      </c>
      <c r="F6" s="4">
        <f>PROPER(TRIM(CLEAN(B6)))</f>
        <v/>
      </c>
      <c r="G6" s="4">
        <f>LOWER(TRIM(C6))</f>
        <v/>
      </c>
      <c r="H6" s="4">
        <f>UPPER(TRIM(D6))</f>
        <v/>
      </c>
      <c r="I6" s="4">
        <f>UPPER(LEFT(F6,3))</f>
        <v/>
      </c>
    </row>
    <row r="7">
      <c r="A7" t="inlineStr">
        <is>
          <t>k. venkatesh</t>
        </is>
      </c>
      <c r="B7" t="inlineStr">
        <is>
          <t>chennai</t>
        </is>
      </c>
      <c r="C7" t="inlineStr">
        <is>
          <t>k.venkatesh@VenkyMotors.in</t>
        </is>
      </c>
      <c r="D7" t="inlineStr">
        <is>
          <t>fmnpv2345t</t>
        </is>
      </c>
      <c r="E7" s="4">
        <f>PROPER(TRIM(SUBSTITUTE(A7,CHAR(160)," ")))</f>
        <v/>
      </c>
      <c r="F7" s="4">
        <f>PROPER(TRIM(CLEAN(B7)))</f>
        <v/>
      </c>
      <c r="G7" s="4">
        <f>LOWER(TRIM(C7))</f>
        <v/>
      </c>
      <c r="H7" s="4">
        <f>UPPER(TRIM(D7))</f>
        <v/>
      </c>
      <c r="I7" s="4">
        <f>UPPER(LEFT(F7,3))</f>
        <v/>
      </c>
    </row>
    <row r="8">
      <c r="A8" t="inlineStr">
        <is>
          <t>MEENAKSHI   sundaram</t>
        </is>
      </c>
      <c r="B8" t="inlineStr">
        <is>
          <t>MADURAI</t>
        </is>
      </c>
      <c r="C8" t="inlineStr">
        <is>
          <t>Meenakshi.S@SundaramSilks.in</t>
        </is>
      </c>
      <c r="D8" t="inlineStr">
        <is>
          <t>gjkps6789w</t>
        </is>
      </c>
      <c r="E8" s="4">
        <f>PROPER(TRIM(SUBSTITUTE(A8,CHAR(160)," ")))</f>
        <v/>
      </c>
      <c r="F8" s="4">
        <f>PROPER(TRIM(CLEAN(B8)))</f>
        <v/>
      </c>
      <c r="G8" s="4">
        <f>LOWER(TRIM(C8))</f>
        <v/>
      </c>
      <c r="H8" s="4">
        <f>UPPER(TRIM(D8))</f>
        <v/>
      </c>
      <c r="I8" s="4">
        <f>UPPER(LEFT(F8,3))</f>
        <v/>
      </c>
    </row>
    <row r="9">
      <c r="A9" t="inlineStr">
        <is>
          <t xml:space="preserve">gurpreet singh  </t>
        </is>
      </c>
      <c r="B9" t="inlineStr">
        <is>
          <t>amritsar</t>
        </is>
      </c>
      <c r="C9" t="inlineStr">
        <is>
          <t xml:space="preserve"> GURPREET@SinghDairy.in</t>
        </is>
      </c>
      <c r="D9" t="inlineStr">
        <is>
          <t>hlmps1122e</t>
        </is>
      </c>
      <c r="E9" s="4">
        <f>PROPER(TRIM(SUBSTITUTE(A9,CHAR(160)," ")))</f>
        <v/>
      </c>
      <c r="F9" s="4">
        <f>PROPER(TRIM(CLEAN(B9)))</f>
        <v/>
      </c>
      <c r="G9" s="4">
        <f>LOWER(TRIM(C9))</f>
        <v/>
      </c>
      <c r="H9" s="4">
        <f>UPPER(TRIM(D9))</f>
        <v/>
      </c>
      <c r="I9" s="4">
        <f>UPPER(LEFT(F9,3))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13" customWidth="1" min="4" max="4"/>
    <col width="11" customWidth="1" min="5" max="5"/>
    <col width="8" customWidth="1" min="6" max="6"/>
    <col width="34" customWidth="1" min="7" max="7"/>
    <col width="18" customWidth="1" min="8" max="8"/>
    <col width="34" customWidth="1" min="9" max="9"/>
    <col width="28" customWidth="1" min="10" max="10"/>
  </cols>
  <sheetData>
    <row r="1">
      <c r="A1" s="2" t="inlineStr">
        <is>
          <t>Name</t>
        </is>
      </c>
      <c r="B1" s="2" t="inlineStr">
        <is>
          <t>House</t>
        </is>
      </c>
      <c r="C1" s="2" t="inlineStr">
        <is>
          <t>Street</t>
        </is>
      </c>
      <c r="D1" s="2" t="inlineStr">
        <is>
          <t>Area</t>
        </is>
      </c>
      <c r="E1" s="2" t="inlineStr">
        <is>
          <t>City</t>
        </is>
      </c>
      <c r="F1" s="2" t="inlineStr">
        <is>
          <t>PIN</t>
        </is>
      </c>
      <c r="G1" s="2" t="inlineStr">
        <is>
          <t>Address with &amp;</t>
        </is>
      </c>
      <c r="H1" s="2" t="inlineStr">
        <is>
          <t>City - PIN (CONCAT)</t>
        </is>
      </c>
      <c r="I1" s="2" t="inlineStr">
        <is>
          <t>Address (TEXTJOIN)</t>
        </is>
      </c>
      <c r="J1" s="2" t="inlineStr">
        <is>
          <t>Courier label</t>
        </is>
      </c>
    </row>
    <row r="2">
      <c r="A2" t="inlineStr">
        <is>
          <t>Ravi Shankar</t>
        </is>
      </c>
      <c r="B2" t="inlineStr">
        <is>
          <t>Flat 302 Sai Residency</t>
        </is>
      </c>
      <c r="C2" t="inlineStr">
        <is>
          <t>MG Road</t>
        </is>
      </c>
      <c r="D2" t="inlineStr">
        <is>
          <t>Kothrud</t>
        </is>
      </c>
      <c r="E2" t="inlineStr">
        <is>
          <t>Pune</t>
        </is>
      </c>
      <c r="F2" t="n">
        <v>411038</v>
      </c>
      <c r="G2" s="4" t="n"/>
      <c r="H2" s="4" t="n"/>
      <c r="I2" s="4" t="n"/>
      <c r="J2" s="4" t="n"/>
    </row>
    <row r="3">
      <c r="A3" t="inlineStr">
        <is>
          <t>Nisha Agarwal</t>
        </is>
      </c>
      <c r="B3" t="inlineStr">
        <is>
          <t>12/4</t>
        </is>
      </c>
      <c r="C3" t="inlineStr">
        <is>
          <t>Park Street</t>
        </is>
      </c>
      <c r="E3" t="inlineStr">
        <is>
          <t>Kolkata</t>
        </is>
      </c>
      <c r="F3" t="n">
        <v>700016</v>
      </c>
      <c r="G3" s="4" t="n"/>
      <c r="H3" s="4" t="n"/>
      <c r="I3" s="4" t="n"/>
      <c r="J3" s="4" t="n"/>
    </row>
    <row r="4">
      <c r="A4" t="inlineStr">
        <is>
          <t>Thomas George</t>
        </is>
      </c>
      <c r="B4" t="inlineStr">
        <is>
          <t>House 18</t>
        </is>
      </c>
      <c r="C4" t="inlineStr">
        <is>
          <t>Marine Drive</t>
        </is>
      </c>
      <c r="D4" t="inlineStr">
        <is>
          <t>Ernakulam</t>
        </is>
      </c>
      <c r="E4" t="inlineStr">
        <is>
          <t>Kochi</t>
        </is>
      </c>
      <c r="F4" t="n">
        <v>682031</v>
      </c>
      <c r="G4" s="4" t="n"/>
      <c r="H4" s="4" t="n"/>
      <c r="I4" s="4" t="n"/>
      <c r="J4" s="4" t="n"/>
    </row>
    <row r="5">
      <c r="A5" t="inlineStr">
        <is>
          <t>Swati Bhatt</t>
        </is>
      </c>
      <c r="B5" t="inlineStr">
        <is>
          <t>B-704 Lodha Towers</t>
        </is>
      </c>
      <c r="C5" t="inlineStr">
        <is>
          <t>LBS Marg</t>
        </is>
      </c>
      <c r="D5" t="inlineStr">
        <is>
          <t>Thane West</t>
        </is>
      </c>
      <c r="E5" t="inlineStr">
        <is>
          <t>Thane</t>
        </is>
      </c>
      <c r="F5" t="n">
        <v>400604</v>
      </c>
      <c r="G5" s="4" t="n"/>
      <c r="H5" s="4" t="n"/>
      <c r="I5" s="4" t="n"/>
      <c r="J5" s="4" t="n"/>
    </row>
    <row r="6">
      <c r="A6" t="inlineStr">
        <is>
          <t>Manoj Pandey</t>
        </is>
      </c>
      <c r="B6" t="inlineStr">
        <is>
          <t>Plot 56</t>
        </is>
      </c>
      <c r="C6" t="inlineStr">
        <is>
          <t>Hazratganj</t>
        </is>
      </c>
      <c r="E6" t="inlineStr">
        <is>
          <t>Lucknow</t>
        </is>
      </c>
      <c r="F6" t="n">
        <v>226001</v>
      </c>
      <c r="G6" s="4" t="n"/>
      <c r="H6" s="4" t="n"/>
      <c r="I6" s="4" t="n"/>
      <c r="J6" s="4" t="n"/>
    </row>
    <row r="7">
      <c r="A7" t="inlineStr">
        <is>
          <t>Revathi Subramanian</t>
        </is>
      </c>
      <c r="B7" t="inlineStr">
        <is>
          <t>No. 9</t>
        </is>
      </c>
      <c r="C7" t="inlineStr">
        <is>
          <t>TTK Road</t>
        </is>
      </c>
      <c r="D7" t="inlineStr">
        <is>
          <t>Alwarpet</t>
        </is>
      </c>
      <c r="E7" t="inlineStr">
        <is>
          <t>Chennai</t>
        </is>
      </c>
      <c r="F7" t="n">
        <v>600018</v>
      </c>
      <c r="G7" s="4" t="n"/>
      <c r="H7" s="4" t="n"/>
      <c r="I7" s="4" t="n"/>
      <c r="J7" s="4" t="n"/>
    </row>
    <row r="8">
      <c r="A8" t="inlineStr">
        <is>
          <t>Aman Bedi</t>
        </is>
      </c>
      <c r="B8" t="inlineStr">
        <is>
          <t>H.No. 221</t>
        </is>
      </c>
      <c r="C8" t="inlineStr">
        <is>
          <t>Sector 17</t>
        </is>
      </c>
      <c r="E8" t="inlineStr">
        <is>
          <t>Chandigarh</t>
        </is>
      </c>
      <c r="F8" t="n">
        <v>160017</v>
      </c>
      <c r="G8" s="4" t="n"/>
      <c r="H8" s="4" t="n"/>
      <c r="I8" s="4" t="n"/>
      <c r="J8" s="4" t="n"/>
    </row>
    <row r="9">
      <c r="A9" t="inlineStr">
        <is>
          <t>Zoya Mirza</t>
        </is>
      </c>
      <c r="B9" t="inlineStr">
        <is>
          <t>Flat 5B</t>
        </is>
      </c>
      <c r="C9" t="inlineStr">
        <is>
          <t>Road No. 12</t>
        </is>
      </c>
      <c r="D9" t="inlineStr">
        <is>
          <t>Banjara Hills</t>
        </is>
      </c>
      <c r="E9" t="inlineStr">
        <is>
          <t>Hyderabad</t>
        </is>
      </c>
      <c r="F9" t="n">
        <v>500034</v>
      </c>
      <c r="G9" s="4" t="n"/>
      <c r="H9" s="4" t="n"/>
      <c r="I9" s="4" t="n"/>
      <c r="J9" s="4" t="n"/>
    </row>
    <row r="12">
      <c r="A12" s="5" t="inlineStr">
        <is>
          <t>Delivery cities</t>
        </is>
      </c>
      <c r="B1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13" customWidth="1" min="4" max="4"/>
    <col width="11" customWidth="1" min="5" max="5"/>
    <col width="8" customWidth="1" min="6" max="6"/>
    <col width="34" customWidth="1" min="7" max="7"/>
    <col width="18" customWidth="1" min="8" max="8"/>
    <col width="34" customWidth="1" min="9" max="9"/>
    <col width="28" customWidth="1" min="10" max="10"/>
  </cols>
  <sheetData>
    <row r="1">
      <c r="A1" s="2" t="inlineStr">
        <is>
          <t>Name</t>
        </is>
      </c>
      <c r="B1" s="2" t="inlineStr">
        <is>
          <t>House</t>
        </is>
      </c>
      <c r="C1" s="2" t="inlineStr">
        <is>
          <t>Street</t>
        </is>
      </c>
      <c r="D1" s="2" t="inlineStr">
        <is>
          <t>Area</t>
        </is>
      </c>
      <c r="E1" s="2" t="inlineStr">
        <is>
          <t>City</t>
        </is>
      </c>
      <c r="F1" s="2" t="inlineStr">
        <is>
          <t>PIN</t>
        </is>
      </c>
      <c r="G1" s="2" t="inlineStr">
        <is>
          <t>Address with &amp;</t>
        </is>
      </c>
      <c r="H1" s="2" t="inlineStr">
        <is>
          <t>City - PIN (CONCAT)</t>
        </is>
      </c>
      <c r="I1" s="2" t="inlineStr">
        <is>
          <t>Address (TEXTJOIN)</t>
        </is>
      </c>
      <c r="J1" s="2" t="inlineStr">
        <is>
          <t>Courier label</t>
        </is>
      </c>
    </row>
    <row r="2">
      <c r="A2" t="inlineStr">
        <is>
          <t>Ravi Shankar</t>
        </is>
      </c>
      <c r="B2" t="inlineStr">
        <is>
          <t>Flat 302 Sai Residency</t>
        </is>
      </c>
      <c r="C2" t="inlineStr">
        <is>
          <t>MG Road</t>
        </is>
      </c>
      <c r="D2" t="inlineStr">
        <is>
          <t>Kothrud</t>
        </is>
      </c>
      <c r="E2" t="inlineStr">
        <is>
          <t>Pune</t>
        </is>
      </c>
      <c r="F2" t="n">
        <v>411038</v>
      </c>
      <c r="G2" s="4">
        <f>B2&amp;", "&amp;C2&amp;", "&amp;D2&amp;", "&amp;E2&amp;" - "&amp;F2</f>
        <v/>
      </c>
      <c r="H2" s="4">
        <f>_xlfn.CONCAT(E2," - ",F2)</f>
        <v/>
      </c>
      <c r="I2" s="4">
        <f>_xlfn.TEXTJOIN(", ",TRUE,B2:E2)&amp;" - "&amp;F2</f>
        <v/>
      </c>
      <c r="J2" s="4">
        <f>_xlfn.TEXTJOIN(" | ",TRUE,A2,E2,F2)</f>
        <v/>
      </c>
    </row>
    <row r="3">
      <c r="A3" t="inlineStr">
        <is>
          <t>Nisha Agarwal</t>
        </is>
      </c>
      <c r="B3" t="inlineStr">
        <is>
          <t>12/4</t>
        </is>
      </c>
      <c r="C3" t="inlineStr">
        <is>
          <t>Park Street</t>
        </is>
      </c>
      <c r="E3" t="inlineStr">
        <is>
          <t>Kolkata</t>
        </is>
      </c>
      <c r="F3" t="n">
        <v>700016</v>
      </c>
      <c r="G3" s="4">
        <f>B3&amp;", "&amp;C3&amp;", "&amp;D3&amp;", "&amp;E3&amp;" - "&amp;F3</f>
        <v/>
      </c>
      <c r="H3" s="4">
        <f>_xlfn.CONCAT(E3," - ",F3)</f>
        <v/>
      </c>
      <c r="I3" s="4">
        <f>_xlfn.TEXTJOIN(", ",TRUE,B3:E3)&amp;" - "&amp;F3</f>
        <v/>
      </c>
      <c r="J3" s="4">
        <f>_xlfn.TEXTJOIN(" | ",TRUE,A3,E3,F3)</f>
        <v/>
      </c>
    </row>
    <row r="4">
      <c r="A4" t="inlineStr">
        <is>
          <t>Thomas George</t>
        </is>
      </c>
      <c r="B4" t="inlineStr">
        <is>
          <t>House 18</t>
        </is>
      </c>
      <c r="C4" t="inlineStr">
        <is>
          <t>Marine Drive</t>
        </is>
      </c>
      <c r="D4" t="inlineStr">
        <is>
          <t>Ernakulam</t>
        </is>
      </c>
      <c r="E4" t="inlineStr">
        <is>
          <t>Kochi</t>
        </is>
      </c>
      <c r="F4" t="n">
        <v>682031</v>
      </c>
      <c r="G4" s="4">
        <f>B4&amp;", "&amp;C4&amp;", "&amp;D4&amp;", "&amp;E4&amp;" - "&amp;F4</f>
        <v/>
      </c>
      <c r="H4" s="4">
        <f>_xlfn.CONCAT(E4," - ",F4)</f>
        <v/>
      </c>
      <c r="I4" s="4">
        <f>_xlfn.TEXTJOIN(", ",TRUE,B4:E4)&amp;" - "&amp;F4</f>
        <v/>
      </c>
      <c r="J4" s="4">
        <f>_xlfn.TEXTJOIN(" | ",TRUE,A4,E4,F4)</f>
        <v/>
      </c>
    </row>
    <row r="5">
      <c r="A5" t="inlineStr">
        <is>
          <t>Swati Bhatt</t>
        </is>
      </c>
      <c r="B5" t="inlineStr">
        <is>
          <t>B-704 Lodha Towers</t>
        </is>
      </c>
      <c r="C5" t="inlineStr">
        <is>
          <t>LBS Marg</t>
        </is>
      </c>
      <c r="D5" t="inlineStr">
        <is>
          <t>Thane West</t>
        </is>
      </c>
      <c r="E5" t="inlineStr">
        <is>
          <t>Thane</t>
        </is>
      </c>
      <c r="F5" t="n">
        <v>400604</v>
      </c>
      <c r="G5" s="4">
        <f>B5&amp;", "&amp;C5&amp;", "&amp;D5&amp;", "&amp;E5&amp;" - "&amp;F5</f>
        <v/>
      </c>
      <c r="H5" s="4">
        <f>_xlfn.CONCAT(E5," - ",F5)</f>
        <v/>
      </c>
      <c r="I5" s="4">
        <f>_xlfn.TEXTJOIN(", ",TRUE,B5:E5)&amp;" - "&amp;F5</f>
        <v/>
      </c>
      <c r="J5" s="4">
        <f>_xlfn.TEXTJOIN(" | ",TRUE,A5,E5,F5)</f>
        <v/>
      </c>
    </row>
    <row r="6">
      <c r="A6" t="inlineStr">
        <is>
          <t>Manoj Pandey</t>
        </is>
      </c>
      <c r="B6" t="inlineStr">
        <is>
          <t>Plot 56</t>
        </is>
      </c>
      <c r="C6" t="inlineStr">
        <is>
          <t>Hazratganj</t>
        </is>
      </c>
      <c r="E6" t="inlineStr">
        <is>
          <t>Lucknow</t>
        </is>
      </c>
      <c r="F6" t="n">
        <v>226001</v>
      </c>
      <c r="G6" s="4">
        <f>B6&amp;", "&amp;C6&amp;", "&amp;D6&amp;", "&amp;E6&amp;" - "&amp;F6</f>
        <v/>
      </c>
      <c r="H6" s="4">
        <f>_xlfn.CONCAT(E6," - ",F6)</f>
        <v/>
      </c>
      <c r="I6" s="4">
        <f>_xlfn.TEXTJOIN(", ",TRUE,B6:E6)&amp;" - "&amp;F6</f>
        <v/>
      </c>
      <c r="J6" s="4">
        <f>_xlfn.TEXTJOIN(" | ",TRUE,A6,E6,F6)</f>
        <v/>
      </c>
    </row>
    <row r="7">
      <c r="A7" t="inlineStr">
        <is>
          <t>Revathi Subramanian</t>
        </is>
      </c>
      <c r="B7" t="inlineStr">
        <is>
          <t>No. 9</t>
        </is>
      </c>
      <c r="C7" t="inlineStr">
        <is>
          <t>TTK Road</t>
        </is>
      </c>
      <c r="D7" t="inlineStr">
        <is>
          <t>Alwarpet</t>
        </is>
      </c>
      <c r="E7" t="inlineStr">
        <is>
          <t>Chennai</t>
        </is>
      </c>
      <c r="F7" t="n">
        <v>600018</v>
      </c>
      <c r="G7" s="4">
        <f>B7&amp;", "&amp;C7&amp;", "&amp;D7&amp;", "&amp;E7&amp;" - "&amp;F7</f>
        <v/>
      </c>
      <c r="H7" s="4">
        <f>_xlfn.CONCAT(E7," - ",F7)</f>
        <v/>
      </c>
      <c r="I7" s="4">
        <f>_xlfn.TEXTJOIN(", ",TRUE,B7:E7)&amp;" - "&amp;F7</f>
        <v/>
      </c>
      <c r="J7" s="4">
        <f>_xlfn.TEXTJOIN(" | ",TRUE,A7,E7,F7)</f>
        <v/>
      </c>
    </row>
    <row r="8">
      <c r="A8" t="inlineStr">
        <is>
          <t>Aman Bedi</t>
        </is>
      </c>
      <c r="B8" t="inlineStr">
        <is>
          <t>H.No. 221</t>
        </is>
      </c>
      <c r="C8" t="inlineStr">
        <is>
          <t>Sector 17</t>
        </is>
      </c>
      <c r="E8" t="inlineStr">
        <is>
          <t>Chandigarh</t>
        </is>
      </c>
      <c r="F8" t="n">
        <v>160017</v>
      </c>
      <c r="G8" s="4">
        <f>B8&amp;", "&amp;C8&amp;", "&amp;D8&amp;", "&amp;E8&amp;" - "&amp;F8</f>
        <v/>
      </c>
      <c r="H8" s="4">
        <f>_xlfn.CONCAT(E8," - ",F8)</f>
        <v/>
      </c>
      <c r="I8" s="4">
        <f>_xlfn.TEXTJOIN(", ",TRUE,B8:E8)&amp;" - "&amp;F8</f>
        <v/>
      </c>
      <c r="J8" s="4">
        <f>_xlfn.TEXTJOIN(" | ",TRUE,A8,E8,F8)</f>
        <v/>
      </c>
    </row>
    <row r="9">
      <c r="A9" t="inlineStr">
        <is>
          <t>Zoya Mirza</t>
        </is>
      </c>
      <c r="B9" t="inlineStr">
        <is>
          <t>Flat 5B</t>
        </is>
      </c>
      <c r="C9" t="inlineStr">
        <is>
          <t>Road No. 12</t>
        </is>
      </c>
      <c r="D9" t="inlineStr">
        <is>
          <t>Banjara Hills</t>
        </is>
      </c>
      <c r="E9" t="inlineStr">
        <is>
          <t>Hyderabad</t>
        </is>
      </c>
      <c r="F9" t="n">
        <v>500034</v>
      </c>
      <c r="G9" s="4">
        <f>B9&amp;", "&amp;C9&amp;", "&amp;D9&amp;", "&amp;E9&amp;" - "&amp;F9</f>
        <v/>
      </c>
      <c r="H9" s="4">
        <f>_xlfn.CONCAT(E9," - ",F9)</f>
        <v/>
      </c>
      <c r="I9" s="4">
        <f>_xlfn.TEXTJOIN(", ",TRUE,B9:E9)&amp;" - "&amp;F9</f>
        <v/>
      </c>
      <c r="J9" s="4">
        <f>_xlfn.TEXTJOIN(" | ",TRUE,A9,E9,F9)</f>
        <v/>
      </c>
    </row>
    <row r="12">
      <c r="A12" s="5" t="inlineStr">
        <is>
          <t>Delivery cities</t>
        </is>
      </c>
      <c r="B12" s="4">
        <f>_xlfn.TEXTJOIN(", ",TRUE,E2:E9)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70" customWidth="1" min="4" max="4"/>
    <col width="13" customWidth="1" min="5" max="5"/>
    <col width="11" customWidth="1" min="6" max="6"/>
    <col width="12" customWidth="1" min="7" max="7"/>
  </cols>
  <sheetData>
    <row r="1">
      <c r="A1" s="2" t="inlineStr">
        <is>
          <t>Employee</t>
        </is>
      </c>
      <c r="B1" s="2" t="inlineStr">
        <is>
          <t>Joining date</t>
        </is>
      </c>
      <c r="C1" s="2" t="inlineStr">
        <is>
          <t>Monthly CTC (₹)</t>
        </is>
      </c>
      <c r="D1" s="2" t="inlineStr">
        <is>
          <t>Offer line</t>
        </is>
      </c>
      <c r="E1" s="2" t="inlineStr">
        <is>
          <t>Bonus (HR export)</t>
        </is>
      </c>
      <c r="F1" s="2" t="inlineStr">
        <is>
          <t>Bonus (₹)</t>
        </is>
      </c>
      <c r="G1" s="2" t="inlineStr">
        <is>
          <t>Joined on (day)</t>
        </is>
      </c>
    </row>
    <row r="2">
      <c r="A2" t="inlineStr">
        <is>
          <t>Aditi Kulkarni</t>
        </is>
      </c>
      <c r="B2" s="6" t="n">
        <v>45397</v>
      </c>
      <c r="C2" s="7" t="n">
        <v>85000</v>
      </c>
      <c r="D2" s="4" t="inlineStr">
        <is>
          <t>12500</t>
        </is>
      </c>
      <c r="E2" s="3" t="n"/>
      <c r="F2" s="8" t="n"/>
      <c r="G2" s="4" t="n"/>
    </row>
    <row r="3">
      <c r="A3" t="inlineStr">
        <is>
          <t>Rahul Sen</t>
        </is>
      </c>
      <c r="B3" s="6" t="n">
        <v>45108</v>
      </c>
      <c r="C3" s="7" t="n">
        <v>120000</v>
      </c>
      <c r="D3" s="4" t="inlineStr">
        <is>
          <t>8,750</t>
        </is>
      </c>
      <c r="E3" s="3" t="n"/>
      <c r="F3" s="8" t="n"/>
      <c r="G3" s="4" t="n"/>
    </row>
    <row r="4">
      <c r="A4" t="inlineStr">
        <is>
          <t>Fatima Sheikh</t>
        </is>
      </c>
      <c r="B4" s="6" t="n">
        <v>45663</v>
      </c>
      <c r="C4" s="7" t="n">
        <v>64000</v>
      </c>
      <c r="D4" s="4" t="inlineStr">
        <is>
          <t xml:space="preserve"> 15000</t>
        </is>
      </c>
      <c r="E4" s="3" t="n"/>
      <c r="F4" s="8" t="n"/>
      <c r="G4" s="4" t="n"/>
    </row>
    <row r="5">
      <c r="A5" t="inlineStr">
        <is>
          <t>Gopal Krishnan</t>
        </is>
      </c>
      <c r="B5" s="6" t="n">
        <v>44886</v>
      </c>
      <c r="C5" s="7" t="n">
        <v>145000</v>
      </c>
      <c r="D5" s="4" t="inlineStr">
        <is>
          <t>20,000</t>
        </is>
      </c>
      <c r="E5" s="3" t="n"/>
      <c r="F5" s="8" t="n"/>
      <c r="G5" s="4" t="n"/>
    </row>
    <row r="6">
      <c r="A6" t="inlineStr">
        <is>
          <t>Harini Raghavan</t>
        </is>
      </c>
      <c r="B6" s="6" t="n">
        <v>45537</v>
      </c>
      <c r="C6" s="7" t="n">
        <v>72500</v>
      </c>
      <c r="D6" s="4" t="inlineStr">
        <is>
          <t xml:space="preserve">9500 </t>
        </is>
      </c>
      <c r="E6" s="3" t="n"/>
      <c r="F6" s="8" t="n"/>
      <c r="G6" s="4" t="n"/>
    </row>
    <row r="7">
      <c r="A7" t="inlineStr">
        <is>
          <t>Jaspreet Gill</t>
        </is>
      </c>
      <c r="B7" s="6" t="n">
        <v>44361</v>
      </c>
      <c r="C7" s="7" t="n">
        <v>210000</v>
      </c>
      <c r="D7" s="4" t="inlineStr">
        <is>
          <t>30,000</t>
        </is>
      </c>
      <c r="E7" s="3" t="n"/>
      <c r="F7" s="8" t="n"/>
      <c r="G7" s="4" t="n"/>
    </row>
    <row r="8">
      <c r="A8" t="inlineStr">
        <is>
          <t>Kunal Desai</t>
        </is>
      </c>
      <c r="B8" s="6" t="n">
        <v>45726</v>
      </c>
      <c r="C8" s="7" t="n">
        <v>56000</v>
      </c>
      <c r="D8" s="4" t="inlineStr">
        <is>
          <t>7,000</t>
        </is>
      </c>
      <c r="E8" s="3" t="n"/>
      <c r="F8" s="8" t="n"/>
      <c r="G8" s="4" t="n"/>
    </row>
    <row r="9">
      <c r="A9" t="inlineStr">
        <is>
          <t>Lavanya Pillai</t>
        </is>
      </c>
      <c r="B9" s="6" t="n">
        <v>45264</v>
      </c>
      <c r="C9" s="7" t="n">
        <v>98000</v>
      </c>
      <c r="D9" s="4" t="inlineStr">
        <is>
          <t>11,250</t>
        </is>
      </c>
      <c r="E9" s="3" t="n"/>
      <c r="F9" s="8" t="n"/>
      <c r="G9" s="4" t="n"/>
    </row>
    <row r="10">
      <c r="F10" s="7" t="n"/>
    </row>
    <row r="11">
      <c r="A11" s="5" t="inlineStr">
        <is>
          <t>Total</t>
        </is>
      </c>
      <c r="E11" s="7">
        <f>SUM(E2:E9)</f>
        <v/>
      </c>
      <c r="F11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70" customWidth="1" min="4" max="4"/>
    <col width="13" customWidth="1" min="5" max="5"/>
    <col width="11" customWidth="1" min="6" max="6"/>
    <col width="12" customWidth="1" min="7" max="7"/>
  </cols>
  <sheetData>
    <row r="1">
      <c r="A1" s="2" t="inlineStr">
        <is>
          <t>Employee</t>
        </is>
      </c>
      <c r="B1" s="2" t="inlineStr">
        <is>
          <t>Joining date</t>
        </is>
      </c>
      <c r="C1" s="2" t="inlineStr">
        <is>
          <t>Monthly CTC (₹)</t>
        </is>
      </c>
      <c r="D1" s="2" t="inlineStr">
        <is>
          <t>Offer line</t>
        </is>
      </c>
      <c r="E1" s="2" t="inlineStr">
        <is>
          <t>Bonus (HR export)</t>
        </is>
      </c>
      <c r="F1" s="2" t="inlineStr">
        <is>
          <t>Bonus (₹)</t>
        </is>
      </c>
      <c r="G1" s="2" t="inlineStr">
        <is>
          <t>Joined on (day)</t>
        </is>
      </c>
    </row>
    <row r="2">
      <c r="A2" t="inlineStr">
        <is>
          <t>Aditi Kulkarni</t>
        </is>
      </c>
      <c r="B2" s="6" t="n">
        <v>45397</v>
      </c>
      <c r="C2" s="7" t="n">
        <v>85000</v>
      </c>
      <c r="D2" s="4">
        <f>A2&amp;" joined on "&amp;TEXT(B2,"dd-mmm-yyyy")&amp;" with a monthly CTC of ₹"&amp;TEXT(C2,"[&gt;=100000]##\,##\,##0;##,##0")</f>
        <v/>
      </c>
      <c r="E2" s="3" t="n"/>
      <c r="F2" s="8">
        <f>VALUE(TRIM(E2))</f>
        <v/>
      </c>
      <c r="G2" s="4">
        <f>TEXT(B2,"dddd")</f>
        <v/>
      </c>
    </row>
    <row r="3">
      <c r="A3" t="inlineStr">
        <is>
          <t>Rahul Sen</t>
        </is>
      </c>
      <c r="B3" s="6" t="n">
        <v>45108</v>
      </c>
      <c r="C3" s="7" t="n">
        <v>120000</v>
      </c>
      <c r="D3" s="4">
        <f>A3&amp;" joined on "&amp;TEXT(B3,"dd-mmm-yyyy")&amp;" with a monthly CTC of ₹"&amp;TEXT(C3,"[&gt;=100000]##\,##\,##0;##,##0")</f>
        <v/>
      </c>
      <c r="E3" s="3" t="n"/>
      <c r="F3" s="8">
        <f>VALUE(TRIM(E3))</f>
        <v/>
      </c>
      <c r="G3" s="4">
        <f>TEXT(B3,"dddd")</f>
        <v/>
      </c>
    </row>
    <row r="4">
      <c r="A4" t="inlineStr">
        <is>
          <t>Fatima Sheikh</t>
        </is>
      </c>
      <c r="B4" s="6" t="n">
        <v>45663</v>
      </c>
      <c r="C4" s="7" t="n">
        <v>64000</v>
      </c>
      <c r="D4" s="4">
        <f>A4&amp;" joined on "&amp;TEXT(B4,"dd-mmm-yyyy")&amp;" with a monthly CTC of ₹"&amp;TEXT(C4,"[&gt;=100000]##\,##\,##0;##,##0")</f>
        <v/>
      </c>
      <c r="E4" s="3" t="n"/>
      <c r="F4" s="8">
        <f>VALUE(TRIM(E4))</f>
        <v/>
      </c>
      <c r="G4" s="4">
        <f>TEXT(B4,"dddd")</f>
        <v/>
      </c>
    </row>
    <row r="5">
      <c r="A5" t="inlineStr">
        <is>
          <t>Gopal Krishnan</t>
        </is>
      </c>
      <c r="B5" s="6" t="n">
        <v>44886</v>
      </c>
      <c r="C5" s="7" t="n">
        <v>145000</v>
      </c>
      <c r="D5" s="4">
        <f>A5&amp;" joined on "&amp;TEXT(B5,"dd-mmm-yyyy")&amp;" with a monthly CTC of ₹"&amp;TEXT(C5,"[&gt;=100000]##\,##\,##0;##,##0")</f>
        <v/>
      </c>
      <c r="E5" s="3" t="n"/>
      <c r="F5" s="8">
        <f>VALUE(TRIM(E5))</f>
        <v/>
      </c>
      <c r="G5" s="4">
        <f>TEXT(B5,"dddd")</f>
        <v/>
      </c>
    </row>
    <row r="6">
      <c r="A6" t="inlineStr">
        <is>
          <t>Harini Raghavan</t>
        </is>
      </c>
      <c r="B6" s="6" t="n">
        <v>45537</v>
      </c>
      <c r="C6" s="7" t="n">
        <v>72500</v>
      </c>
      <c r="D6" s="4">
        <f>A6&amp;" joined on "&amp;TEXT(B6,"dd-mmm-yyyy")&amp;" with a monthly CTC of ₹"&amp;TEXT(C6,"[&gt;=100000]##\,##\,##0;##,##0")</f>
        <v/>
      </c>
      <c r="E6" s="3" t="n"/>
      <c r="F6" s="8">
        <f>VALUE(TRIM(E6))</f>
        <v/>
      </c>
      <c r="G6" s="4">
        <f>TEXT(B6,"dddd")</f>
        <v/>
      </c>
    </row>
    <row r="7">
      <c r="A7" t="inlineStr">
        <is>
          <t>Jaspreet Gill</t>
        </is>
      </c>
      <c r="B7" s="6" t="n">
        <v>44361</v>
      </c>
      <c r="C7" s="7" t="n">
        <v>210000</v>
      </c>
      <c r="D7" s="4">
        <f>A7&amp;" joined on "&amp;TEXT(B7,"dd-mmm-yyyy")&amp;" with a monthly CTC of ₹"&amp;TEXT(C7,"[&gt;=100000]##\,##\,##0;##,##0")</f>
        <v/>
      </c>
      <c r="E7" s="3" t="n"/>
      <c r="F7" s="8">
        <f>VALUE(TRIM(E7))</f>
        <v/>
      </c>
      <c r="G7" s="4">
        <f>TEXT(B7,"dddd")</f>
        <v/>
      </c>
    </row>
    <row r="8">
      <c r="A8" t="inlineStr">
        <is>
          <t>Kunal Desai</t>
        </is>
      </c>
      <c r="B8" s="6" t="n">
        <v>45726</v>
      </c>
      <c r="C8" s="7" t="n">
        <v>56000</v>
      </c>
      <c r="D8" s="4">
        <f>A8&amp;" joined on "&amp;TEXT(B8,"dd-mmm-yyyy")&amp;" with a monthly CTC of ₹"&amp;TEXT(C8,"[&gt;=100000]##\,##\,##0;##,##0")</f>
        <v/>
      </c>
      <c r="E8" s="3" t="n"/>
      <c r="F8" s="8">
        <f>VALUE(TRIM(E8))</f>
        <v/>
      </c>
      <c r="G8" s="4">
        <f>TEXT(B8,"dddd")</f>
        <v/>
      </c>
    </row>
    <row r="9">
      <c r="A9" t="inlineStr">
        <is>
          <t>Lavanya Pillai</t>
        </is>
      </c>
      <c r="B9" s="6" t="n">
        <v>45264</v>
      </c>
      <c r="C9" s="7" t="n">
        <v>98000</v>
      </c>
      <c r="D9" s="4">
        <f>A9&amp;" joined on "&amp;TEXT(B9,"dd-mmm-yyyy")&amp;" with a monthly CTC of ₹"&amp;TEXT(C9,"[&gt;=100000]##\,##\,##0;##,##0")</f>
        <v/>
      </c>
      <c r="E9" s="3" t="n"/>
      <c r="F9" s="8">
        <f>VALUE(TRIM(E9))</f>
        <v/>
      </c>
      <c r="G9" s="4">
        <f>TEXT(B9,"dddd")</f>
        <v/>
      </c>
    </row>
    <row r="10">
      <c r="F10" s="7" t="n"/>
    </row>
    <row r="11">
      <c r="A11" s="5" t="inlineStr">
        <is>
          <t>Total</t>
        </is>
      </c>
      <c r="E11" s="7">
        <f>SUM(E2:E9)</f>
        <v/>
      </c>
      <c r="F11" s="8">
        <f>SUM(F2:F9)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2" customWidth="1" min="4" max="4"/>
    <col width="14" customWidth="1" min="5" max="5"/>
    <col width="24" customWidth="1" min="6" max="6"/>
    <col width="18" customWidth="1" min="7" max="7"/>
  </cols>
  <sheetData>
    <row r="1">
      <c r="A1" s="2" t="inlineStr">
        <is>
          <t>Full name</t>
        </is>
      </c>
      <c r="B1" s="2" t="inlineStr">
        <is>
          <t>Email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Username</t>
        </is>
      </c>
      <c r="F1" s="2" t="inlineStr">
        <is>
          <t>Domain</t>
        </is>
      </c>
      <c r="G1" s="2" t="inlineStr">
        <is>
          <t>Company</t>
        </is>
      </c>
    </row>
    <row r="2">
      <c r="A2" t="inlineStr">
        <is>
          <t>Ananya Rao</t>
        </is>
      </c>
      <c r="B2" t="inlineStr">
        <is>
          <t>ananya.rao@sharmatraders.in</t>
        </is>
      </c>
      <c r="C2" s="4" t="n"/>
      <c r="D2" s="4" t="n"/>
      <c r="E2" s="4" t="n"/>
      <c r="F2" s="4" t="n"/>
      <c r="G2" s="4" t="n"/>
    </row>
    <row r="3">
      <c r="A3" t="inlineStr">
        <is>
          <t>Mohammed Irfan Shaikh</t>
        </is>
      </c>
      <c r="B3" t="inlineStr">
        <is>
          <t>irfan.shaikh@deccanlogistics.in</t>
        </is>
      </c>
      <c r="C3" s="4" t="n"/>
      <c r="D3" s="4" t="n"/>
      <c r="E3" s="4" t="n"/>
      <c r="F3" s="4" t="n"/>
      <c r="G3" s="4" t="n"/>
    </row>
    <row r="4">
      <c r="A4" t="inlineStr">
        <is>
          <t>Pradeep Kumar Singh</t>
        </is>
      </c>
      <c r="B4" t="inlineStr">
        <is>
          <t>pk.singh@gangapaper.co.in</t>
        </is>
      </c>
      <c r="C4" s="4" t="n"/>
      <c r="D4" s="4" t="n"/>
      <c r="E4" s="4" t="n"/>
      <c r="F4" s="4" t="n"/>
      <c r="G4" s="4" t="n"/>
    </row>
    <row r="5">
      <c r="A5" t="inlineStr">
        <is>
          <t>Sara D'Souza</t>
        </is>
      </c>
      <c r="B5" t="inlineStr">
        <is>
          <t>sara.dsouza@konkanfoods.in</t>
        </is>
      </c>
      <c r="C5" s="4" t="n"/>
      <c r="D5" s="4" t="n"/>
      <c r="E5" s="4" t="n"/>
      <c r="F5" s="4" t="n"/>
      <c r="G5" s="4" t="n"/>
    </row>
    <row r="6">
      <c r="A6" t="inlineStr">
        <is>
          <t>Venkata Ramana Murthy</t>
        </is>
      </c>
      <c r="B6" t="inlineStr">
        <is>
          <t>vr.murthy@andhrapower.in</t>
        </is>
      </c>
      <c r="C6" s="4" t="n"/>
      <c r="D6" s="4" t="n"/>
      <c r="E6" s="4" t="n"/>
      <c r="F6" s="4" t="n"/>
      <c r="G6" s="4" t="n"/>
    </row>
    <row r="7">
      <c r="A7" t="inlineStr">
        <is>
          <t>Neelam Chaudhary</t>
        </is>
      </c>
      <c r="B7" t="inlineStr">
        <is>
          <t>neelam.c@jaipurgems.in</t>
        </is>
      </c>
      <c r="C7" s="4" t="n"/>
      <c r="D7" s="4" t="n"/>
      <c r="E7" s="4" t="n"/>
      <c r="F7" s="4" t="n"/>
      <c r="G7" s="4" t="n"/>
    </row>
    <row r="8">
      <c r="A8" t="inlineStr">
        <is>
          <t>Ritu Malhotra</t>
        </is>
      </c>
      <c r="B8" t="inlineStr">
        <is>
          <t>ritu@malhotraconsulting.in</t>
        </is>
      </c>
      <c r="C8" s="4" t="n"/>
      <c r="D8" s="4" t="n"/>
      <c r="E8" s="4" t="n"/>
      <c r="F8" s="4" t="n"/>
      <c r="G8" s="4" t="n"/>
    </row>
    <row r="9">
      <c r="A9" t="inlineStr">
        <is>
          <t>Abhijit Ghosh</t>
        </is>
      </c>
      <c r="B9" t="inlineStr">
        <is>
          <t>a.ghosh@hooghlyjute.in</t>
        </is>
      </c>
      <c r="C9" s="4" t="n"/>
      <c r="D9" s="4" t="n"/>
      <c r="E9" s="4" t="n"/>
      <c r="F9" s="4" t="n"/>
      <c r="G9" s="4" t="n"/>
    </row>
    <row r="12">
      <c r="A12" s="5" t="inlineStr">
        <is>
          <t>Skills (one cell)</t>
        </is>
      </c>
      <c r="B12" t="inlineStr">
        <is>
          <t>Excel, Tally Prime, GST returns, Power BI</t>
        </is>
      </c>
    </row>
    <row r="13">
      <c r="A13" s="5" t="inlineStr">
        <is>
          <t>Split across</t>
        </is>
      </c>
      <c r="B13" s="4" t="n"/>
    </row>
    <row r="15">
      <c r="A15" s="5" t="inlineStr">
        <is>
          <t>Split down</t>
        </is>
      </c>
      <c r="B15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2" customWidth="1" min="4" max="4"/>
    <col width="14" customWidth="1" min="5" max="5"/>
    <col width="24" customWidth="1" min="6" max="6"/>
    <col width="18" customWidth="1" min="7" max="7"/>
  </cols>
  <sheetData>
    <row r="1">
      <c r="A1" s="2" t="inlineStr">
        <is>
          <t>Full name</t>
        </is>
      </c>
      <c r="B1" s="2" t="inlineStr">
        <is>
          <t>Email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Username</t>
        </is>
      </c>
      <c r="F1" s="2" t="inlineStr">
        <is>
          <t>Domain</t>
        </is>
      </c>
      <c r="G1" s="2" t="inlineStr">
        <is>
          <t>Company</t>
        </is>
      </c>
    </row>
    <row r="2">
      <c r="A2" t="inlineStr">
        <is>
          <t>Ananya Rao</t>
        </is>
      </c>
      <c r="B2" t="inlineStr">
        <is>
          <t>ananya.rao@sharmatraders.in</t>
        </is>
      </c>
      <c r="C2" s="4">
        <f>_xlfn.TEXTBEFORE(A2," ")</f>
        <v/>
      </c>
      <c r="D2" s="4">
        <f>_xlfn.TEXTAFTER(A2," ",-1)</f>
        <v/>
      </c>
      <c r="E2" s="4">
        <f>_xlfn.TEXTBEFORE(B2,"@")</f>
        <v/>
      </c>
      <c r="F2" s="4">
        <f>_xlfn.TEXTAFTER(B2,"@")</f>
        <v/>
      </c>
      <c r="G2" s="4">
        <f>_xlfn.TEXTBEFORE(F2,".")</f>
        <v/>
      </c>
    </row>
    <row r="3">
      <c r="A3" t="inlineStr">
        <is>
          <t>Mohammed Irfan Shaikh</t>
        </is>
      </c>
      <c r="B3" t="inlineStr">
        <is>
          <t>irfan.shaikh@deccanlogistics.in</t>
        </is>
      </c>
      <c r="C3" s="4">
        <f>_xlfn.TEXTBEFORE(A3," ")</f>
        <v/>
      </c>
      <c r="D3" s="4">
        <f>_xlfn.TEXTAFTER(A3," ",-1)</f>
        <v/>
      </c>
      <c r="E3" s="4">
        <f>_xlfn.TEXTBEFORE(B3,"@")</f>
        <v/>
      </c>
      <c r="F3" s="4">
        <f>_xlfn.TEXTAFTER(B3,"@")</f>
        <v/>
      </c>
      <c r="G3" s="4">
        <f>_xlfn.TEXTBEFORE(F3,".")</f>
        <v/>
      </c>
    </row>
    <row r="4">
      <c r="A4" t="inlineStr">
        <is>
          <t>Pradeep Kumar Singh</t>
        </is>
      </c>
      <c r="B4" t="inlineStr">
        <is>
          <t>pk.singh@gangapaper.co.in</t>
        </is>
      </c>
      <c r="C4" s="4">
        <f>_xlfn.TEXTBEFORE(A4," ")</f>
        <v/>
      </c>
      <c r="D4" s="4">
        <f>_xlfn.TEXTAFTER(A4," ",-1)</f>
        <v/>
      </c>
      <c r="E4" s="4">
        <f>_xlfn.TEXTBEFORE(B4,"@")</f>
        <v/>
      </c>
      <c r="F4" s="4">
        <f>_xlfn.TEXTAFTER(B4,"@")</f>
        <v/>
      </c>
      <c r="G4" s="4">
        <f>_xlfn.TEXTBEFORE(F4,".")</f>
        <v/>
      </c>
    </row>
    <row r="5">
      <c r="A5" t="inlineStr">
        <is>
          <t>Sara D'Souza</t>
        </is>
      </c>
      <c r="B5" t="inlineStr">
        <is>
          <t>sara.dsouza@konkanfoods.in</t>
        </is>
      </c>
      <c r="C5" s="4">
        <f>_xlfn.TEXTBEFORE(A5," ")</f>
        <v/>
      </c>
      <c r="D5" s="4">
        <f>_xlfn.TEXTAFTER(A5," ",-1)</f>
        <v/>
      </c>
      <c r="E5" s="4">
        <f>_xlfn.TEXTBEFORE(B5,"@")</f>
        <v/>
      </c>
      <c r="F5" s="4">
        <f>_xlfn.TEXTAFTER(B5,"@")</f>
        <v/>
      </c>
      <c r="G5" s="4">
        <f>_xlfn.TEXTBEFORE(F5,".")</f>
        <v/>
      </c>
    </row>
    <row r="6">
      <c r="A6" t="inlineStr">
        <is>
          <t>Venkata Ramana Murthy</t>
        </is>
      </c>
      <c r="B6" t="inlineStr">
        <is>
          <t>vr.murthy@andhrapower.in</t>
        </is>
      </c>
      <c r="C6" s="4">
        <f>_xlfn.TEXTBEFORE(A6," ")</f>
        <v/>
      </c>
      <c r="D6" s="4">
        <f>_xlfn.TEXTAFTER(A6," ",-1)</f>
        <v/>
      </c>
      <c r="E6" s="4">
        <f>_xlfn.TEXTBEFORE(B6,"@")</f>
        <v/>
      </c>
      <c r="F6" s="4">
        <f>_xlfn.TEXTAFTER(B6,"@")</f>
        <v/>
      </c>
      <c r="G6" s="4">
        <f>_xlfn.TEXTBEFORE(F6,".")</f>
        <v/>
      </c>
    </row>
    <row r="7">
      <c r="A7" t="inlineStr">
        <is>
          <t>Neelam Chaudhary</t>
        </is>
      </c>
      <c r="B7" t="inlineStr">
        <is>
          <t>neelam.c@jaipurgems.in</t>
        </is>
      </c>
      <c r="C7" s="4">
        <f>_xlfn.TEXTBEFORE(A7," ")</f>
        <v/>
      </c>
      <c r="D7" s="4">
        <f>_xlfn.TEXTAFTER(A7," ",-1)</f>
        <v/>
      </c>
      <c r="E7" s="4">
        <f>_xlfn.TEXTBEFORE(B7,"@")</f>
        <v/>
      </c>
      <c r="F7" s="4">
        <f>_xlfn.TEXTAFTER(B7,"@")</f>
        <v/>
      </c>
      <c r="G7" s="4">
        <f>_xlfn.TEXTBEFORE(F7,".")</f>
        <v/>
      </c>
    </row>
    <row r="8">
      <c r="A8" t="inlineStr">
        <is>
          <t>Ritu Malhotra</t>
        </is>
      </c>
      <c r="B8" t="inlineStr">
        <is>
          <t>ritu@malhotraconsulting.in</t>
        </is>
      </c>
      <c r="C8" s="4">
        <f>_xlfn.TEXTBEFORE(A8," ")</f>
        <v/>
      </c>
      <c r="D8" s="4">
        <f>_xlfn.TEXTAFTER(A8," ",-1)</f>
        <v/>
      </c>
      <c r="E8" s="4">
        <f>_xlfn.TEXTBEFORE(B8,"@")</f>
        <v/>
      </c>
      <c r="F8" s="4">
        <f>_xlfn.TEXTAFTER(B8,"@")</f>
        <v/>
      </c>
      <c r="G8" s="4">
        <f>_xlfn.TEXTBEFORE(F8,".")</f>
        <v/>
      </c>
    </row>
    <row r="9">
      <c r="A9" t="inlineStr">
        <is>
          <t>Abhijit Ghosh</t>
        </is>
      </c>
      <c r="B9" t="inlineStr">
        <is>
          <t>a.ghosh@hooghlyjute.in</t>
        </is>
      </c>
      <c r="C9" s="4">
        <f>_xlfn.TEXTBEFORE(A9," ")</f>
        <v/>
      </c>
      <c r="D9" s="4">
        <f>_xlfn.TEXTAFTER(A9," ",-1)</f>
        <v/>
      </c>
      <c r="E9" s="4">
        <f>_xlfn.TEXTBEFORE(B9,"@")</f>
        <v/>
      </c>
      <c r="F9" s="4">
        <f>_xlfn.TEXTAFTER(B9,"@")</f>
        <v/>
      </c>
      <c r="G9" s="4">
        <f>_xlfn.TEXTBEFORE(F9,".")</f>
        <v/>
      </c>
    </row>
    <row r="12">
      <c r="A12" s="5" t="inlineStr">
        <is>
          <t>Skills (one cell)</t>
        </is>
      </c>
      <c r="B12" t="inlineStr">
        <is>
          <t>Excel, Tally Prime, GST returns, Power BI</t>
        </is>
      </c>
    </row>
    <row r="13">
      <c r="A13" s="5" t="inlineStr">
        <is>
          <t>Split across</t>
        </is>
      </c>
      <c r="B13" cm="1" s="4">
        <f t="array" ref="B13:E13">_xlfn.TEXTSPLIT(B12,", ")</f>
        <v/>
      </c>
    </row>
    <row r="15">
      <c r="A15" s="5" t="inlineStr">
        <is>
          <t>Split down</t>
        </is>
      </c>
      <c r="B15" cm="1" s="4">
        <f t="array" ref="B15:B18">_xlfn.TEXTSPLIT(B12,,", 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7" customWidth="1" min="3" max="3"/>
    <col width="16" customWidth="1" min="4" max="4"/>
    <col width="10" customWidth="1" min="5" max="5"/>
    <col width="11" customWidth="1" min="6" max="6"/>
    <col width="14" customWidth="1" min="7" max="7"/>
    <col width="14" customWidth="1" min="8" max="8"/>
    <col width="10" customWidth="1" min="9" max="9"/>
    <col width="12" customWidth="1" min="10" max="10"/>
  </cols>
  <sheetData>
    <row r="1">
      <c r="A1" s="2" t="inlineStr">
        <is>
          <t>Party</t>
        </is>
      </c>
      <c r="B1" s="2" t="inlineStr">
        <is>
          <t>PAN</t>
        </is>
      </c>
      <c r="C1" s="2" t="inlineStr">
        <is>
          <t>GSTIN</t>
        </is>
      </c>
      <c r="D1" s="2" t="inlineStr">
        <is>
          <t>Phone (raw)</t>
        </is>
      </c>
      <c r="E1" s="2" t="inlineStr">
        <is>
          <t>PAN valid?</t>
        </is>
      </c>
      <c r="F1" s="2" t="inlineStr">
        <is>
          <t>GSTIN valid?</t>
        </is>
      </c>
      <c r="G1" s="2" t="inlineStr">
        <is>
          <t>PAN from GSTIN</t>
        </is>
      </c>
      <c r="H1" s="2" t="inlineStr">
        <is>
          <t>Mobile (10 digits)</t>
        </is>
      </c>
      <c r="I1" s="2" t="inlineStr">
        <is>
          <t>Mobile valid?</t>
        </is>
      </c>
      <c r="J1" s="2" t="inlineStr">
        <is>
          <t>PAN valid, any case?</t>
        </is>
      </c>
    </row>
    <row r="2">
      <c r="A2" t="inlineStr">
        <is>
          <t>Shree Balaji Textiles</t>
        </is>
      </c>
      <c r="B2" t="inlineStr">
        <is>
          <t>AAKFS4821K</t>
        </is>
      </c>
      <c r="C2" t="inlineStr">
        <is>
          <t>24AAKFS4821K1Z0</t>
        </is>
      </c>
      <c r="D2" t="inlineStr">
        <is>
          <t>+91 98250 12345</t>
        </is>
      </c>
      <c r="E2" s="4" t="n"/>
      <c r="F2" s="4" t="n"/>
      <c r="G2" s="4" t="n"/>
      <c r="H2" s="4" t="n"/>
      <c r="I2" s="4" t="n"/>
      <c r="J2" s="4" t="n"/>
    </row>
    <row r="3">
      <c r="A3" t="inlineStr">
        <is>
          <t>Indus Auto Parts</t>
        </is>
      </c>
      <c r="B3" t="inlineStr">
        <is>
          <t>AABCI7364M</t>
        </is>
      </c>
      <c r="C3" t="inlineStr">
        <is>
          <t>27AABCI7364M1Z3</t>
        </is>
      </c>
      <c r="D3" t="inlineStr">
        <is>
          <t>098220-45678</t>
        </is>
      </c>
      <c r="E3" s="4" t="n"/>
      <c r="F3" s="4" t="n"/>
      <c r="G3" s="4" t="n"/>
      <c r="H3" s="4" t="n"/>
      <c r="I3" s="4" t="n"/>
      <c r="J3" s="4" t="n"/>
    </row>
    <row r="4">
      <c r="A4" t="inlineStr">
        <is>
          <t>Kaveri Spices</t>
        </is>
      </c>
      <c r="B4" t="inlineStr">
        <is>
          <t>AAGC1259KP</t>
        </is>
      </c>
      <c r="C4" t="inlineStr">
        <is>
          <t>29AAGCK1259P1ZW</t>
        </is>
      </c>
      <c r="D4" t="inlineStr">
        <is>
          <t>98450.11223</t>
        </is>
      </c>
      <c r="E4" s="4" t="n"/>
      <c r="F4" s="4" t="n"/>
      <c r="G4" s="4" t="n"/>
      <c r="H4" s="4" t="n"/>
      <c r="I4" s="4" t="n"/>
      <c r="J4" s="4" t="n"/>
    </row>
    <row r="5">
      <c r="A5" t="inlineStr">
        <is>
          <t>Ganga Paper Mills</t>
        </is>
      </c>
      <c r="B5" t="inlineStr">
        <is>
          <t>AADCG5813L</t>
        </is>
      </c>
      <c r="C5" t="inlineStr">
        <is>
          <t>09AADCG5813L1X5</t>
        </is>
      </c>
      <c r="D5" t="inlineStr">
        <is>
          <t>(0) 90040 77881</t>
        </is>
      </c>
      <c r="E5" s="4" t="n"/>
      <c r="F5" s="4" t="n"/>
      <c r="G5" s="4" t="n"/>
      <c r="H5" s="4" t="n"/>
      <c r="I5" s="4" t="n"/>
      <c r="J5" s="4" t="n"/>
    </row>
    <row r="6">
      <c r="A6" t="inlineStr">
        <is>
          <t>Coromandel Fabrics</t>
        </is>
      </c>
      <c r="B6" t="inlineStr">
        <is>
          <t>aabcc6402n</t>
        </is>
      </c>
      <c r="C6" t="inlineStr">
        <is>
          <t>33AABCC6402N1ZT</t>
        </is>
      </c>
      <c r="D6" t="inlineStr">
        <is>
          <t>7598 112 233</t>
        </is>
      </c>
      <c r="E6" s="4" t="n"/>
      <c r="F6" s="4" t="n"/>
      <c r="G6" s="4" t="n"/>
      <c r="H6" s="4" t="n"/>
      <c r="I6" s="4" t="n"/>
      <c r="J6" s="4" t="n"/>
    </row>
    <row r="7">
      <c r="A7" t="inlineStr">
        <is>
          <t>Hooghly Jute Works</t>
        </is>
      </c>
      <c r="B7" t="inlineStr">
        <is>
          <t>AAEFH9077Q</t>
        </is>
      </c>
      <c r="C7" t="inlineStr">
        <is>
          <t>19AAEFH9077Q1Z</t>
        </is>
      </c>
      <c r="D7" t="inlineStr">
        <is>
          <t>033-2245 6789</t>
        </is>
      </c>
      <c r="E7" s="4" t="n"/>
      <c r="F7" s="4" t="n"/>
      <c r="G7" s="4" t="n"/>
      <c r="H7" s="4" t="n"/>
      <c r="I7" s="4" t="n"/>
      <c r="J7" s="4" t="n"/>
    </row>
    <row r="8">
      <c r="A8" t="inlineStr">
        <is>
          <t>Charminar Pharma Distributors</t>
        </is>
      </c>
      <c r="B8" t="inlineStr">
        <is>
          <t>AAHCC3390D</t>
        </is>
      </c>
      <c r="C8" t="inlineStr">
        <is>
          <t>Not registered</t>
        </is>
      </c>
      <c r="D8" t="inlineStr">
        <is>
          <t>91-99490-12345</t>
        </is>
      </c>
      <c r="E8" s="4" t="n"/>
      <c r="F8" s="4" t="n"/>
      <c r="G8" s="4" t="n"/>
      <c r="H8" s="4" t="n"/>
      <c r="I8" s="4" t="n"/>
      <c r="J8" s="4" t="n"/>
    </row>
    <row r="9">
      <c r="A9" t="inlineStr">
        <is>
          <t>Malabar Cashew Exports</t>
        </is>
      </c>
      <c r="B9" t="inlineStr">
        <is>
          <t>AAJFM2216B</t>
        </is>
      </c>
      <c r="C9" t="inlineStr">
        <is>
          <t>32AAJFM2216B1Z0</t>
        </is>
      </c>
      <c r="D9" t="inlineStr">
        <is>
          <t>94471 2345</t>
        </is>
      </c>
      <c r="E9" s="4" t="n"/>
      <c r="F9" s="4" t="n"/>
      <c r="G9" s="4" t="n"/>
      <c r="H9" s="4" t="n"/>
      <c r="I9" s="4" t="n"/>
      <c r="J9" s="4" t="n"/>
    </row>
    <row r="12">
      <c r="A12" s="5" t="inlineStr">
        <is>
          <t>Patterns used</t>
        </is>
      </c>
    </row>
    <row r="13">
      <c r="A13" t="inlineStr">
        <is>
          <t>PAN</t>
        </is>
      </c>
      <c r="B13" t="inlineStr">
        <is>
          <t>^[A-Z]{5}[0-9]{4}[A-Z]$</t>
        </is>
      </c>
    </row>
    <row r="14">
      <c r="A14" t="inlineStr">
        <is>
          <t>GSTIN</t>
        </is>
      </c>
      <c r="B14" t="inlineStr">
        <is>
          <t>^[0-9]{2}[A-Z]{5}[0-9]{4}[A-Z][1-9A-Z]Z[0-9A-Z]$</t>
        </is>
      </c>
    </row>
    <row r="15">
      <c r="A15" t="inlineStr">
        <is>
          <t>Indian mobile</t>
        </is>
      </c>
      <c r="B15" t="inlineStr">
        <is>
          <t>^[6-9][0-9]{9}$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7" customWidth="1" min="3" max="3"/>
    <col width="16" customWidth="1" min="4" max="4"/>
    <col width="10" customWidth="1" min="5" max="5"/>
    <col width="11" customWidth="1" min="6" max="6"/>
    <col width="14" customWidth="1" min="7" max="7"/>
    <col width="14" customWidth="1" min="8" max="8"/>
    <col width="10" customWidth="1" min="9" max="9"/>
    <col width="12" customWidth="1" min="10" max="10"/>
  </cols>
  <sheetData>
    <row r="1">
      <c r="A1" s="2" t="inlineStr">
        <is>
          <t>Party</t>
        </is>
      </c>
      <c r="B1" s="2" t="inlineStr">
        <is>
          <t>PAN</t>
        </is>
      </c>
      <c r="C1" s="2" t="inlineStr">
        <is>
          <t>GSTIN</t>
        </is>
      </c>
      <c r="D1" s="2" t="inlineStr">
        <is>
          <t>Phone (raw)</t>
        </is>
      </c>
      <c r="E1" s="2" t="inlineStr">
        <is>
          <t>PAN valid?</t>
        </is>
      </c>
      <c r="F1" s="2" t="inlineStr">
        <is>
          <t>GSTIN valid?</t>
        </is>
      </c>
      <c r="G1" s="2" t="inlineStr">
        <is>
          <t>PAN from GSTIN</t>
        </is>
      </c>
      <c r="H1" s="2" t="inlineStr">
        <is>
          <t>Mobile (10 digits)</t>
        </is>
      </c>
      <c r="I1" s="2" t="inlineStr">
        <is>
          <t>Mobile valid?</t>
        </is>
      </c>
      <c r="J1" s="2" t="inlineStr">
        <is>
          <t>PAN valid, any case?</t>
        </is>
      </c>
    </row>
    <row r="2">
      <c r="A2" t="inlineStr">
        <is>
          <t>Shree Balaji Textiles</t>
        </is>
      </c>
      <c r="B2" t="inlineStr">
        <is>
          <t>AAKFS4821K</t>
        </is>
      </c>
      <c r="C2" t="inlineStr">
        <is>
          <t>24AAKFS4821K1Z0</t>
        </is>
      </c>
      <c r="D2" t="inlineStr">
        <is>
          <t>+91 98250 12345</t>
        </is>
      </c>
      <c r="E2" s="4">
        <f>_xlfn.REGEXTEST(B2,"^[A-Z]{5}[0-9]{4}[A-Z]$")</f>
        <v/>
      </c>
      <c r="F2" s="4">
        <f>_xlfn.REGEXTEST(C2,"^[0-9]{2}[A-Z]{5}[0-9]{4}[A-Z][1-9A-Z]Z[0-9A-Z]$")</f>
        <v/>
      </c>
      <c r="G2" s="4">
        <f>IFERROR(_xlfn.REGEXEXTRACT(C2,"[A-Z]{5}[0-9]{4}[A-Z]"),"Not found")</f>
        <v/>
      </c>
      <c r="H2" s="4">
        <f>RIGHT(_xlfn.REGEXREPLACE(D2,"[^0-9]",""),10)</f>
        <v/>
      </c>
      <c r="I2" s="4">
        <f>_xlfn.REGEXTEST(H2,"^[6-9][0-9]{9}$")</f>
        <v/>
      </c>
      <c r="J2" s="4">
        <f>_xlfn.REGEXTEST(B2,"^[A-Z]{5}[0-9]{4}[A-Z]$",1)</f>
        <v/>
      </c>
    </row>
    <row r="3">
      <c r="A3" t="inlineStr">
        <is>
          <t>Indus Auto Parts</t>
        </is>
      </c>
      <c r="B3" t="inlineStr">
        <is>
          <t>AABCI7364M</t>
        </is>
      </c>
      <c r="C3" t="inlineStr">
        <is>
          <t>27AABCI7364M1Z3</t>
        </is>
      </c>
      <c r="D3" t="inlineStr">
        <is>
          <t>098220-45678</t>
        </is>
      </c>
      <c r="E3" s="4">
        <f>_xlfn.REGEXTEST(B3,"^[A-Z]{5}[0-9]{4}[A-Z]$")</f>
        <v/>
      </c>
      <c r="F3" s="4">
        <f>_xlfn.REGEXTEST(C3,"^[0-9]{2}[A-Z]{5}[0-9]{4}[A-Z][1-9A-Z]Z[0-9A-Z]$")</f>
        <v/>
      </c>
      <c r="G3" s="4">
        <f>IFERROR(_xlfn.REGEXEXTRACT(C3,"[A-Z]{5}[0-9]{4}[A-Z]"),"Not found")</f>
        <v/>
      </c>
      <c r="H3" s="4">
        <f>RIGHT(_xlfn.REGEXREPLACE(D3,"[^0-9]",""),10)</f>
        <v/>
      </c>
      <c r="I3" s="4">
        <f>_xlfn.REGEXTEST(H3,"^[6-9][0-9]{9}$")</f>
        <v/>
      </c>
      <c r="J3" s="4">
        <f>_xlfn.REGEXTEST(B3,"^[A-Z]{5}[0-9]{4}[A-Z]$",1)</f>
        <v/>
      </c>
    </row>
    <row r="4">
      <c r="A4" t="inlineStr">
        <is>
          <t>Kaveri Spices</t>
        </is>
      </c>
      <c r="B4" t="inlineStr">
        <is>
          <t>AAGC1259KP</t>
        </is>
      </c>
      <c r="C4" t="inlineStr">
        <is>
          <t>29AAGCK1259P1ZW</t>
        </is>
      </c>
      <c r="D4" t="inlineStr">
        <is>
          <t>98450.11223</t>
        </is>
      </c>
      <c r="E4" s="4">
        <f>_xlfn.REGEXTEST(B4,"^[A-Z]{5}[0-9]{4}[A-Z]$")</f>
        <v/>
      </c>
      <c r="F4" s="4">
        <f>_xlfn.REGEXTEST(C4,"^[0-9]{2}[A-Z]{5}[0-9]{4}[A-Z][1-9A-Z]Z[0-9A-Z]$")</f>
        <v/>
      </c>
      <c r="G4" s="4">
        <f>IFERROR(_xlfn.REGEXEXTRACT(C4,"[A-Z]{5}[0-9]{4}[A-Z]"),"Not found")</f>
        <v/>
      </c>
      <c r="H4" s="4">
        <f>RIGHT(_xlfn.REGEXREPLACE(D4,"[^0-9]",""),10)</f>
        <v/>
      </c>
      <c r="I4" s="4">
        <f>_xlfn.REGEXTEST(H4,"^[6-9][0-9]{9}$")</f>
        <v/>
      </c>
      <c r="J4" s="4">
        <f>_xlfn.REGEXTEST(B4,"^[A-Z]{5}[0-9]{4}[A-Z]$",1)</f>
        <v/>
      </c>
    </row>
    <row r="5">
      <c r="A5" t="inlineStr">
        <is>
          <t>Ganga Paper Mills</t>
        </is>
      </c>
      <c r="B5" t="inlineStr">
        <is>
          <t>AADCG5813L</t>
        </is>
      </c>
      <c r="C5" t="inlineStr">
        <is>
          <t>09AADCG5813L1X5</t>
        </is>
      </c>
      <c r="D5" t="inlineStr">
        <is>
          <t>(0) 90040 77881</t>
        </is>
      </c>
      <c r="E5" s="4">
        <f>_xlfn.REGEXTEST(B5,"^[A-Z]{5}[0-9]{4}[A-Z]$")</f>
        <v/>
      </c>
      <c r="F5" s="4">
        <f>_xlfn.REGEXTEST(C5,"^[0-9]{2}[A-Z]{5}[0-9]{4}[A-Z][1-9A-Z]Z[0-9A-Z]$")</f>
        <v/>
      </c>
      <c r="G5" s="4">
        <f>IFERROR(_xlfn.REGEXEXTRACT(C5,"[A-Z]{5}[0-9]{4}[A-Z]"),"Not found")</f>
        <v/>
      </c>
      <c r="H5" s="4">
        <f>RIGHT(_xlfn.REGEXREPLACE(D5,"[^0-9]",""),10)</f>
        <v/>
      </c>
      <c r="I5" s="4">
        <f>_xlfn.REGEXTEST(H5,"^[6-9][0-9]{9}$")</f>
        <v/>
      </c>
      <c r="J5" s="4">
        <f>_xlfn.REGEXTEST(B5,"^[A-Z]{5}[0-9]{4}[A-Z]$",1)</f>
        <v/>
      </c>
    </row>
    <row r="6">
      <c r="A6" t="inlineStr">
        <is>
          <t>Coromandel Fabrics</t>
        </is>
      </c>
      <c r="B6" t="inlineStr">
        <is>
          <t>aabcc6402n</t>
        </is>
      </c>
      <c r="C6" t="inlineStr">
        <is>
          <t>33AABCC6402N1ZT</t>
        </is>
      </c>
      <c r="D6" t="inlineStr">
        <is>
          <t>7598 112 233</t>
        </is>
      </c>
      <c r="E6" s="4">
        <f>_xlfn.REGEXTEST(B6,"^[A-Z]{5}[0-9]{4}[A-Z]$")</f>
        <v/>
      </c>
      <c r="F6" s="4">
        <f>_xlfn.REGEXTEST(C6,"^[0-9]{2}[A-Z]{5}[0-9]{4}[A-Z][1-9A-Z]Z[0-9A-Z]$")</f>
        <v/>
      </c>
      <c r="G6" s="4">
        <f>IFERROR(_xlfn.REGEXEXTRACT(C6,"[A-Z]{5}[0-9]{4}[A-Z]"),"Not found")</f>
        <v/>
      </c>
      <c r="H6" s="4">
        <f>RIGHT(_xlfn.REGEXREPLACE(D6,"[^0-9]",""),10)</f>
        <v/>
      </c>
      <c r="I6" s="4">
        <f>_xlfn.REGEXTEST(H6,"^[6-9][0-9]{9}$")</f>
        <v/>
      </c>
      <c r="J6" s="4">
        <f>_xlfn.REGEXTEST(B6,"^[A-Z]{5}[0-9]{4}[A-Z]$",1)</f>
        <v/>
      </c>
    </row>
    <row r="7">
      <c r="A7" t="inlineStr">
        <is>
          <t>Hooghly Jute Works</t>
        </is>
      </c>
      <c r="B7" t="inlineStr">
        <is>
          <t>AAEFH9077Q</t>
        </is>
      </c>
      <c r="C7" t="inlineStr">
        <is>
          <t>19AAEFH9077Q1Z</t>
        </is>
      </c>
      <c r="D7" t="inlineStr">
        <is>
          <t>033-2245 6789</t>
        </is>
      </c>
      <c r="E7" s="4">
        <f>_xlfn.REGEXTEST(B7,"^[A-Z]{5}[0-9]{4}[A-Z]$")</f>
        <v/>
      </c>
      <c r="F7" s="4">
        <f>_xlfn.REGEXTEST(C7,"^[0-9]{2}[A-Z]{5}[0-9]{4}[A-Z][1-9A-Z]Z[0-9A-Z]$")</f>
        <v/>
      </c>
      <c r="G7" s="4">
        <f>IFERROR(_xlfn.REGEXEXTRACT(C7,"[A-Z]{5}[0-9]{4}[A-Z]"),"Not found")</f>
        <v/>
      </c>
      <c r="H7" s="4">
        <f>RIGHT(_xlfn.REGEXREPLACE(D7,"[^0-9]",""),10)</f>
        <v/>
      </c>
      <c r="I7" s="4">
        <f>_xlfn.REGEXTEST(H7,"^[6-9][0-9]{9}$")</f>
        <v/>
      </c>
      <c r="J7" s="4">
        <f>_xlfn.REGEXTEST(B7,"^[A-Z]{5}[0-9]{4}[A-Z]$",1)</f>
        <v/>
      </c>
    </row>
    <row r="8">
      <c r="A8" t="inlineStr">
        <is>
          <t>Charminar Pharma Distributors</t>
        </is>
      </c>
      <c r="B8" t="inlineStr">
        <is>
          <t>AAHCC3390D</t>
        </is>
      </c>
      <c r="C8" t="inlineStr">
        <is>
          <t>Not registered</t>
        </is>
      </c>
      <c r="D8" t="inlineStr">
        <is>
          <t>91-99490-12345</t>
        </is>
      </c>
      <c r="E8" s="4">
        <f>_xlfn.REGEXTEST(B8,"^[A-Z]{5}[0-9]{4}[A-Z]$")</f>
        <v/>
      </c>
      <c r="F8" s="4">
        <f>_xlfn.REGEXTEST(C8,"^[0-9]{2}[A-Z]{5}[0-9]{4}[A-Z][1-9A-Z]Z[0-9A-Z]$")</f>
        <v/>
      </c>
      <c r="G8" s="4">
        <f>IFERROR(_xlfn.REGEXEXTRACT(C8,"[A-Z]{5}[0-9]{4}[A-Z]"),"Not found")</f>
        <v/>
      </c>
      <c r="H8" s="4">
        <f>RIGHT(_xlfn.REGEXREPLACE(D8,"[^0-9]",""),10)</f>
        <v/>
      </c>
      <c r="I8" s="4">
        <f>_xlfn.REGEXTEST(H8,"^[6-9][0-9]{9}$")</f>
        <v/>
      </c>
      <c r="J8" s="4">
        <f>_xlfn.REGEXTEST(B8,"^[A-Z]{5}[0-9]{4}[A-Z]$",1)</f>
        <v/>
      </c>
    </row>
    <row r="9">
      <c r="A9" t="inlineStr">
        <is>
          <t>Malabar Cashew Exports</t>
        </is>
      </c>
      <c r="B9" t="inlineStr">
        <is>
          <t>AAJFM2216B</t>
        </is>
      </c>
      <c r="C9" t="inlineStr">
        <is>
          <t>32AAJFM2216B1Z0</t>
        </is>
      </c>
      <c r="D9" t="inlineStr">
        <is>
          <t>94471 2345</t>
        </is>
      </c>
      <c r="E9" s="4">
        <f>_xlfn.REGEXTEST(B9,"^[A-Z]{5}[0-9]{4}[A-Z]$")</f>
        <v/>
      </c>
      <c r="F9" s="4">
        <f>_xlfn.REGEXTEST(C9,"^[0-9]{2}[A-Z]{5}[0-9]{4}[A-Z][1-9A-Z]Z[0-9A-Z]$")</f>
        <v/>
      </c>
      <c r="G9" s="4">
        <f>IFERROR(_xlfn.REGEXEXTRACT(C9,"[A-Z]{5}[0-9]{4}[A-Z]"),"Not found")</f>
        <v/>
      </c>
      <c r="H9" s="4">
        <f>RIGHT(_xlfn.REGEXREPLACE(D9,"[^0-9]",""),10)</f>
        <v/>
      </c>
      <c r="I9" s="4">
        <f>_xlfn.REGEXTEST(H9,"^[6-9][0-9]{9}$")</f>
        <v/>
      </c>
      <c r="J9" s="4">
        <f>_xlfn.REGEXTEST(B9,"^[A-Z]{5}[0-9]{4}[A-Z]$",1)</f>
        <v/>
      </c>
    </row>
    <row r="12">
      <c r="A12" s="5" t="inlineStr">
        <is>
          <t>Patterns used</t>
        </is>
      </c>
    </row>
    <row r="13">
      <c r="A13" t="inlineStr">
        <is>
          <t>PAN</t>
        </is>
      </c>
      <c r="B13" t="inlineStr">
        <is>
          <t>^[A-Z]{5}[0-9]{4}[A-Z]$</t>
        </is>
      </c>
    </row>
    <row r="14">
      <c r="A14" t="inlineStr">
        <is>
          <t>GSTIN</t>
        </is>
      </c>
      <c r="B14" t="inlineStr">
        <is>
          <t>^[0-9]{2}[A-Z]{5}[0-9]{4}[A-Z][1-9A-Z]Z[0-9A-Z]$</t>
        </is>
      </c>
    </row>
    <row r="15">
      <c r="A15" t="inlineStr">
        <is>
          <t>Indian mobile</t>
        </is>
      </c>
      <c r="B15" t="inlineStr">
        <is>
          <t>^[6-9][0-9]{9}$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Txn Date,Narration,Amount,Type</t>
        </is>
      </c>
      <c r="F1" s="9" t="inlineStr">
        <is>
          <t>Bank export: one line per transaction, commas between fields, dates as DD/MM/YYYY.</t>
        </is>
      </c>
    </row>
    <row r="2">
      <c r="A2" t="inlineStr">
        <is>
          <t>02/04/2026,NEFT-GANGA PAPER MILLS,64800,Dr</t>
        </is>
      </c>
    </row>
    <row r="3">
      <c r="A3" t="inlineStr">
        <is>
          <t>05/04/2026,NEFT-SHREE BALAJI TEXTILES,125000,Cr</t>
        </is>
      </c>
      <c r="F3" t="inlineStr">
        <is>
          <t>Challenge: turn this text date into a real date in G4</t>
        </is>
      </c>
    </row>
    <row r="4">
      <c r="A4" t="inlineStr">
        <is>
          <t>07/04/2026,UPI-OFFICE PANTRY SUPPLIES,1450,Dr</t>
        </is>
      </c>
      <c r="F4" s="3" t="inlineStr">
        <is>
          <t>15/04/2026</t>
        </is>
      </c>
      <c r="G4" s="4" t="n"/>
    </row>
    <row r="5">
      <c r="A5" t="inlineStr">
        <is>
          <t>12/04/2026,ATM CASH WITHDRAWAL,20000,Dr</t>
        </is>
      </c>
    </row>
    <row r="6">
      <c r="A6" t="inlineStr">
        <is>
          <t>15/04/2026,RTGS-INDUS AUTO PARTS,340000,Dr</t>
        </is>
      </c>
    </row>
    <row r="7">
      <c r="A7" t="inlineStr">
        <is>
          <t>15/04/2026,RTGS-INDUS AUTO PARTS,340000,Dr</t>
        </is>
      </c>
    </row>
    <row r="8">
      <c r="A8" t="inlineStr">
        <is>
          <t>18/04/2026,GST PAYMENT CHALLAN,58650,Dr</t>
        </is>
      </c>
    </row>
    <row r="9">
      <c r="A9" t="inlineStr">
        <is>
          <t>21/04/2026,NEFT-KAVERI SPICES,76200,Cr</t>
        </is>
      </c>
    </row>
    <row r="10">
      <c r="A10" t="inlineStr">
        <is>
          <t>25/04/2026,SALARY APR 2026,412000,Dr</t>
        </is>
      </c>
    </row>
    <row r="11">
      <c r="A11" t="inlineStr">
        <is>
          <t>28/04/2026,BANK CHARGES,590,Dr</t>
        </is>
      </c>
    </row>
    <row r="12">
      <c r="A12" t="inlineStr">
        <is>
          <t>30/04/2026,INTEREST CREDIT,2315,Cr</t>
        </is>
      </c>
    </row>
    <row r="13">
      <c r="A13" t="inlineStr">
        <is>
          <t>30/04/2026,INTEREST CREDIT,2315,Cr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6" customWidth="1" min="4" max="4"/>
    <col width="3" customWidth="1" min="5" max="5"/>
    <col width="14" customWidth="1" min="6" max="6"/>
    <col width="12" customWidth="1" min="7" max="7"/>
  </cols>
  <sheetData>
    <row r="1">
      <c r="A1" s="2" t="inlineStr">
        <is>
          <t>Txn Date</t>
        </is>
      </c>
      <c r="B1" s="2" t="inlineStr">
        <is>
          <t>Narration</t>
        </is>
      </c>
      <c r="C1" s="2" t="inlineStr">
        <is>
          <t>Amount</t>
        </is>
      </c>
      <c r="D1" s="2" t="inlineStr">
        <is>
          <t>Type</t>
        </is>
      </c>
    </row>
    <row r="2">
      <c r="A2" s="6" t="n">
        <v>46114</v>
      </c>
      <c r="B2" t="inlineStr">
        <is>
          <t>NEFT-GANGA PAPER MILLS</t>
        </is>
      </c>
      <c r="C2" t="n">
        <v>64800</v>
      </c>
      <c r="D2" t="inlineStr">
        <is>
          <t>Dr</t>
        </is>
      </c>
    </row>
    <row r="3">
      <c r="A3" s="6" t="n">
        <v>46117</v>
      </c>
      <c r="B3" t="inlineStr">
        <is>
          <t>NEFT-SHREE BALAJI TEXTILES</t>
        </is>
      </c>
      <c r="C3" t="n">
        <v>125000</v>
      </c>
      <c r="D3" t="inlineStr">
        <is>
          <t>Cr</t>
        </is>
      </c>
      <c r="F3" t="inlineStr">
        <is>
          <t>Challenge: turn this text date into a real date in G4</t>
        </is>
      </c>
    </row>
    <row r="4">
      <c r="A4" s="6" t="n">
        <v>46119</v>
      </c>
      <c r="B4" t="inlineStr">
        <is>
          <t>UPI-OFFICE PANTRY SUPPLIES</t>
        </is>
      </c>
      <c r="C4" t="n">
        <v>1450</v>
      </c>
      <c r="D4" t="inlineStr">
        <is>
          <t>Dr</t>
        </is>
      </c>
      <c r="F4" s="3" t="inlineStr">
        <is>
          <t>15/04/2026</t>
        </is>
      </c>
      <c r="G4" s="10">
        <f>DATE(RIGHT(F4,4),MID(F4,4,2),LEFT(F4,2))</f>
        <v/>
      </c>
    </row>
    <row r="5">
      <c r="A5" s="6" t="n">
        <v>46124</v>
      </c>
      <c r="B5" t="inlineStr">
        <is>
          <t>ATM CASH WITHDRAWAL</t>
        </is>
      </c>
      <c r="C5" t="n">
        <v>20000</v>
      </c>
      <c r="D5" t="inlineStr">
        <is>
          <t>Dr</t>
        </is>
      </c>
    </row>
    <row r="6">
      <c r="A6" s="6" t="n">
        <v>46127</v>
      </c>
      <c r="B6" t="inlineStr">
        <is>
          <t>RTGS-INDUS AUTO PARTS</t>
        </is>
      </c>
      <c r="C6" t="n">
        <v>340000</v>
      </c>
      <c r="D6" t="inlineStr">
        <is>
          <t>Dr</t>
        </is>
      </c>
    </row>
    <row r="7">
      <c r="A7" s="6" t="n">
        <v>46130</v>
      </c>
      <c r="B7" t="inlineStr">
        <is>
          <t>GST PAYMENT CHALLAN</t>
        </is>
      </c>
      <c r="C7" t="n">
        <v>58650</v>
      </c>
      <c r="D7" t="inlineStr">
        <is>
          <t>Dr</t>
        </is>
      </c>
    </row>
    <row r="8">
      <c r="A8" s="6" t="n">
        <v>46133</v>
      </c>
      <c r="B8" t="inlineStr">
        <is>
          <t>NEFT-KAVERI SPICES</t>
        </is>
      </c>
      <c r="C8" t="n">
        <v>76200</v>
      </c>
      <c r="D8" t="inlineStr">
        <is>
          <t>Cr</t>
        </is>
      </c>
    </row>
    <row r="9">
      <c r="A9" s="6" t="n">
        <v>46137</v>
      </c>
      <c r="B9" t="inlineStr">
        <is>
          <t>SALARY APR 2026</t>
        </is>
      </c>
      <c r="C9" t="n">
        <v>412000</v>
      </c>
      <c r="D9" t="inlineStr">
        <is>
          <t>Dr</t>
        </is>
      </c>
    </row>
    <row r="10">
      <c r="A10" s="6" t="n">
        <v>46140</v>
      </c>
      <c r="B10" t="inlineStr">
        <is>
          <t>BANK CHARGES</t>
        </is>
      </c>
      <c r="C10" t="n">
        <v>590</v>
      </c>
      <c r="D10" t="inlineStr">
        <is>
          <t>Dr</t>
        </is>
      </c>
    </row>
    <row r="11">
      <c r="A11" s="6" t="n">
        <v>46142</v>
      </c>
      <c r="B11" t="inlineStr">
        <is>
          <t>INTEREST CREDIT</t>
        </is>
      </c>
      <c r="C11" t="n">
        <v>2315</v>
      </c>
      <c r="D11" t="inlineStr">
        <is>
          <t>Cr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0" customWidth="1" min="3" max="3"/>
    <col width="11" customWidth="1" min="4" max="4"/>
    <col width="3" customWidth="1" min="5" max="5"/>
    <col width="18" customWidth="1" min="6" max="6"/>
    <col width="12" customWidth="1" min="7" max="7"/>
    <col width="30" customWidth="1" min="8" max="8"/>
    <col width="11" customWidth="1" min="9" max="9"/>
    <col width="3" customWidth="1" min="10" max="10"/>
    <col width="50" customWidth="1" min="11" max="11"/>
  </cols>
  <sheetData>
    <row r="1">
      <c r="A1" s="2" t="inlineStr">
        <is>
          <t>Name (raw)</t>
        </is>
      </c>
      <c r="B1" s="2" t="inlineStr">
        <is>
          <t>Phone (raw)</t>
        </is>
      </c>
      <c r="C1" s="2" t="inlineStr">
        <is>
          <t>Email (raw)</t>
        </is>
      </c>
      <c r="D1" s="2" t="inlineStr">
        <is>
          <t>City</t>
        </is>
      </c>
      <c r="E1" s="11" t="n"/>
      <c r="F1" s="2" t="inlineStr">
        <is>
          <t>Name</t>
        </is>
      </c>
      <c r="G1" s="2" t="inlineStr">
        <is>
          <t>Mobile</t>
        </is>
      </c>
      <c r="H1" s="2" t="inlineStr">
        <is>
          <t>Email</t>
        </is>
      </c>
      <c r="I1" s="2" t="inlineStr">
        <is>
          <t>Duplicate?</t>
        </is>
      </c>
      <c r="K1" s="12" t="inlineStr">
        <is>
          <t>Your tasks</t>
        </is>
      </c>
    </row>
    <row r="2">
      <c r="A2" t="inlineStr">
        <is>
          <t xml:space="preserve">  amit  JOSHI </t>
        </is>
      </c>
      <c r="B2" t="inlineStr">
        <is>
          <t>+91 98220 11111</t>
        </is>
      </c>
      <c r="C2" t="inlineStr">
        <is>
          <t xml:space="preserve"> Amit.Joshi@JoshiTraders.in</t>
        </is>
      </c>
      <c r="D2" t="inlineStr">
        <is>
          <t>Pune</t>
        </is>
      </c>
      <c r="F2" s="4" t="n"/>
      <c r="G2" s="4" t="n"/>
      <c r="H2" s="4" t="n"/>
      <c r="I2" s="4" t="n"/>
      <c r="K2" s="13" t="inlineStr">
        <is>
          <t>1. F: name in proper case, no extra spaces</t>
        </is>
      </c>
    </row>
    <row r="3">
      <c r="A3" t="inlineStr">
        <is>
          <t>neha VERMA</t>
        </is>
      </c>
      <c r="B3" t="inlineStr">
        <is>
          <t>098110-22222</t>
        </is>
      </c>
      <c r="C3" t="inlineStr">
        <is>
          <t xml:space="preserve">neha.verma@VermaTextiles.in </t>
        </is>
      </c>
      <c r="D3" t="inlineStr">
        <is>
          <t>Delhi</t>
        </is>
      </c>
      <c r="F3" s="4" t="n"/>
      <c r="G3" s="4" t="n"/>
      <c r="H3" s="4" t="n"/>
      <c r="I3" s="4" t="n"/>
      <c r="K3" s="13" t="inlineStr">
        <is>
          <t>2. G: 10-digit mobile (digits only, last 10)</t>
        </is>
      </c>
    </row>
    <row r="4">
      <c r="A4" t="inlineStr">
        <is>
          <t>RAVI teja</t>
        </is>
      </c>
      <c r="B4" t="inlineStr">
        <is>
          <t>99490 33333</t>
        </is>
      </c>
      <c r="C4" t="inlineStr">
        <is>
          <t>RAVI.TEJA@TejaAgro.in</t>
        </is>
      </c>
      <c r="D4" t="inlineStr">
        <is>
          <t>Hyderabad</t>
        </is>
      </c>
      <c r="F4" s="4" t="n"/>
      <c r="G4" s="4" t="n"/>
      <c r="H4" s="4" t="n"/>
      <c r="I4" s="4" t="n"/>
      <c r="K4" s="13" t="inlineStr">
        <is>
          <t>3. H: email in lower case, no spaces</t>
        </is>
      </c>
    </row>
    <row r="5">
      <c r="A5" t="inlineStr">
        <is>
          <t>sangeeta  iyer</t>
        </is>
      </c>
      <c r="B5" t="inlineStr">
        <is>
          <t>91-98400-44444</t>
        </is>
      </c>
      <c r="C5" t="inlineStr">
        <is>
          <t>sangeeta@IyerFoods.in</t>
        </is>
      </c>
      <c r="D5" t="inlineStr">
        <is>
          <t>Chennai</t>
        </is>
      </c>
      <c r="F5" s="4" t="n"/>
      <c r="G5" s="4" t="n"/>
      <c r="H5" s="4" t="n"/>
      <c r="I5" s="4" t="n"/>
      <c r="K5" s="13" t="inlineStr">
        <is>
          <t>4. I: show Duplicate from the 2nd time an email appears</t>
        </is>
      </c>
    </row>
    <row r="6">
      <c r="A6" t="inlineStr">
        <is>
          <t>Amit Joshi</t>
        </is>
      </c>
      <c r="B6" t="inlineStr">
        <is>
          <t>9822011111</t>
        </is>
      </c>
      <c r="C6" t="inlineStr">
        <is>
          <t>amit.joshi@joshitraders.in</t>
        </is>
      </c>
      <c r="D6" t="inlineStr">
        <is>
          <t>Pune</t>
        </is>
      </c>
      <c r="F6" s="4" t="n"/>
      <c r="G6" s="4" t="n"/>
      <c r="H6" s="4" t="n"/>
      <c r="I6" s="4" t="n"/>
      <c r="K6" s="13" t="inlineStr">
        <is>
          <t>5. G18: count of unique customers</t>
        </is>
      </c>
    </row>
    <row r="7">
      <c r="A7" t="inlineStr">
        <is>
          <t>pallavi deshmukh</t>
        </is>
      </c>
      <c r="B7" t="inlineStr">
        <is>
          <t>(+91) 97300 55555</t>
        </is>
      </c>
      <c r="C7" t="inlineStr">
        <is>
          <t>Pallavi.D@DeshmukhSteel.in</t>
        </is>
      </c>
      <c r="D7" t="inlineStr">
        <is>
          <t>Nagpur</t>
        </is>
      </c>
      <c r="F7" s="4" t="n"/>
      <c r="G7" s="4" t="n"/>
      <c r="H7" s="4" t="n"/>
      <c r="I7" s="4" t="n"/>
      <c r="K7" s="13" t="inlineStr">
        <is>
          <t>Answers: sheet S05-09 Answers</t>
        </is>
      </c>
    </row>
    <row r="8">
      <c r="A8" t="inlineStr">
        <is>
          <t>IRFAN qureshi</t>
        </is>
      </c>
      <c r="B8" t="inlineStr">
        <is>
          <t>98330-66666</t>
        </is>
      </c>
      <c r="C8" t="inlineStr">
        <is>
          <t xml:space="preserve"> irfan.q@QureshiLeather.in</t>
        </is>
      </c>
      <c r="D8" t="inlineStr">
        <is>
          <t>Mumbai</t>
        </is>
      </c>
      <c r="F8" s="4" t="n"/>
      <c r="G8" s="4" t="n"/>
      <c r="H8" s="4" t="n"/>
      <c r="I8" s="4" t="n"/>
    </row>
    <row r="9">
      <c r="A9" t="inlineStr">
        <is>
          <t>Kiran  kumar</t>
        </is>
      </c>
      <c r="B9" t="inlineStr">
        <is>
          <t>94480 77777</t>
        </is>
      </c>
      <c r="C9" t="inlineStr">
        <is>
          <t>Kiran.K@KumarElectricals.in</t>
        </is>
      </c>
      <c r="D9" t="inlineStr">
        <is>
          <t>Bengaluru</t>
        </is>
      </c>
      <c r="F9" s="4" t="n"/>
      <c r="G9" s="4" t="n"/>
      <c r="H9" s="4" t="n"/>
      <c r="I9" s="4" t="n"/>
    </row>
    <row r="10">
      <c r="A10" t="inlineStr">
        <is>
          <t>NEHA verma</t>
        </is>
      </c>
      <c r="B10" t="inlineStr">
        <is>
          <t>+91-98110-22222</t>
        </is>
      </c>
      <c r="C10" t="inlineStr">
        <is>
          <t>Neha.Verma@vermatextiles.in</t>
        </is>
      </c>
      <c r="D10" t="inlineStr">
        <is>
          <t>Delhi</t>
        </is>
      </c>
      <c r="F10" s="4" t="n"/>
      <c r="G10" s="4" t="n"/>
      <c r="H10" s="4" t="n"/>
      <c r="I10" s="4" t="n"/>
    </row>
    <row r="11">
      <c r="A11" t="inlineStr">
        <is>
          <t>ruchi agarwal</t>
        </is>
      </c>
      <c r="B11" t="inlineStr">
        <is>
          <t>98300 88888</t>
        </is>
      </c>
      <c r="C11" t="inlineStr">
        <is>
          <t>ruchi@AgarwalJute.in</t>
        </is>
      </c>
      <c r="D11" t="inlineStr">
        <is>
          <t>Kolkata</t>
        </is>
      </c>
      <c r="F11" s="4" t="n"/>
      <c r="G11" s="4" t="n"/>
      <c r="H11" s="4" t="n"/>
      <c r="I11" s="4" t="n"/>
    </row>
    <row r="12">
      <c r="A12" t="inlineStr">
        <is>
          <t xml:space="preserve">  deepak NAIR</t>
        </is>
      </c>
      <c r="B12" t="inlineStr">
        <is>
          <t>94470-99999</t>
        </is>
      </c>
      <c r="C12" t="inlineStr">
        <is>
          <t>Deepak.Nair@NairSpices.in</t>
        </is>
      </c>
      <c r="D12" t="inlineStr">
        <is>
          <t>Kochi</t>
        </is>
      </c>
      <c r="F12" s="4" t="n"/>
      <c r="G12" s="4" t="n"/>
      <c r="H12" s="4" t="n"/>
      <c r="I12" s="4" t="n"/>
    </row>
    <row r="13">
      <c r="A13" t="inlineStr">
        <is>
          <t>tanvi shah</t>
        </is>
      </c>
      <c r="B13" t="inlineStr">
        <is>
          <t>98250 10101</t>
        </is>
      </c>
      <c r="C13" t="inlineStr">
        <is>
          <t>tanvi.shah@ShahDiamonds.in</t>
        </is>
      </c>
      <c r="D13" t="inlineStr">
        <is>
          <t>Surat</t>
        </is>
      </c>
      <c r="F13" s="4" t="n"/>
      <c r="G13" s="4" t="n"/>
      <c r="H13" s="4" t="n"/>
      <c r="I13" s="4" t="n"/>
    </row>
    <row r="14">
      <c r="A14" t="inlineStr">
        <is>
          <t>VIJAY rathore</t>
        </is>
      </c>
      <c r="B14" t="inlineStr">
        <is>
          <t>+91 94140 20202</t>
        </is>
      </c>
      <c r="C14" t="inlineStr">
        <is>
          <t>vijay@RathoreHandicrafts.in</t>
        </is>
      </c>
      <c r="D14" t="inlineStr">
        <is>
          <t>Jaipur</t>
        </is>
      </c>
      <c r="F14" s="4" t="n"/>
      <c r="G14" s="4" t="n"/>
      <c r="H14" s="4" t="n"/>
      <c r="I14" s="4" t="n"/>
    </row>
    <row r="15">
      <c r="A15" t="inlineStr">
        <is>
          <t>farah siddiqui</t>
        </is>
      </c>
      <c r="B15" t="inlineStr">
        <is>
          <t>98390 30303</t>
        </is>
      </c>
      <c r="C15" t="inlineStr">
        <is>
          <t>Farah.S@SiddiquiChikan.in</t>
        </is>
      </c>
      <c r="D15" t="inlineStr">
        <is>
          <t>Lucknow</t>
        </is>
      </c>
      <c r="F15" s="4" t="n"/>
      <c r="G15" s="4" t="n"/>
      <c r="H15" s="4" t="n"/>
      <c r="I15" s="4" t="n"/>
    </row>
    <row r="16">
      <c r="A16" t="inlineStr">
        <is>
          <t xml:space="preserve">manish  gupta </t>
        </is>
      </c>
      <c r="B16" t="inlineStr">
        <is>
          <t>98260 40404</t>
        </is>
      </c>
      <c r="C16" t="inlineStr">
        <is>
          <t>MANISH@GuptaPharma.in</t>
        </is>
      </c>
      <c r="D16" t="inlineStr">
        <is>
          <t>Indore</t>
        </is>
      </c>
      <c r="F16" s="4" t="n"/>
      <c r="G16" s="4" t="n"/>
      <c r="H16" s="4" t="n"/>
      <c r="I16" s="4" t="n"/>
    </row>
    <row r="18">
      <c r="F18" s="5" t="inlineStr">
        <is>
          <t>Unique customers</t>
        </is>
      </c>
      <c r="G18" s="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0" customWidth="1" min="3" max="3"/>
    <col width="11" customWidth="1" min="4" max="4"/>
    <col width="3" customWidth="1" min="5" max="5"/>
    <col width="18" customWidth="1" min="6" max="6"/>
    <col width="12" customWidth="1" min="7" max="7"/>
    <col width="30" customWidth="1" min="8" max="8"/>
    <col width="11" customWidth="1" min="9" max="9"/>
    <col width="3" customWidth="1" min="10" max="10"/>
    <col width="50" customWidth="1" min="11" max="11"/>
  </cols>
  <sheetData>
    <row r="1">
      <c r="A1" s="2" t="inlineStr">
        <is>
          <t>Name (raw)</t>
        </is>
      </c>
      <c r="B1" s="2" t="inlineStr">
        <is>
          <t>Phone (raw)</t>
        </is>
      </c>
      <c r="C1" s="2" t="inlineStr">
        <is>
          <t>Email (raw)</t>
        </is>
      </c>
      <c r="D1" s="2" t="inlineStr">
        <is>
          <t>City</t>
        </is>
      </c>
      <c r="E1" s="11" t="n"/>
      <c r="F1" s="2" t="inlineStr">
        <is>
          <t>Name</t>
        </is>
      </c>
      <c r="G1" s="2" t="inlineStr">
        <is>
          <t>Mobile</t>
        </is>
      </c>
      <c r="H1" s="2" t="inlineStr">
        <is>
          <t>Email</t>
        </is>
      </c>
      <c r="I1" s="2" t="inlineStr">
        <is>
          <t>Duplicate?</t>
        </is>
      </c>
      <c r="K1" s="12" t="inlineStr">
        <is>
          <t>Your tasks</t>
        </is>
      </c>
    </row>
    <row r="2">
      <c r="A2" t="inlineStr">
        <is>
          <t xml:space="preserve">  amit  JOSHI </t>
        </is>
      </c>
      <c r="B2" t="inlineStr">
        <is>
          <t>+91 98220 11111</t>
        </is>
      </c>
      <c r="C2" t="inlineStr">
        <is>
          <t xml:space="preserve"> Amit.Joshi@JoshiTraders.in</t>
        </is>
      </c>
      <c r="D2" t="inlineStr">
        <is>
          <t>Pune</t>
        </is>
      </c>
      <c r="F2" s="4">
        <f>PROPER(TRIM(A2))</f>
        <v/>
      </c>
      <c r="G2" s="4">
        <f>RIGHT(_xlfn.REGEXREPLACE(B2,"[^0-9]",""),10)</f>
        <v/>
      </c>
      <c r="H2" s="4">
        <f>LOWER(TRIM(C2))</f>
        <v/>
      </c>
      <c r="I2" s="4">
        <f>IF(COUNTIF($H$2:H2,H2)&gt;1,"Duplicate","")</f>
        <v/>
      </c>
      <c r="K2" s="13" t="inlineStr">
        <is>
          <t>1. F: name in proper case, no extra spaces</t>
        </is>
      </c>
    </row>
    <row r="3">
      <c r="A3" t="inlineStr">
        <is>
          <t>neha VERMA</t>
        </is>
      </c>
      <c r="B3" t="inlineStr">
        <is>
          <t>098110-22222</t>
        </is>
      </c>
      <c r="C3" t="inlineStr">
        <is>
          <t xml:space="preserve">neha.verma@VermaTextiles.in </t>
        </is>
      </c>
      <c r="D3" t="inlineStr">
        <is>
          <t>Delhi</t>
        </is>
      </c>
      <c r="F3" s="4">
        <f>PROPER(TRIM(A3))</f>
        <v/>
      </c>
      <c r="G3" s="4">
        <f>RIGHT(_xlfn.REGEXREPLACE(B3,"[^0-9]",""),10)</f>
        <v/>
      </c>
      <c r="H3" s="4">
        <f>LOWER(TRIM(C3))</f>
        <v/>
      </c>
      <c r="I3" s="4">
        <f>IF(COUNTIF($H$2:H3,H3)&gt;1,"Duplicate","")</f>
        <v/>
      </c>
      <c r="K3" s="13" t="inlineStr">
        <is>
          <t>2. G: 10-digit mobile (digits only, last 10)</t>
        </is>
      </c>
    </row>
    <row r="4">
      <c r="A4" t="inlineStr">
        <is>
          <t>RAVI teja</t>
        </is>
      </c>
      <c r="B4" t="inlineStr">
        <is>
          <t>99490 33333</t>
        </is>
      </c>
      <c r="C4" t="inlineStr">
        <is>
          <t>RAVI.TEJA@TejaAgro.in</t>
        </is>
      </c>
      <c r="D4" t="inlineStr">
        <is>
          <t>Hyderabad</t>
        </is>
      </c>
      <c r="F4" s="4">
        <f>PROPER(TRIM(A4))</f>
        <v/>
      </c>
      <c r="G4" s="4">
        <f>RIGHT(_xlfn.REGEXREPLACE(B4,"[^0-9]",""),10)</f>
        <v/>
      </c>
      <c r="H4" s="4">
        <f>LOWER(TRIM(C4))</f>
        <v/>
      </c>
      <c r="I4" s="4">
        <f>IF(COUNTIF($H$2:H4,H4)&gt;1,"Duplicate","")</f>
        <v/>
      </c>
      <c r="K4" s="13" t="inlineStr">
        <is>
          <t>3. H: email in lower case, no spaces</t>
        </is>
      </c>
    </row>
    <row r="5">
      <c r="A5" t="inlineStr">
        <is>
          <t>sangeeta  iyer</t>
        </is>
      </c>
      <c r="B5" t="inlineStr">
        <is>
          <t>91-98400-44444</t>
        </is>
      </c>
      <c r="C5" t="inlineStr">
        <is>
          <t>sangeeta@IyerFoods.in</t>
        </is>
      </c>
      <c r="D5" t="inlineStr">
        <is>
          <t>Chennai</t>
        </is>
      </c>
      <c r="F5" s="4">
        <f>PROPER(TRIM(A5))</f>
        <v/>
      </c>
      <c r="G5" s="4">
        <f>RIGHT(_xlfn.REGEXREPLACE(B5,"[^0-9]",""),10)</f>
        <v/>
      </c>
      <c r="H5" s="4">
        <f>LOWER(TRIM(C5))</f>
        <v/>
      </c>
      <c r="I5" s="4">
        <f>IF(COUNTIF($H$2:H5,H5)&gt;1,"Duplicate","")</f>
        <v/>
      </c>
      <c r="K5" s="13" t="inlineStr">
        <is>
          <t>4. I: show Duplicate from the 2nd time an email appears</t>
        </is>
      </c>
    </row>
    <row r="6">
      <c r="A6" t="inlineStr">
        <is>
          <t>Amit Joshi</t>
        </is>
      </c>
      <c r="B6" t="inlineStr">
        <is>
          <t>9822011111</t>
        </is>
      </c>
      <c r="C6" t="inlineStr">
        <is>
          <t>amit.joshi@joshitraders.in</t>
        </is>
      </c>
      <c r="D6" t="inlineStr">
        <is>
          <t>Pune</t>
        </is>
      </c>
      <c r="F6" s="4">
        <f>PROPER(TRIM(A6))</f>
        <v/>
      </c>
      <c r="G6" s="4">
        <f>RIGHT(_xlfn.REGEXREPLACE(B6,"[^0-9]",""),10)</f>
        <v/>
      </c>
      <c r="H6" s="4">
        <f>LOWER(TRIM(C6))</f>
        <v/>
      </c>
      <c r="I6" s="4">
        <f>IF(COUNTIF($H$2:H6,H6)&gt;1,"Duplicate","")</f>
        <v/>
      </c>
      <c r="K6" s="13" t="inlineStr">
        <is>
          <t>5. G18: count of unique customers</t>
        </is>
      </c>
    </row>
    <row r="7">
      <c r="A7" t="inlineStr">
        <is>
          <t>pallavi deshmukh</t>
        </is>
      </c>
      <c r="B7" t="inlineStr">
        <is>
          <t>(+91) 97300 55555</t>
        </is>
      </c>
      <c r="C7" t="inlineStr">
        <is>
          <t>Pallavi.D@DeshmukhSteel.in</t>
        </is>
      </c>
      <c r="D7" t="inlineStr">
        <is>
          <t>Nagpur</t>
        </is>
      </c>
      <c r="F7" s="4">
        <f>PROPER(TRIM(A7))</f>
        <v/>
      </c>
      <c r="G7" s="4">
        <f>RIGHT(_xlfn.REGEXREPLACE(B7,"[^0-9]",""),10)</f>
        <v/>
      </c>
      <c r="H7" s="4">
        <f>LOWER(TRIM(C7))</f>
        <v/>
      </c>
      <c r="I7" s="4">
        <f>IF(COUNTIF($H$2:H7,H7)&gt;1,"Duplicate","")</f>
        <v/>
      </c>
      <c r="K7" s="13" t="inlineStr">
        <is>
          <t>Answers: sheet S05-09 Answers</t>
        </is>
      </c>
    </row>
    <row r="8">
      <c r="A8" t="inlineStr">
        <is>
          <t>IRFAN qureshi</t>
        </is>
      </c>
      <c r="B8" t="inlineStr">
        <is>
          <t>98330-66666</t>
        </is>
      </c>
      <c r="C8" t="inlineStr">
        <is>
          <t xml:space="preserve"> irfan.q@QureshiLeather.in</t>
        </is>
      </c>
      <c r="D8" t="inlineStr">
        <is>
          <t>Mumbai</t>
        </is>
      </c>
      <c r="F8" s="4">
        <f>PROPER(TRIM(A8))</f>
        <v/>
      </c>
      <c r="G8" s="4">
        <f>RIGHT(_xlfn.REGEXREPLACE(B8,"[^0-9]",""),10)</f>
        <v/>
      </c>
      <c r="H8" s="4">
        <f>LOWER(TRIM(C8))</f>
        <v/>
      </c>
      <c r="I8" s="4">
        <f>IF(COUNTIF($H$2:H8,H8)&gt;1,"Duplicate","")</f>
        <v/>
      </c>
    </row>
    <row r="9">
      <c r="A9" t="inlineStr">
        <is>
          <t>Kiran  kumar</t>
        </is>
      </c>
      <c r="B9" t="inlineStr">
        <is>
          <t>94480 77777</t>
        </is>
      </c>
      <c r="C9" t="inlineStr">
        <is>
          <t>Kiran.K@KumarElectricals.in</t>
        </is>
      </c>
      <c r="D9" t="inlineStr">
        <is>
          <t>Bengaluru</t>
        </is>
      </c>
      <c r="F9" s="4">
        <f>PROPER(TRIM(A9))</f>
        <v/>
      </c>
      <c r="G9" s="4">
        <f>RIGHT(_xlfn.REGEXREPLACE(B9,"[^0-9]",""),10)</f>
        <v/>
      </c>
      <c r="H9" s="4">
        <f>LOWER(TRIM(C9))</f>
        <v/>
      </c>
      <c r="I9" s="4">
        <f>IF(COUNTIF($H$2:H9,H9)&gt;1,"Duplicate","")</f>
        <v/>
      </c>
    </row>
    <row r="10">
      <c r="A10" t="inlineStr">
        <is>
          <t>NEHA verma</t>
        </is>
      </c>
      <c r="B10" t="inlineStr">
        <is>
          <t>+91-98110-22222</t>
        </is>
      </c>
      <c r="C10" t="inlineStr">
        <is>
          <t>Neha.Verma@vermatextiles.in</t>
        </is>
      </c>
      <c r="D10" t="inlineStr">
        <is>
          <t>Delhi</t>
        </is>
      </c>
      <c r="F10" s="4">
        <f>PROPER(TRIM(A10))</f>
        <v/>
      </c>
      <c r="G10" s="4">
        <f>RIGHT(_xlfn.REGEXREPLACE(B10,"[^0-9]",""),10)</f>
        <v/>
      </c>
      <c r="H10" s="4">
        <f>LOWER(TRIM(C10))</f>
        <v/>
      </c>
      <c r="I10" s="4">
        <f>IF(COUNTIF($H$2:H10,H10)&gt;1,"Duplicate","")</f>
        <v/>
      </c>
    </row>
    <row r="11">
      <c r="A11" t="inlineStr">
        <is>
          <t>ruchi agarwal</t>
        </is>
      </c>
      <c r="B11" t="inlineStr">
        <is>
          <t>98300 88888</t>
        </is>
      </c>
      <c r="C11" t="inlineStr">
        <is>
          <t>ruchi@AgarwalJute.in</t>
        </is>
      </c>
      <c r="D11" t="inlineStr">
        <is>
          <t>Kolkata</t>
        </is>
      </c>
      <c r="F11" s="4">
        <f>PROPER(TRIM(A11))</f>
        <v/>
      </c>
      <c r="G11" s="4">
        <f>RIGHT(_xlfn.REGEXREPLACE(B11,"[^0-9]",""),10)</f>
        <v/>
      </c>
      <c r="H11" s="4">
        <f>LOWER(TRIM(C11))</f>
        <v/>
      </c>
      <c r="I11" s="4">
        <f>IF(COUNTIF($H$2:H11,H11)&gt;1,"Duplicate","")</f>
        <v/>
      </c>
    </row>
    <row r="12">
      <c r="A12" t="inlineStr">
        <is>
          <t xml:space="preserve">  deepak NAIR</t>
        </is>
      </c>
      <c r="B12" t="inlineStr">
        <is>
          <t>94470-99999</t>
        </is>
      </c>
      <c r="C12" t="inlineStr">
        <is>
          <t>Deepak.Nair@NairSpices.in</t>
        </is>
      </c>
      <c r="D12" t="inlineStr">
        <is>
          <t>Kochi</t>
        </is>
      </c>
      <c r="F12" s="4">
        <f>PROPER(TRIM(A12))</f>
        <v/>
      </c>
      <c r="G12" s="4">
        <f>RIGHT(_xlfn.REGEXREPLACE(B12,"[^0-9]",""),10)</f>
        <v/>
      </c>
      <c r="H12" s="4">
        <f>LOWER(TRIM(C12))</f>
        <v/>
      </c>
      <c r="I12" s="4">
        <f>IF(COUNTIF($H$2:H12,H12)&gt;1,"Duplicate","")</f>
        <v/>
      </c>
    </row>
    <row r="13">
      <c r="A13" t="inlineStr">
        <is>
          <t>tanvi shah</t>
        </is>
      </c>
      <c r="B13" t="inlineStr">
        <is>
          <t>98250 10101</t>
        </is>
      </c>
      <c r="C13" t="inlineStr">
        <is>
          <t>tanvi.shah@ShahDiamonds.in</t>
        </is>
      </c>
      <c r="D13" t="inlineStr">
        <is>
          <t>Surat</t>
        </is>
      </c>
      <c r="F13" s="4">
        <f>PROPER(TRIM(A13))</f>
        <v/>
      </c>
      <c r="G13" s="4">
        <f>RIGHT(_xlfn.REGEXREPLACE(B13,"[^0-9]",""),10)</f>
        <v/>
      </c>
      <c r="H13" s="4">
        <f>LOWER(TRIM(C13))</f>
        <v/>
      </c>
      <c r="I13" s="4">
        <f>IF(COUNTIF($H$2:H13,H13)&gt;1,"Duplicate","")</f>
        <v/>
      </c>
    </row>
    <row r="14">
      <c r="A14" t="inlineStr">
        <is>
          <t>VIJAY rathore</t>
        </is>
      </c>
      <c r="B14" t="inlineStr">
        <is>
          <t>+91 94140 20202</t>
        </is>
      </c>
      <c r="C14" t="inlineStr">
        <is>
          <t>vijay@RathoreHandicrafts.in</t>
        </is>
      </c>
      <c r="D14" t="inlineStr">
        <is>
          <t>Jaipur</t>
        </is>
      </c>
      <c r="F14" s="4">
        <f>PROPER(TRIM(A14))</f>
        <v/>
      </c>
      <c r="G14" s="4">
        <f>RIGHT(_xlfn.REGEXREPLACE(B14,"[^0-9]",""),10)</f>
        <v/>
      </c>
      <c r="H14" s="4">
        <f>LOWER(TRIM(C14))</f>
        <v/>
      </c>
      <c r="I14" s="4">
        <f>IF(COUNTIF($H$2:H14,H14)&gt;1,"Duplicate","")</f>
        <v/>
      </c>
    </row>
    <row r="15">
      <c r="A15" t="inlineStr">
        <is>
          <t>farah siddiqui</t>
        </is>
      </c>
      <c r="B15" t="inlineStr">
        <is>
          <t>98390 30303</t>
        </is>
      </c>
      <c r="C15" t="inlineStr">
        <is>
          <t>Farah.S@SiddiquiChikan.in</t>
        </is>
      </c>
      <c r="D15" t="inlineStr">
        <is>
          <t>Lucknow</t>
        </is>
      </c>
      <c r="F15" s="4">
        <f>PROPER(TRIM(A15))</f>
        <v/>
      </c>
      <c r="G15" s="4">
        <f>RIGHT(_xlfn.REGEXREPLACE(B15,"[^0-9]",""),10)</f>
        <v/>
      </c>
      <c r="H15" s="4">
        <f>LOWER(TRIM(C15))</f>
        <v/>
      </c>
      <c r="I15" s="4">
        <f>IF(COUNTIF($H$2:H15,H15)&gt;1,"Duplicate","")</f>
        <v/>
      </c>
    </row>
    <row r="16">
      <c r="A16" t="inlineStr">
        <is>
          <t xml:space="preserve">manish  gupta </t>
        </is>
      </c>
      <c r="B16" t="inlineStr">
        <is>
          <t>98260 40404</t>
        </is>
      </c>
      <c r="C16" t="inlineStr">
        <is>
          <t>MANISH@GuptaPharma.in</t>
        </is>
      </c>
      <c r="D16" t="inlineStr">
        <is>
          <t>Indore</t>
        </is>
      </c>
      <c r="F16" s="4">
        <f>PROPER(TRIM(A16))</f>
        <v/>
      </c>
      <c r="G16" s="4">
        <f>RIGHT(_xlfn.REGEXREPLACE(B16,"[^0-9]",""),10)</f>
        <v/>
      </c>
      <c r="H16" s="4">
        <f>LOWER(TRIM(C16))</f>
        <v/>
      </c>
      <c r="I16" s="4">
        <f>IF(COUNTIF($H$2:H16,H16)&gt;1,"Duplicate","")</f>
        <v/>
      </c>
    </row>
    <row r="18">
      <c r="F18" s="5" t="inlineStr">
        <is>
          <t>Unique customers</t>
        </is>
      </c>
      <c r="G18" s="4">
        <f>ROWS(H2:H16)-COUNTIF(I2:I16,"Duplicate")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2026-10-23T10:08:08Z</dcterms:created>
  <dcterms:modified xmlns:dcterms="http://purl.org/dc/terms/" xmlns:xsi="http://www.w3.org/2001/XMLSchema-instance" xsi:type="dcterms:W3CDTF">2026-10-23T10:08:08Z</dcterms:modified>
</cp:coreProperties>
</file>