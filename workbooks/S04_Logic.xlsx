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4-01" sheetId="2" state="visible" r:id="rId2"/>
    <sheet xmlns:r="http://schemas.openxmlformats.org/officeDocument/2006/relationships" name="S04-01 Done" sheetId="3" state="visible" r:id="rId3"/>
    <sheet xmlns:r="http://schemas.openxmlformats.org/officeDocument/2006/relationships" name="S04-02" sheetId="4" state="visible" r:id="rId4"/>
    <sheet xmlns:r="http://schemas.openxmlformats.org/officeDocument/2006/relationships" name="S04-02 Done" sheetId="5" state="visible" r:id="rId5"/>
    <sheet xmlns:r="http://schemas.openxmlformats.org/officeDocument/2006/relationships" name="S04-03" sheetId="6" state="visible" r:id="rId6"/>
    <sheet xmlns:r="http://schemas.openxmlformats.org/officeDocument/2006/relationships" name="S04-03 Done" sheetId="7" state="visible" r:id="rId7"/>
    <sheet xmlns:r="http://schemas.openxmlformats.org/officeDocument/2006/relationships" name="S04-04" sheetId="8" state="visible" r:id="rId8"/>
    <sheet xmlns:r="http://schemas.openxmlformats.org/officeDocument/2006/relationships" name="S04-04 Done" sheetId="9" state="visible" r:id="rId9"/>
    <sheet xmlns:r="http://schemas.openxmlformats.org/officeDocument/2006/relationships" name="S04-05" sheetId="10" state="visible" r:id="rId10"/>
    <sheet xmlns:r="http://schemas.openxmlformats.org/officeDocument/2006/relationships" name="S04-05 Done" sheetId="11" state="visible" r:id="rId11"/>
    <sheet xmlns:r="http://schemas.openxmlformats.org/officeDocument/2006/relationships" name="S04-06" sheetId="12" state="visible" r:id="rId12"/>
    <sheet xmlns:r="http://schemas.openxmlformats.org/officeDocument/2006/relationships" name="S04-06 Done" sheetId="13" state="visible" r:id="rId13"/>
    <sheet xmlns:r="http://schemas.openxmlformats.org/officeDocument/2006/relationships" name="S04-07" sheetId="14" state="visible" r:id="rId14"/>
    <sheet xmlns:r="http://schemas.openxmlformats.org/officeDocument/2006/relationships" name="S04-07 Done" sheetId="15" state="visible" r:id="rId15"/>
    <sheet xmlns:r="http://schemas.openxmlformats.org/officeDocument/2006/relationships" name="S04-08" sheetId="16" state="visible" r:id="rId16"/>
    <sheet xmlns:r="http://schemas.openxmlformats.org/officeDocument/2006/relationships" name="S04-08 Don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=10000000]&quot;₹&quot;##\,##\,##\,##0;[&gt;=100000]&quot;₹&quot;##\,##\,##0;&quot;₹&quot;##,##0"/>
    <numFmt numFmtId="165" formatCode="yyyy-mm-dd"/>
    <numFmt numFmtId="166" formatCode="dd-mm-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sz val="9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9" fontId="0" fillId="0" borderId="0" pivotButton="0" quotePrefix="0" xfId="0"/>
    <xf numFmtId="0" fontId="2" fillId="2" borderId="0" pivotButton="0" quotePrefix="0" xfId="0"/>
    <xf numFmtId="9" fontId="0" fillId="3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9" customWidth="1" min="3" max="3"/>
    <col width="14" customWidth="1" min="4" max="4"/>
    <col width="16" customWidth="1" min="5" max="5"/>
  </cols>
  <sheetData>
    <row r="1">
      <c r="A1" s="1" t="inlineStr">
        <is>
          <t>Excel Mastery for Mac: Section S04, Logic and conditional maths</t>
        </is>
      </c>
    </row>
    <row r="2">
      <c r="A2" t="inlineStr">
        <is>
          <t>Each lesson has a practice sheet (named with the lesson id) and a finished copy ('&lt;id&gt; Done'). Yellow cells are for you to fill in.</t>
        </is>
      </c>
    </row>
    <row r="4">
      <c r="A4" s="2" t="inlineStr">
        <is>
          <t>Lesson</t>
        </is>
      </c>
      <c r="B4" s="2" t="inlineStr">
        <is>
          <t>Title</t>
        </is>
      </c>
      <c r="C4" s="2" t="inlineStr">
        <is>
          <t>Type</t>
        </is>
      </c>
      <c r="D4" s="2" t="inlineStr">
        <is>
          <t>Practice sheet</t>
        </is>
      </c>
      <c r="E4" s="2" t="inlineStr">
        <is>
          <t>Finished sheet</t>
        </is>
      </c>
    </row>
    <row r="5">
      <c r="A5" t="inlineStr">
        <is>
          <t>S04-01</t>
        </is>
      </c>
      <c r="B5" t="inlineStr">
        <is>
          <t>IF: making decisions</t>
        </is>
      </c>
      <c r="C5" t="inlineStr">
        <is>
          <t>demo</t>
        </is>
      </c>
      <c r="D5" t="inlineStr">
        <is>
          <t>S04-01</t>
        </is>
      </c>
      <c r="E5" t="inlineStr">
        <is>
          <t>S04-01 Done</t>
        </is>
      </c>
    </row>
    <row r="6">
      <c r="A6" t="inlineStr">
        <is>
          <t>S04-02</t>
        </is>
      </c>
      <c r="B6" t="inlineStr">
        <is>
          <t>AND, OR and NOT</t>
        </is>
      </c>
      <c r="C6" t="inlineStr">
        <is>
          <t>demo</t>
        </is>
      </c>
      <c r="D6" t="inlineStr">
        <is>
          <t>S04-02</t>
        </is>
      </c>
      <c r="E6" t="inlineStr">
        <is>
          <t>S04-02 Done</t>
        </is>
      </c>
    </row>
    <row r="7">
      <c r="A7" t="inlineStr">
        <is>
          <t>S04-03</t>
        </is>
      </c>
      <c r="B7" t="inlineStr">
        <is>
          <t>Nested IF, IFS and SWITCH</t>
        </is>
      </c>
      <c r="C7" t="inlineStr">
        <is>
          <t>demo</t>
        </is>
      </c>
      <c r="D7" t="inlineStr">
        <is>
          <t>S04-03</t>
        </is>
      </c>
      <c r="E7" t="inlineStr">
        <is>
          <t>S04-03 Done</t>
        </is>
      </c>
    </row>
    <row r="8">
      <c r="A8" t="inlineStr">
        <is>
          <t>S04-04</t>
        </is>
      </c>
      <c r="B8" t="inlineStr">
        <is>
          <t>IFERROR, IFNA and the IS functions</t>
        </is>
      </c>
      <c r="C8" t="inlineStr">
        <is>
          <t>demo</t>
        </is>
      </c>
      <c r="D8" t="inlineStr">
        <is>
          <t>S04-04</t>
        </is>
      </c>
      <c r="E8" t="inlineStr">
        <is>
          <t>S04-04 Done</t>
        </is>
      </c>
    </row>
    <row r="9">
      <c r="A9" t="inlineStr">
        <is>
          <t>S04-05</t>
        </is>
      </c>
      <c r="B9" t="inlineStr">
        <is>
          <t>COUNTIF and COUNTIFS</t>
        </is>
      </c>
      <c r="C9" t="inlineStr">
        <is>
          <t>demo</t>
        </is>
      </c>
      <c r="D9" t="inlineStr">
        <is>
          <t>S04-05</t>
        </is>
      </c>
      <c r="E9" t="inlineStr">
        <is>
          <t>S04-05 Done</t>
        </is>
      </c>
    </row>
    <row r="10">
      <c r="A10" t="inlineStr">
        <is>
          <t>S04-06</t>
        </is>
      </c>
      <c r="B10" t="inlineStr">
        <is>
          <t>SUMIF, SUMIFS, AVERAGEIFS, MAXIFS, MINIFS</t>
        </is>
      </c>
      <c r="C10" t="inlineStr">
        <is>
          <t>demo</t>
        </is>
      </c>
      <c r="D10" t="inlineStr">
        <is>
          <t>S04-06</t>
        </is>
      </c>
      <c r="E10" t="inlineStr">
        <is>
          <t>S04-06 Done</t>
        </is>
      </c>
    </row>
    <row r="11">
      <c r="A11" t="inlineStr">
        <is>
          <t>S04-07</t>
        </is>
      </c>
      <c r="B11" t="inlineStr">
        <is>
          <t>SUMPRODUCT and true/false maths</t>
        </is>
      </c>
      <c r="C11" t="inlineStr">
        <is>
          <t>demo</t>
        </is>
      </c>
      <c r="D11" t="inlineStr">
        <is>
          <t>S04-07</t>
        </is>
      </c>
      <c r="E11" t="inlineStr">
        <is>
          <t>S04-07 Done</t>
        </is>
      </c>
    </row>
    <row r="12">
      <c r="A12" t="inlineStr">
        <is>
          <t>S04-08</t>
        </is>
      </c>
      <c r="B12" t="inlineStr">
        <is>
          <t>Project: income tax calculator (new regime)</t>
        </is>
      </c>
      <c r="C12" t="inlineStr">
        <is>
          <t>project</t>
        </is>
      </c>
      <c r="D12" t="inlineStr">
        <is>
          <t>S04-08</t>
        </is>
      </c>
      <c r="E12" t="inlineStr">
        <is>
          <t>S04-08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0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4" customWidth="1" min="8" max="8"/>
    <col width="8" customWidth="1" min="9" max="9"/>
  </cols>
  <sheetData>
    <row r="1">
      <c r="A1" s="2" t="inlineStr">
        <is>
          <t>Emp ID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Target (₹)</t>
        </is>
      </c>
      <c r="E1" s="2" t="inlineStr">
        <is>
          <t>Sales (₹)</t>
        </is>
      </c>
      <c r="F1" s="2" t="inlineStr">
        <is>
          <t>Status</t>
        </is>
      </c>
      <c r="G1" s="2" t="inlineStr">
        <is>
          <t>Bonus (₹)</t>
        </is>
      </c>
      <c r="H1" s="2" t="inlineStr">
        <is>
          <t>Follow-up</t>
        </is>
      </c>
      <c r="I1" s="2" t="inlineStr">
        <is>
          <t>Star?</t>
        </is>
      </c>
    </row>
    <row r="2">
      <c r="A2" t="inlineStr">
        <is>
          <t>E101</t>
        </is>
      </c>
      <c r="B2" t="inlineStr">
        <is>
          <t>Aarav Sharma</t>
        </is>
      </c>
      <c r="C2" t="inlineStr">
        <is>
          <t>Pune</t>
        </is>
      </c>
      <c r="D2" s="3" t="n">
        <v>500000</v>
      </c>
      <c r="E2" s="3" t="n">
        <v>562000</v>
      </c>
      <c r="F2" s="4" t="n"/>
      <c r="G2" s="5" t="n"/>
      <c r="H2" s="4" t="n"/>
      <c r="I2" s="4" t="n"/>
    </row>
    <row r="3">
      <c r="A3" t="inlineStr">
        <is>
          <t>E102</t>
        </is>
      </c>
      <c r="B3" t="inlineStr">
        <is>
          <t>Priya Nair</t>
        </is>
      </c>
      <c r="C3" t="inlineStr">
        <is>
          <t>Kochi</t>
        </is>
      </c>
      <c r="D3" s="3" t="n">
        <v>450000</v>
      </c>
      <c r="E3" s="3" t="n">
        <v>398500</v>
      </c>
      <c r="F3" s="4" t="n"/>
      <c r="G3" s="5" t="n"/>
      <c r="H3" s="4" t="n"/>
      <c r="I3" s="4" t="n"/>
    </row>
    <row r="4">
      <c r="A4" t="inlineStr">
        <is>
          <t>E103</t>
        </is>
      </c>
      <c r="B4" t="inlineStr">
        <is>
          <t>Rohit Verma</t>
        </is>
      </c>
      <c r="C4" t="inlineStr">
        <is>
          <t>Lucknow</t>
        </is>
      </c>
      <c r="D4" s="3" t="n">
        <v>400000</v>
      </c>
      <c r="E4" s="3" t="n">
        <v>455000</v>
      </c>
      <c r="F4" s="4" t="n"/>
      <c r="G4" s="5" t="n"/>
      <c r="H4" s="4" t="n"/>
      <c r="I4" s="4" t="n"/>
    </row>
    <row r="5">
      <c r="A5" t="inlineStr">
        <is>
          <t>E104</t>
        </is>
      </c>
      <c r="B5" t="inlineStr">
        <is>
          <t>Sneha Kulkarni</t>
        </is>
      </c>
      <c r="C5" t="inlineStr">
        <is>
          <t>Mumbai</t>
        </is>
      </c>
      <c r="D5" s="3" t="n">
        <v>600000</v>
      </c>
      <c r="E5" s="3" t="n">
        <v>600000</v>
      </c>
      <c r="F5" s="4" t="n"/>
      <c r="G5" s="5" t="n"/>
      <c r="H5" s="4" t="n"/>
      <c r="I5" s="4" t="n"/>
    </row>
    <row r="6">
      <c r="A6" t="inlineStr">
        <is>
          <t>E105</t>
        </is>
      </c>
      <c r="B6" t="inlineStr">
        <is>
          <t>Imran Qureshi</t>
        </is>
      </c>
      <c r="C6" t="inlineStr">
        <is>
          <t>Hyderabad</t>
        </is>
      </c>
      <c r="D6" s="3" t="n">
        <v>550000</v>
      </c>
      <c r="E6" s="3" t="n">
        <v>512300</v>
      </c>
      <c r="F6" s="4" t="n"/>
      <c r="G6" s="5" t="n"/>
      <c r="H6" s="4" t="n"/>
      <c r="I6" s="4" t="n"/>
    </row>
    <row r="7">
      <c r="A7" t="inlineStr">
        <is>
          <t>E106</t>
        </is>
      </c>
      <c r="B7" t="inlineStr">
        <is>
          <t>Kavya Reddy</t>
        </is>
      </c>
      <c r="C7" t="inlineStr">
        <is>
          <t>Bengaluru</t>
        </is>
      </c>
      <c r="D7" s="3" t="n">
        <v>650000</v>
      </c>
      <c r="E7" s="3" t="n">
        <v>781000</v>
      </c>
      <c r="F7" s="4" t="n"/>
      <c r="G7" s="5" t="n"/>
      <c r="H7" s="4" t="n"/>
      <c r="I7" s="4" t="n"/>
    </row>
    <row r="8">
      <c r="A8" t="inlineStr">
        <is>
          <t>E107</t>
        </is>
      </c>
      <c r="B8" t="inlineStr">
        <is>
          <t>Arjun Mehta</t>
        </is>
      </c>
      <c r="C8" t="inlineStr">
        <is>
          <t>Ahmedabad</t>
        </is>
      </c>
      <c r="D8" s="3" t="n">
        <v>400000</v>
      </c>
      <c r="E8" s="3" t="n">
        <v>362750</v>
      </c>
      <c r="F8" s="4" t="n"/>
      <c r="G8" s="5" t="n"/>
      <c r="H8" s="4" t="n"/>
      <c r="I8" s="4" t="n"/>
    </row>
    <row r="9">
      <c r="A9" t="inlineStr">
        <is>
          <t>E108</t>
        </is>
      </c>
      <c r="B9" t="inlineStr">
        <is>
          <t>Divya Iyer</t>
        </is>
      </c>
      <c r="C9" t="inlineStr">
        <is>
          <t>Chennai</t>
        </is>
      </c>
      <c r="D9" s="3" t="n">
        <v>500000</v>
      </c>
      <c r="E9" s="3" t="n">
        <v>547900</v>
      </c>
      <c r="F9" s="4" t="n"/>
      <c r="G9" s="5" t="n"/>
      <c r="H9" s="4" t="n"/>
      <c r="I9" s="4" t="n"/>
    </row>
    <row r="10">
      <c r="A10" t="inlineStr">
        <is>
          <t>E109</t>
        </is>
      </c>
      <c r="B10" t="inlineStr">
        <is>
          <t>Manpreet Kaur</t>
        </is>
      </c>
      <c r="C10" t="inlineStr">
        <is>
          <t>Chandigarh</t>
        </is>
      </c>
      <c r="D10" s="3" t="n">
        <v>350000</v>
      </c>
      <c r="E10" s="3" t="n">
        <v>421600</v>
      </c>
      <c r="F10" s="4" t="n"/>
      <c r="G10" s="5" t="n"/>
      <c r="H10" s="4" t="n"/>
      <c r="I10" s="4" t="n"/>
    </row>
    <row r="11">
      <c r="A11" t="inlineStr">
        <is>
          <t>E110</t>
        </is>
      </c>
      <c r="B11" t="inlineStr">
        <is>
          <t>Sourav Das</t>
        </is>
      </c>
      <c r="C11" t="inlineStr">
        <is>
          <t>Kolkata</t>
        </is>
      </c>
      <c r="D11" s="3" t="n">
        <v>450000</v>
      </c>
      <c r="E11" s="3" t="n">
        <v>449000</v>
      </c>
      <c r="F11" s="4" t="n"/>
      <c r="G11" s="5" t="n"/>
      <c r="H11" s="4" t="n"/>
      <c r="I1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10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4" customWidth="1" min="8" max="8"/>
    <col width="8" customWidth="1" min="9" max="9"/>
  </cols>
  <sheetData>
    <row r="1">
      <c r="A1" s="2" t="inlineStr">
        <is>
          <t>Emp ID</t>
        </is>
      </c>
      <c r="B1" s="2" t="inlineStr">
        <is>
          <t>Name</t>
        </is>
      </c>
      <c r="C1" s="2" t="inlineStr">
        <is>
          <t>City</t>
        </is>
      </c>
      <c r="D1" s="2" t="inlineStr">
        <is>
          <t>Target (₹)</t>
        </is>
      </c>
      <c r="E1" s="2" t="inlineStr">
        <is>
          <t>Sales (₹)</t>
        </is>
      </c>
      <c r="F1" s="2" t="inlineStr">
        <is>
          <t>Status</t>
        </is>
      </c>
      <c r="G1" s="2" t="inlineStr">
        <is>
          <t>Bonus (₹)</t>
        </is>
      </c>
      <c r="H1" s="2" t="inlineStr">
        <is>
          <t>Follow-up</t>
        </is>
      </c>
      <c r="I1" s="2" t="inlineStr">
        <is>
          <t>Star?</t>
        </is>
      </c>
    </row>
    <row r="2">
      <c r="A2" t="inlineStr">
        <is>
          <t>E101</t>
        </is>
      </c>
      <c r="B2" t="inlineStr">
        <is>
          <t>Aarav Sharma</t>
        </is>
      </c>
      <c r="C2" t="inlineStr">
        <is>
          <t>Pune</t>
        </is>
      </c>
      <c r="D2" s="3" t="n">
        <v>500000</v>
      </c>
      <c r="E2" s="3" t="n">
        <v>562000</v>
      </c>
      <c r="F2" s="4">
        <f>IF(E2&gt;=D2,"Achieved","Missed")</f>
        <v/>
      </c>
      <c r="G2" s="5">
        <f>IF(E2&gt;=D2,E2*2%,0)</f>
        <v/>
      </c>
      <c r="H2" s="4">
        <f>IF(E2&lt;D2,"Call manager","")</f>
        <v/>
      </c>
      <c r="I2" s="4">
        <f>IF(E2&gt;=D2*1.2,"Star","")</f>
        <v/>
      </c>
    </row>
    <row r="3">
      <c r="A3" t="inlineStr">
        <is>
          <t>E102</t>
        </is>
      </c>
      <c r="B3" t="inlineStr">
        <is>
          <t>Priya Nair</t>
        </is>
      </c>
      <c r="C3" t="inlineStr">
        <is>
          <t>Kochi</t>
        </is>
      </c>
      <c r="D3" s="3" t="n">
        <v>450000</v>
      </c>
      <c r="E3" s="3" t="n">
        <v>398500</v>
      </c>
      <c r="F3" s="4">
        <f>IF(E3&gt;=D3,"Achieved","Missed")</f>
        <v/>
      </c>
      <c r="G3" s="5">
        <f>IF(E3&gt;=D3,E3*2%,0)</f>
        <v/>
      </c>
      <c r="H3" s="4">
        <f>IF(E3&lt;D3,"Call manager","")</f>
        <v/>
      </c>
      <c r="I3" s="4">
        <f>IF(E3&gt;=D3*1.2,"Star","")</f>
        <v/>
      </c>
    </row>
    <row r="4">
      <c r="A4" t="inlineStr">
        <is>
          <t>E103</t>
        </is>
      </c>
      <c r="B4" t="inlineStr">
        <is>
          <t>Rohit Verma</t>
        </is>
      </c>
      <c r="C4" t="inlineStr">
        <is>
          <t>Lucknow</t>
        </is>
      </c>
      <c r="D4" s="3" t="n">
        <v>400000</v>
      </c>
      <c r="E4" s="3" t="n">
        <v>455000</v>
      </c>
      <c r="F4" s="4">
        <f>IF(E4&gt;=D4,"Achieved","Missed")</f>
        <v/>
      </c>
      <c r="G4" s="5">
        <f>IF(E4&gt;=D4,E4*2%,0)</f>
        <v/>
      </c>
      <c r="H4" s="4">
        <f>IF(E4&lt;D4,"Call manager","")</f>
        <v/>
      </c>
      <c r="I4" s="4">
        <f>IF(E4&gt;=D4*1.2,"Star","")</f>
        <v/>
      </c>
    </row>
    <row r="5">
      <c r="A5" t="inlineStr">
        <is>
          <t>E104</t>
        </is>
      </c>
      <c r="B5" t="inlineStr">
        <is>
          <t>Sneha Kulkarni</t>
        </is>
      </c>
      <c r="C5" t="inlineStr">
        <is>
          <t>Mumbai</t>
        </is>
      </c>
      <c r="D5" s="3" t="n">
        <v>600000</v>
      </c>
      <c r="E5" s="3" t="n">
        <v>600000</v>
      </c>
      <c r="F5" s="4">
        <f>IF(E5&gt;=D5,"Achieved","Missed")</f>
        <v/>
      </c>
      <c r="G5" s="5">
        <f>IF(E5&gt;=D5,E5*2%,0)</f>
        <v/>
      </c>
      <c r="H5" s="4">
        <f>IF(E5&lt;D5,"Call manager","")</f>
        <v/>
      </c>
      <c r="I5" s="4">
        <f>IF(E5&gt;=D5*1.2,"Star","")</f>
        <v/>
      </c>
    </row>
    <row r="6">
      <c r="A6" t="inlineStr">
        <is>
          <t>E105</t>
        </is>
      </c>
      <c r="B6" t="inlineStr">
        <is>
          <t>Imran Qureshi</t>
        </is>
      </c>
      <c r="C6" t="inlineStr">
        <is>
          <t>Hyderabad</t>
        </is>
      </c>
      <c r="D6" s="3" t="n">
        <v>550000</v>
      </c>
      <c r="E6" s="3" t="n">
        <v>512300</v>
      </c>
      <c r="F6" s="4">
        <f>IF(E6&gt;=D6,"Achieved","Missed")</f>
        <v/>
      </c>
      <c r="G6" s="5">
        <f>IF(E6&gt;=D6,E6*2%,0)</f>
        <v/>
      </c>
      <c r="H6" s="4">
        <f>IF(E6&lt;D6,"Call manager","")</f>
        <v/>
      </c>
      <c r="I6" s="4">
        <f>IF(E6&gt;=D6*1.2,"Star","")</f>
        <v/>
      </c>
    </row>
    <row r="7">
      <c r="A7" t="inlineStr">
        <is>
          <t>E106</t>
        </is>
      </c>
      <c r="B7" t="inlineStr">
        <is>
          <t>Kavya Reddy</t>
        </is>
      </c>
      <c r="C7" t="inlineStr">
        <is>
          <t>Bengaluru</t>
        </is>
      </c>
      <c r="D7" s="3" t="n">
        <v>650000</v>
      </c>
      <c r="E7" s="3" t="n">
        <v>781000</v>
      </c>
      <c r="F7" s="4">
        <f>IF(E7&gt;=D7,"Achieved","Missed")</f>
        <v/>
      </c>
      <c r="G7" s="5">
        <f>IF(E7&gt;=D7,E7*2%,0)</f>
        <v/>
      </c>
      <c r="H7" s="4">
        <f>IF(E7&lt;D7,"Call manager","")</f>
        <v/>
      </c>
      <c r="I7" s="4">
        <f>IF(E7&gt;=D7*1.2,"Star","")</f>
        <v/>
      </c>
    </row>
    <row r="8">
      <c r="A8" t="inlineStr">
        <is>
          <t>E107</t>
        </is>
      </c>
      <c r="B8" t="inlineStr">
        <is>
          <t>Arjun Mehta</t>
        </is>
      </c>
      <c r="C8" t="inlineStr">
        <is>
          <t>Ahmedabad</t>
        </is>
      </c>
      <c r="D8" s="3" t="n">
        <v>400000</v>
      </c>
      <c r="E8" s="3" t="n">
        <v>362750</v>
      </c>
      <c r="F8" s="4">
        <f>IF(E8&gt;=D8,"Achieved","Missed")</f>
        <v/>
      </c>
      <c r="G8" s="5">
        <f>IF(E8&gt;=D8,E8*2%,0)</f>
        <v/>
      </c>
      <c r="H8" s="4">
        <f>IF(E8&lt;D8,"Call manager","")</f>
        <v/>
      </c>
      <c r="I8" s="4">
        <f>IF(E8&gt;=D8*1.2,"Star","")</f>
        <v/>
      </c>
    </row>
    <row r="9">
      <c r="A9" t="inlineStr">
        <is>
          <t>E108</t>
        </is>
      </c>
      <c r="B9" t="inlineStr">
        <is>
          <t>Divya Iyer</t>
        </is>
      </c>
      <c r="C9" t="inlineStr">
        <is>
          <t>Chennai</t>
        </is>
      </c>
      <c r="D9" s="3" t="n">
        <v>500000</v>
      </c>
      <c r="E9" s="3" t="n">
        <v>547900</v>
      </c>
      <c r="F9" s="4">
        <f>IF(E9&gt;=D9,"Achieved","Missed")</f>
        <v/>
      </c>
      <c r="G9" s="5">
        <f>IF(E9&gt;=D9,E9*2%,0)</f>
        <v/>
      </c>
      <c r="H9" s="4">
        <f>IF(E9&lt;D9,"Call manager","")</f>
        <v/>
      </c>
      <c r="I9" s="4">
        <f>IF(E9&gt;=D9*1.2,"Star","")</f>
        <v/>
      </c>
    </row>
    <row r="10">
      <c r="A10" t="inlineStr">
        <is>
          <t>E109</t>
        </is>
      </c>
      <c r="B10" t="inlineStr">
        <is>
          <t>Manpreet Kaur</t>
        </is>
      </c>
      <c r="C10" t="inlineStr">
        <is>
          <t>Chandigarh</t>
        </is>
      </c>
      <c r="D10" s="3" t="n">
        <v>350000</v>
      </c>
      <c r="E10" s="3" t="n">
        <v>421600</v>
      </c>
      <c r="F10" s="4">
        <f>IF(E10&gt;=D10,"Achieved","Missed")</f>
        <v/>
      </c>
      <c r="G10" s="5">
        <f>IF(E10&gt;=D10,E10*2%,0)</f>
        <v/>
      </c>
      <c r="H10" s="4">
        <f>IF(E10&lt;D10,"Call manager","")</f>
        <v/>
      </c>
      <c r="I10" s="4">
        <f>IF(E10&gt;=D10*1.2,"Star","")</f>
        <v/>
      </c>
    </row>
    <row r="11">
      <c r="A11" t="inlineStr">
        <is>
          <t>E110</t>
        </is>
      </c>
      <c r="B11" t="inlineStr">
        <is>
          <t>Sourav Das</t>
        </is>
      </c>
      <c r="C11" t="inlineStr">
        <is>
          <t>Kolkata</t>
        </is>
      </c>
      <c r="D11" s="3" t="n">
        <v>450000</v>
      </c>
      <c r="E11" s="3" t="n">
        <v>449000</v>
      </c>
      <c r="F11" s="4">
        <f>IF(E11&gt;=D11,"Achieved","Missed")</f>
        <v/>
      </c>
      <c r="G11" s="5">
        <f>IF(E11&gt;=D11,E11*2%,0)</f>
        <v/>
      </c>
      <c r="H11" s="4">
        <f>IF(E11&lt;D11,"Call manager","")</f>
        <v/>
      </c>
      <c r="I11" s="4">
        <f>IF(E11&gt;=D11*1.2,"Star","")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>
      <c r="A1" s="2" t="inlineStr">
        <is>
          <t>Name</t>
        </is>
      </c>
      <c r="B1" s="2" t="inlineStr">
        <is>
          <t>Department</t>
        </is>
      </c>
      <c r="C1" s="2" t="inlineStr">
        <is>
          <t>Rating (1-5)</t>
        </is>
      </c>
      <c r="D1" s="2" t="inlineStr">
        <is>
          <t>Attendance</t>
        </is>
      </c>
      <c r="E1" s="2" t="inlineStr">
        <is>
          <t>Tenure (yrs)</t>
        </is>
      </c>
      <c r="F1" s="2" t="inlineStr">
        <is>
          <t>Rating 4+ AND 90%+</t>
        </is>
      </c>
      <c r="G1" s="2" t="inlineStr">
        <is>
          <t>Rating 5 OR 5+ yrs</t>
        </is>
      </c>
      <c r="H1" s="2" t="inlineStr">
        <is>
          <t>Incentive</t>
        </is>
      </c>
      <c r="I1" s="2" t="inlineStr">
        <is>
          <t>Pay type</t>
        </is>
      </c>
      <c r="J1" s="2" t="inlineStr">
        <is>
          <t>Review</t>
        </is>
      </c>
    </row>
    <row r="2">
      <c r="A2" t="inlineStr">
        <is>
          <t>Neha Joshi</t>
        </is>
      </c>
      <c r="B2" t="inlineStr">
        <is>
          <t>Sales</t>
        </is>
      </c>
      <c r="C2" t="n">
        <v>5</v>
      </c>
      <c r="D2" s="6" t="n">
        <v>0.96</v>
      </c>
      <c r="E2" t="n">
        <v>3</v>
      </c>
      <c r="F2" s="4" t="n"/>
      <c r="G2" s="4" t="n"/>
      <c r="H2" s="4" t="n"/>
      <c r="I2" s="4" t="n"/>
      <c r="J2" s="4" t="n"/>
    </row>
    <row r="3">
      <c r="A3" t="inlineStr">
        <is>
          <t>Vikram Singh</t>
        </is>
      </c>
      <c r="B3" t="inlineStr">
        <is>
          <t>Finance</t>
        </is>
      </c>
      <c r="C3" t="n">
        <v>4</v>
      </c>
      <c r="D3" s="6" t="n">
        <v>0.88</v>
      </c>
      <c r="E3" t="n">
        <v>6</v>
      </c>
      <c r="F3" s="4" t="n"/>
      <c r="G3" s="4" t="n"/>
      <c r="H3" s="4" t="n"/>
      <c r="I3" s="4" t="n"/>
      <c r="J3" s="4" t="n"/>
    </row>
    <row r="4">
      <c r="A4" t="inlineStr">
        <is>
          <t>Ayesha Khan</t>
        </is>
      </c>
      <c r="B4" t="inlineStr">
        <is>
          <t>Sales</t>
        </is>
      </c>
      <c r="C4" t="n">
        <v>3</v>
      </c>
      <c r="D4" s="6" t="n">
        <v>0.97</v>
      </c>
      <c r="E4" t="n">
        <v>2</v>
      </c>
      <c r="F4" s="4" t="n"/>
      <c r="G4" s="4" t="n"/>
      <c r="H4" s="4" t="n"/>
      <c r="I4" s="4" t="n"/>
      <c r="J4" s="4" t="n"/>
    </row>
    <row r="5">
      <c r="A5" t="inlineStr">
        <is>
          <t>Rahul Gupta</t>
        </is>
      </c>
      <c r="B5" t="inlineStr">
        <is>
          <t>HR</t>
        </is>
      </c>
      <c r="C5" t="n">
        <v>4</v>
      </c>
      <c r="D5" s="6" t="n">
        <v>0.93</v>
      </c>
      <c r="E5" t="n">
        <v>4</v>
      </c>
      <c r="F5" s="4" t="n"/>
      <c r="G5" s="4" t="n"/>
      <c r="H5" s="4" t="n"/>
      <c r="I5" s="4" t="n"/>
      <c r="J5" s="4" t="n"/>
    </row>
    <row r="6">
      <c r="A6" t="inlineStr">
        <is>
          <t>Lakshmi Menon</t>
        </is>
      </c>
      <c r="B6" t="inlineStr">
        <is>
          <t>Sales</t>
        </is>
      </c>
      <c r="C6" t="n">
        <v>4</v>
      </c>
      <c r="D6" s="6" t="n">
        <v>0.91</v>
      </c>
      <c r="E6" t="n">
        <v>7</v>
      </c>
      <c r="F6" s="4" t="n"/>
      <c r="G6" s="4" t="n"/>
      <c r="H6" s="4" t="n"/>
      <c r="I6" s="4" t="n"/>
      <c r="J6" s="4" t="n"/>
    </row>
    <row r="7">
      <c r="A7" t="inlineStr">
        <is>
          <t>Karan Malhotra</t>
        </is>
      </c>
      <c r="B7" t="inlineStr">
        <is>
          <t>IT</t>
        </is>
      </c>
      <c r="C7" t="n">
        <v>2</v>
      </c>
      <c r="D7" s="6" t="n">
        <v>0.85</v>
      </c>
      <c r="E7" t="n">
        <v>1</v>
      </c>
      <c r="F7" s="4" t="n"/>
      <c r="G7" s="4" t="n"/>
      <c r="H7" s="4" t="n"/>
      <c r="I7" s="4" t="n"/>
      <c r="J7" s="4" t="n"/>
    </row>
    <row r="8">
      <c r="A8" t="inlineStr">
        <is>
          <t>Pooja Patil</t>
        </is>
      </c>
      <c r="B8" t="inlineStr">
        <is>
          <t>Finance</t>
        </is>
      </c>
      <c r="C8" t="n">
        <v>5</v>
      </c>
      <c r="D8" s="6" t="n">
        <v>0.89</v>
      </c>
      <c r="E8" t="n">
        <v>5</v>
      </c>
      <c r="F8" s="4" t="n"/>
      <c r="G8" s="4" t="n"/>
      <c r="H8" s="4" t="n"/>
      <c r="I8" s="4" t="n"/>
      <c r="J8" s="4" t="n"/>
    </row>
    <row r="9">
      <c r="A9" t="inlineStr">
        <is>
          <t>Siddharth Rao</t>
        </is>
      </c>
      <c r="B9" t="inlineStr">
        <is>
          <t>IT</t>
        </is>
      </c>
      <c r="C9" t="n">
        <v>4</v>
      </c>
      <c r="D9" s="6" t="n">
        <v>0.95</v>
      </c>
      <c r="E9" t="n">
        <v>8</v>
      </c>
      <c r="F9" s="4" t="n"/>
      <c r="G9" s="4" t="n"/>
      <c r="H9" s="4" t="n"/>
      <c r="I9" s="4" t="n"/>
      <c r="J9" s="4" t="n"/>
    </row>
    <row r="10">
      <c r="A10" t="inlineStr">
        <is>
          <t>Meera Pillai</t>
        </is>
      </c>
      <c r="B10" t="inlineStr">
        <is>
          <t>HR</t>
        </is>
      </c>
      <c r="C10" t="n">
        <v>3</v>
      </c>
      <c r="D10" s="6" t="n">
        <v>0.82</v>
      </c>
      <c r="E10" t="n">
        <v>6</v>
      </c>
      <c r="F10" s="4" t="n"/>
      <c r="G10" s="4" t="n"/>
      <c r="H10" s="4" t="n"/>
      <c r="I10" s="4" t="n"/>
      <c r="J10" s="4" t="n"/>
    </row>
    <row r="11">
      <c r="A11" t="inlineStr">
        <is>
          <t>Harsh Vardhan</t>
        </is>
      </c>
      <c r="B11" t="inlineStr">
        <is>
          <t>Sales</t>
        </is>
      </c>
      <c r="C11" t="n">
        <v>5</v>
      </c>
      <c r="D11" s="6" t="n">
        <v>0.99</v>
      </c>
      <c r="E11" t="n">
        <v>1</v>
      </c>
      <c r="F11" s="4" t="n"/>
      <c r="G11" s="4" t="n"/>
      <c r="H11" s="4" t="n"/>
      <c r="I11" s="4" t="n"/>
      <c r="J1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>
      <c r="A1" s="2" t="inlineStr">
        <is>
          <t>Name</t>
        </is>
      </c>
      <c r="B1" s="2" t="inlineStr">
        <is>
          <t>Department</t>
        </is>
      </c>
      <c r="C1" s="2" t="inlineStr">
        <is>
          <t>Rating (1-5)</t>
        </is>
      </c>
      <c r="D1" s="2" t="inlineStr">
        <is>
          <t>Attendance</t>
        </is>
      </c>
      <c r="E1" s="2" t="inlineStr">
        <is>
          <t>Tenure (yrs)</t>
        </is>
      </c>
      <c r="F1" s="2" t="inlineStr">
        <is>
          <t>Rating 4+ AND 90%+</t>
        </is>
      </c>
      <c r="G1" s="2" t="inlineStr">
        <is>
          <t>Rating 5 OR 5+ yrs</t>
        </is>
      </c>
      <c r="H1" s="2" t="inlineStr">
        <is>
          <t>Incentive</t>
        </is>
      </c>
      <c r="I1" s="2" t="inlineStr">
        <is>
          <t>Pay type</t>
        </is>
      </c>
      <c r="J1" s="2" t="inlineStr">
        <is>
          <t>Review</t>
        </is>
      </c>
    </row>
    <row r="2">
      <c r="A2" t="inlineStr">
        <is>
          <t>Neha Joshi</t>
        </is>
      </c>
      <c r="B2" t="inlineStr">
        <is>
          <t>Sales</t>
        </is>
      </c>
      <c r="C2" t="n">
        <v>5</v>
      </c>
      <c r="D2" s="6" t="n">
        <v>0.96</v>
      </c>
      <c r="E2" t="n">
        <v>3</v>
      </c>
      <c r="F2" s="4">
        <f>AND(C2&gt;=4,D2&gt;=90%)</f>
        <v/>
      </c>
      <c r="G2" s="4">
        <f>OR(C2=5,E2&gt;=5)</f>
        <v/>
      </c>
      <c r="H2" s="4">
        <f>IF(AND(C2&gt;=4,D2&gt;=90%),"Eligible","Not eligible")</f>
        <v/>
      </c>
      <c r="I2" s="4">
        <f>IF(NOT(B2="Sales"),"Fixed pay","Commission")</f>
        <v/>
      </c>
      <c r="J2" s="4">
        <f>IF(OR(C2&lt;=2,D2&lt;85%),"Needs review","OK")</f>
        <v/>
      </c>
    </row>
    <row r="3">
      <c r="A3" t="inlineStr">
        <is>
          <t>Vikram Singh</t>
        </is>
      </c>
      <c r="B3" t="inlineStr">
        <is>
          <t>Finance</t>
        </is>
      </c>
      <c r="C3" t="n">
        <v>4</v>
      </c>
      <c r="D3" s="6" t="n">
        <v>0.88</v>
      </c>
      <c r="E3" t="n">
        <v>6</v>
      </c>
      <c r="F3" s="4">
        <f>AND(C3&gt;=4,D3&gt;=90%)</f>
        <v/>
      </c>
      <c r="G3" s="4">
        <f>OR(C3=5,E3&gt;=5)</f>
        <v/>
      </c>
      <c r="H3" s="4">
        <f>IF(AND(C3&gt;=4,D3&gt;=90%),"Eligible","Not eligible")</f>
        <v/>
      </c>
      <c r="I3" s="4">
        <f>IF(NOT(B3="Sales"),"Fixed pay","Commission")</f>
        <v/>
      </c>
      <c r="J3" s="4">
        <f>IF(OR(C3&lt;=2,D3&lt;85%),"Needs review","OK")</f>
        <v/>
      </c>
    </row>
    <row r="4">
      <c r="A4" t="inlineStr">
        <is>
          <t>Ayesha Khan</t>
        </is>
      </c>
      <c r="B4" t="inlineStr">
        <is>
          <t>Sales</t>
        </is>
      </c>
      <c r="C4" t="n">
        <v>3</v>
      </c>
      <c r="D4" s="6" t="n">
        <v>0.97</v>
      </c>
      <c r="E4" t="n">
        <v>2</v>
      </c>
      <c r="F4" s="4">
        <f>AND(C4&gt;=4,D4&gt;=90%)</f>
        <v/>
      </c>
      <c r="G4" s="4">
        <f>OR(C4=5,E4&gt;=5)</f>
        <v/>
      </c>
      <c r="H4" s="4">
        <f>IF(AND(C4&gt;=4,D4&gt;=90%),"Eligible","Not eligible")</f>
        <v/>
      </c>
      <c r="I4" s="4">
        <f>IF(NOT(B4="Sales"),"Fixed pay","Commission")</f>
        <v/>
      </c>
      <c r="J4" s="4">
        <f>IF(OR(C4&lt;=2,D4&lt;85%),"Needs review","OK")</f>
        <v/>
      </c>
    </row>
    <row r="5">
      <c r="A5" t="inlineStr">
        <is>
          <t>Rahul Gupta</t>
        </is>
      </c>
      <c r="B5" t="inlineStr">
        <is>
          <t>HR</t>
        </is>
      </c>
      <c r="C5" t="n">
        <v>4</v>
      </c>
      <c r="D5" s="6" t="n">
        <v>0.93</v>
      </c>
      <c r="E5" t="n">
        <v>4</v>
      </c>
      <c r="F5" s="4">
        <f>AND(C5&gt;=4,D5&gt;=90%)</f>
        <v/>
      </c>
      <c r="G5" s="4">
        <f>OR(C5=5,E5&gt;=5)</f>
        <v/>
      </c>
      <c r="H5" s="4">
        <f>IF(AND(C5&gt;=4,D5&gt;=90%),"Eligible","Not eligible")</f>
        <v/>
      </c>
      <c r="I5" s="4">
        <f>IF(NOT(B5="Sales"),"Fixed pay","Commission")</f>
        <v/>
      </c>
      <c r="J5" s="4">
        <f>IF(OR(C5&lt;=2,D5&lt;85%),"Needs review","OK")</f>
        <v/>
      </c>
    </row>
    <row r="6">
      <c r="A6" t="inlineStr">
        <is>
          <t>Lakshmi Menon</t>
        </is>
      </c>
      <c r="B6" t="inlineStr">
        <is>
          <t>Sales</t>
        </is>
      </c>
      <c r="C6" t="n">
        <v>4</v>
      </c>
      <c r="D6" s="6" t="n">
        <v>0.91</v>
      </c>
      <c r="E6" t="n">
        <v>7</v>
      </c>
      <c r="F6" s="4">
        <f>AND(C6&gt;=4,D6&gt;=90%)</f>
        <v/>
      </c>
      <c r="G6" s="4">
        <f>OR(C6=5,E6&gt;=5)</f>
        <v/>
      </c>
      <c r="H6" s="4">
        <f>IF(AND(C6&gt;=4,D6&gt;=90%),"Eligible","Not eligible")</f>
        <v/>
      </c>
      <c r="I6" s="4">
        <f>IF(NOT(B6="Sales"),"Fixed pay","Commission")</f>
        <v/>
      </c>
      <c r="J6" s="4">
        <f>IF(OR(C6&lt;=2,D6&lt;85%),"Needs review","OK")</f>
        <v/>
      </c>
    </row>
    <row r="7">
      <c r="A7" t="inlineStr">
        <is>
          <t>Karan Malhotra</t>
        </is>
      </c>
      <c r="B7" t="inlineStr">
        <is>
          <t>IT</t>
        </is>
      </c>
      <c r="C7" t="n">
        <v>2</v>
      </c>
      <c r="D7" s="6" t="n">
        <v>0.85</v>
      </c>
      <c r="E7" t="n">
        <v>1</v>
      </c>
      <c r="F7" s="4">
        <f>AND(C7&gt;=4,D7&gt;=90%)</f>
        <v/>
      </c>
      <c r="G7" s="4">
        <f>OR(C7=5,E7&gt;=5)</f>
        <v/>
      </c>
      <c r="H7" s="4">
        <f>IF(AND(C7&gt;=4,D7&gt;=90%),"Eligible","Not eligible")</f>
        <v/>
      </c>
      <c r="I7" s="4">
        <f>IF(NOT(B7="Sales"),"Fixed pay","Commission")</f>
        <v/>
      </c>
      <c r="J7" s="4">
        <f>IF(OR(C7&lt;=2,D7&lt;85%),"Needs review","OK")</f>
        <v/>
      </c>
    </row>
    <row r="8">
      <c r="A8" t="inlineStr">
        <is>
          <t>Pooja Patil</t>
        </is>
      </c>
      <c r="B8" t="inlineStr">
        <is>
          <t>Finance</t>
        </is>
      </c>
      <c r="C8" t="n">
        <v>5</v>
      </c>
      <c r="D8" s="6" t="n">
        <v>0.89</v>
      </c>
      <c r="E8" t="n">
        <v>5</v>
      </c>
      <c r="F8" s="4">
        <f>AND(C8&gt;=4,D8&gt;=90%)</f>
        <v/>
      </c>
      <c r="G8" s="4">
        <f>OR(C8=5,E8&gt;=5)</f>
        <v/>
      </c>
      <c r="H8" s="4">
        <f>IF(AND(C8&gt;=4,D8&gt;=90%),"Eligible","Not eligible")</f>
        <v/>
      </c>
      <c r="I8" s="4">
        <f>IF(NOT(B8="Sales"),"Fixed pay","Commission")</f>
        <v/>
      </c>
      <c r="J8" s="4">
        <f>IF(OR(C8&lt;=2,D8&lt;85%),"Needs review","OK")</f>
        <v/>
      </c>
    </row>
    <row r="9">
      <c r="A9" t="inlineStr">
        <is>
          <t>Siddharth Rao</t>
        </is>
      </c>
      <c r="B9" t="inlineStr">
        <is>
          <t>IT</t>
        </is>
      </c>
      <c r="C9" t="n">
        <v>4</v>
      </c>
      <c r="D9" s="6" t="n">
        <v>0.95</v>
      </c>
      <c r="E9" t="n">
        <v>8</v>
      </c>
      <c r="F9" s="4">
        <f>AND(C9&gt;=4,D9&gt;=90%)</f>
        <v/>
      </c>
      <c r="G9" s="4">
        <f>OR(C9=5,E9&gt;=5)</f>
        <v/>
      </c>
      <c r="H9" s="4">
        <f>IF(AND(C9&gt;=4,D9&gt;=90%),"Eligible","Not eligible")</f>
        <v/>
      </c>
      <c r="I9" s="4">
        <f>IF(NOT(B9="Sales"),"Fixed pay","Commission")</f>
        <v/>
      </c>
      <c r="J9" s="4">
        <f>IF(OR(C9&lt;=2,D9&lt;85%),"Needs review","OK")</f>
        <v/>
      </c>
    </row>
    <row r="10">
      <c r="A10" t="inlineStr">
        <is>
          <t>Meera Pillai</t>
        </is>
      </c>
      <c r="B10" t="inlineStr">
        <is>
          <t>HR</t>
        </is>
      </c>
      <c r="C10" t="n">
        <v>3</v>
      </c>
      <c r="D10" s="6" t="n">
        <v>0.82</v>
      </c>
      <c r="E10" t="n">
        <v>6</v>
      </c>
      <c r="F10" s="4">
        <f>AND(C10&gt;=4,D10&gt;=90%)</f>
        <v/>
      </c>
      <c r="G10" s="4">
        <f>OR(C10=5,E10&gt;=5)</f>
        <v/>
      </c>
      <c r="H10" s="4">
        <f>IF(AND(C10&gt;=4,D10&gt;=90%),"Eligible","Not eligible")</f>
        <v/>
      </c>
      <c r="I10" s="4">
        <f>IF(NOT(B10="Sales"),"Fixed pay","Commission")</f>
        <v/>
      </c>
      <c r="J10" s="4">
        <f>IF(OR(C10&lt;=2,D10&lt;85%),"Needs review","OK")</f>
        <v/>
      </c>
    </row>
    <row r="11">
      <c r="A11" t="inlineStr">
        <is>
          <t>Harsh Vardhan</t>
        </is>
      </c>
      <c r="B11" t="inlineStr">
        <is>
          <t>Sales</t>
        </is>
      </c>
      <c r="C11" t="n">
        <v>5</v>
      </c>
      <c r="D11" s="6" t="n">
        <v>0.99</v>
      </c>
      <c r="E11" t="n">
        <v>1</v>
      </c>
      <c r="F11" s="4">
        <f>AND(C11&gt;=4,D11&gt;=90%)</f>
        <v/>
      </c>
      <c r="G11" s="4">
        <f>OR(C11=5,E11&gt;=5)</f>
        <v/>
      </c>
      <c r="H11" s="4">
        <f>IF(AND(C11&gt;=4,D11&gt;=90%),"Eligible","Not eligible")</f>
        <v/>
      </c>
      <c r="I11" s="4">
        <f>IF(NOT(B11="Sales"),"Fixed pay","Commission")</f>
        <v/>
      </c>
      <c r="J11" s="4">
        <f>IF(OR(C11&lt;=2,D11&lt;85%),"Needs review","OK")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3" customWidth="1" min="4" max="4"/>
    <col width="11" customWidth="1" min="5" max="5"/>
    <col width="13" customWidth="1" min="6" max="6"/>
    <col width="11" customWidth="1" min="7" max="7"/>
    <col width="9" customWidth="1" min="8" max="8"/>
    <col width="3" customWidth="1" min="9" max="9"/>
    <col width="10" customWidth="1" min="10" max="10"/>
    <col width="8" customWidth="1" min="11" max="11"/>
  </cols>
  <sheetData>
    <row r="1">
      <c r="A1" s="2" t="inlineStr">
        <is>
          <t>Name</t>
        </is>
      </c>
      <c r="B1" s="2" t="inlineStr">
        <is>
          <t>Score</t>
        </is>
      </c>
      <c r="C1" s="2" t="inlineStr">
        <is>
          <t>Region code</t>
        </is>
      </c>
      <c r="D1" s="2" t="inlineStr">
        <is>
          <t>Grade (nested IF)</t>
        </is>
      </c>
      <c r="E1" s="2" t="inlineStr">
        <is>
          <t>Grade (IFS)</t>
        </is>
      </c>
      <c r="F1" s="2" t="inlineStr">
        <is>
          <t>Region (SWITCH)</t>
        </is>
      </c>
      <c r="G1" s="2" t="inlineStr">
        <is>
          <t>Grade (table)</t>
        </is>
      </c>
      <c r="H1" s="2" t="inlineStr">
        <is>
          <t>Bonus %</t>
        </is>
      </c>
      <c r="J1" s="7" t="inlineStr">
        <is>
          <t>Min score</t>
        </is>
      </c>
      <c r="K1" s="7" t="inlineStr">
        <is>
          <t>Grade</t>
        </is>
      </c>
    </row>
    <row r="2">
      <c r="A2" t="inlineStr">
        <is>
          <t>Anil Kumar</t>
        </is>
      </c>
      <c r="B2" t="n">
        <v>92</v>
      </c>
      <c r="C2" t="inlineStr">
        <is>
          <t>N</t>
        </is>
      </c>
      <c r="D2" s="4" t="n"/>
      <c r="E2" s="4" t="n"/>
      <c r="F2" s="4" t="n"/>
      <c r="G2" s="4" t="n"/>
      <c r="H2" s="8" t="n"/>
      <c r="J2" t="n">
        <v>0</v>
      </c>
      <c r="K2" t="inlineStr">
        <is>
          <t>D</t>
        </is>
      </c>
    </row>
    <row r="3">
      <c r="A3" t="inlineStr">
        <is>
          <t>Bhavna Shah</t>
        </is>
      </c>
      <c r="B3" t="n">
        <v>78</v>
      </c>
      <c r="C3" t="inlineStr">
        <is>
          <t>W</t>
        </is>
      </c>
      <c r="D3" s="4" t="n"/>
      <c r="E3" s="4" t="n"/>
      <c r="F3" s="4" t="n"/>
      <c r="G3" s="4" t="n"/>
      <c r="H3" s="8" t="n"/>
      <c r="J3" t="n">
        <v>40</v>
      </c>
      <c r="K3" t="inlineStr">
        <is>
          <t>C</t>
        </is>
      </c>
    </row>
    <row r="4">
      <c r="A4" t="inlineStr">
        <is>
          <t>Chirag Jain</t>
        </is>
      </c>
      <c r="B4" t="n">
        <v>64</v>
      </c>
      <c r="C4" t="inlineStr">
        <is>
          <t>W</t>
        </is>
      </c>
      <c r="D4" s="4" t="n"/>
      <c r="E4" s="4" t="n"/>
      <c r="F4" s="4" t="n"/>
      <c r="G4" s="4" t="n"/>
      <c r="H4" s="8" t="n"/>
      <c r="J4" t="n">
        <v>60</v>
      </c>
      <c r="K4" t="inlineStr">
        <is>
          <t>B</t>
        </is>
      </c>
    </row>
    <row r="5">
      <c r="A5" t="inlineStr">
        <is>
          <t>Deepa Krishnan</t>
        </is>
      </c>
      <c r="B5" t="n">
        <v>35</v>
      </c>
      <c r="C5" t="inlineStr">
        <is>
          <t>S</t>
        </is>
      </c>
      <c r="D5" s="4" t="n"/>
      <c r="E5" s="4" t="n"/>
      <c r="F5" s="4" t="n"/>
      <c r="G5" s="4" t="n"/>
      <c r="H5" s="8" t="n"/>
      <c r="J5" t="n">
        <v>75</v>
      </c>
      <c r="K5" t="inlineStr">
        <is>
          <t>A</t>
        </is>
      </c>
    </row>
    <row r="6">
      <c r="A6" t="inlineStr">
        <is>
          <t>Esha Banerjee</t>
        </is>
      </c>
      <c r="B6" t="n">
        <v>88</v>
      </c>
      <c r="C6" t="inlineStr">
        <is>
          <t>E</t>
        </is>
      </c>
      <c r="D6" s="4" t="n"/>
      <c r="E6" s="4" t="n"/>
      <c r="F6" s="4" t="n"/>
      <c r="G6" s="4" t="n"/>
      <c r="H6" s="8" t="n"/>
      <c r="J6" t="n">
        <v>90</v>
      </c>
      <c r="K6" t="inlineStr">
        <is>
          <t>A+</t>
        </is>
      </c>
    </row>
    <row r="7">
      <c r="A7" t="inlineStr">
        <is>
          <t>Farhan Siddiqui</t>
        </is>
      </c>
      <c r="B7" t="n">
        <v>47</v>
      </c>
      <c r="C7" t="inlineStr">
        <is>
          <t>N</t>
        </is>
      </c>
      <c r="D7" s="4" t="n"/>
      <c r="E7" s="4" t="n"/>
      <c r="F7" s="4" t="n"/>
      <c r="G7" s="4" t="n"/>
      <c r="H7" s="8" t="n"/>
    </row>
    <row r="8">
      <c r="A8" t="inlineStr">
        <is>
          <t>Gauri Deshmukh</t>
        </is>
      </c>
      <c r="B8" t="n">
        <v>59</v>
      </c>
      <c r="C8" t="inlineStr">
        <is>
          <t>W</t>
        </is>
      </c>
      <c r="D8" s="4" t="n"/>
      <c r="E8" s="4" t="n"/>
      <c r="F8" s="4" t="n"/>
      <c r="G8" s="4" t="n"/>
      <c r="H8" s="8" t="n"/>
    </row>
    <row r="9">
      <c r="A9" t="inlineStr">
        <is>
          <t>Hari Prasad</t>
        </is>
      </c>
      <c r="B9" t="n">
        <v>75</v>
      </c>
      <c r="C9" t="inlineStr">
        <is>
          <t>S</t>
        </is>
      </c>
      <c r="D9" s="4" t="n"/>
      <c r="E9" s="4" t="n"/>
      <c r="F9" s="4" t="n"/>
      <c r="G9" s="4" t="n"/>
      <c r="H9" s="8" t="n"/>
    </row>
    <row r="10">
      <c r="A10" t="inlineStr">
        <is>
          <t>Isha Chopra</t>
        </is>
      </c>
      <c r="B10" t="n">
        <v>90</v>
      </c>
      <c r="C10" t="inlineStr">
        <is>
          <t>N</t>
        </is>
      </c>
      <c r="D10" s="4" t="n"/>
      <c r="E10" s="4" t="n"/>
      <c r="F10" s="4" t="n"/>
      <c r="G10" s="4" t="n"/>
      <c r="H10" s="8" t="n"/>
    </row>
    <row r="11">
      <c r="A11" t="inlineStr">
        <is>
          <t>Jayesh Patel</t>
        </is>
      </c>
      <c r="B11" t="n">
        <v>40</v>
      </c>
      <c r="C11" t="inlineStr">
        <is>
          <t>W</t>
        </is>
      </c>
      <c r="D11" s="4" t="n"/>
      <c r="E11" s="4" t="n"/>
      <c r="F11" s="4" t="n"/>
      <c r="G11" s="4" t="n"/>
      <c r="H1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3" customWidth="1" min="4" max="4"/>
    <col width="11" customWidth="1" min="5" max="5"/>
    <col width="13" customWidth="1" min="6" max="6"/>
    <col width="11" customWidth="1" min="7" max="7"/>
    <col width="9" customWidth="1" min="8" max="8"/>
    <col width="3" customWidth="1" min="9" max="9"/>
    <col width="10" customWidth="1" min="10" max="10"/>
    <col width="8" customWidth="1" min="11" max="11"/>
  </cols>
  <sheetData>
    <row r="1">
      <c r="A1" s="2" t="inlineStr">
        <is>
          <t>Name</t>
        </is>
      </c>
      <c r="B1" s="2" t="inlineStr">
        <is>
          <t>Score</t>
        </is>
      </c>
      <c r="C1" s="2" t="inlineStr">
        <is>
          <t>Region code</t>
        </is>
      </c>
      <c r="D1" s="2" t="inlineStr">
        <is>
          <t>Grade (nested IF)</t>
        </is>
      </c>
      <c r="E1" s="2" t="inlineStr">
        <is>
          <t>Grade (IFS)</t>
        </is>
      </c>
      <c r="F1" s="2" t="inlineStr">
        <is>
          <t>Region (SWITCH)</t>
        </is>
      </c>
      <c r="G1" s="2" t="inlineStr">
        <is>
          <t>Grade (table)</t>
        </is>
      </c>
      <c r="H1" s="2" t="inlineStr">
        <is>
          <t>Bonus %</t>
        </is>
      </c>
      <c r="J1" s="7" t="inlineStr">
        <is>
          <t>Min score</t>
        </is>
      </c>
      <c r="K1" s="7" t="inlineStr">
        <is>
          <t>Grade</t>
        </is>
      </c>
    </row>
    <row r="2">
      <c r="A2" t="inlineStr">
        <is>
          <t>Anil Kumar</t>
        </is>
      </c>
      <c r="B2" t="n">
        <v>92</v>
      </c>
      <c r="C2" t="inlineStr">
        <is>
          <t>N</t>
        </is>
      </c>
      <c r="D2" s="4">
        <f>IF(B2&gt;=90,"A+",IF(B2&gt;=75,"A",IF(B2&gt;=60,"B",IF(B2&gt;=40,"C","D"))))</f>
        <v/>
      </c>
      <c r="E2" s="4">
        <f>_xlfn.IFS(B2&gt;=90,"A+",B2&gt;=75,"A",B2&gt;=60,"B",B2&gt;=40,"C",TRUE,"D")</f>
        <v/>
      </c>
      <c r="F2" s="4">
        <f>_xlfn.SWITCH(C2,"N","North","S","South","E","East","W","West","Unknown")</f>
        <v/>
      </c>
      <c r="G2" s="4">
        <f>_xlfn.XLOOKUP(B2,$J$2:$J$6,$K$2:$K$6,,-1)</f>
        <v/>
      </c>
      <c r="H2" s="8">
        <f>_xlfn.SWITCH(D2,"A+",20%,"A",15%,"B",10%,0)</f>
        <v/>
      </c>
      <c r="J2" t="n">
        <v>0</v>
      </c>
      <c r="K2" t="inlineStr">
        <is>
          <t>D</t>
        </is>
      </c>
    </row>
    <row r="3">
      <c r="A3" t="inlineStr">
        <is>
          <t>Bhavna Shah</t>
        </is>
      </c>
      <c r="B3" t="n">
        <v>78</v>
      </c>
      <c r="C3" t="inlineStr">
        <is>
          <t>W</t>
        </is>
      </c>
      <c r="D3" s="4">
        <f>IF(B3&gt;=90,"A+",IF(B3&gt;=75,"A",IF(B3&gt;=60,"B",IF(B3&gt;=40,"C","D"))))</f>
        <v/>
      </c>
      <c r="E3" s="4">
        <f>_xlfn.IFS(B3&gt;=90,"A+",B3&gt;=75,"A",B3&gt;=60,"B",B3&gt;=40,"C",TRUE,"D")</f>
        <v/>
      </c>
      <c r="F3" s="4">
        <f>_xlfn.SWITCH(C3,"N","North","S","South","E","East","W","West","Unknown")</f>
        <v/>
      </c>
      <c r="G3" s="4">
        <f>_xlfn.XLOOKUP(B3,$J$2:$J$6,$K$2:$K$6,,-1)</f>
        <v/>
      </c>
      <c r="H3" s="8">
        <f>_xlfn.SWITCH(D3,"A+",20%,"A",15%,"B",10%,0)</f>
        <v/>
      </c>
      <c r="J3" t="n">
        <v>40</v>
      </c>
      <c r="K3" t="inlineStr">
        <is>
          <t>C</t>
        </is>
      </c>
    </row>
    <row r="4">
      <c r="A4" t="inlineStr">
        <is>
          <t>Chirag Jain</t>
        </is>
      </c>
      <c r="B4" t="n">
        <v>64</v>
      </c>
      <c r="C4" t="inlineStr">
        <is>
          <t>W</t>
        </is>
      </c>
      <c r="D4" s="4">
        <f>IF(B4&gt;=90,"A+",IF(B4&gt;=75,"A",IF(B4&gt;=60,"B",IF(B4&gt;=40,"C","D"))))</f>
        <v/>
      </c>
      <c r="E4" s="4">
        <f>_xlfn.IFS(B4&gt;=90,"A+",B4&gt;=75,"A",B4&gt;=60,"B",B4&gt;=40,"C",TRUE,"D")</f>
        <v/>
      </c>
      <c r="F4" s="4">
        <f>_xlfn.SWITCH(C4,"N","North","S","South","E","East","W","West","Unknown")</f>
        <v/>
      </c>
      <c r="G4" s="4">
        <f>_xlfn.XLOOKUP(B4,$J$2:$J$6,$K$2:$K$6,,-1)</f>
        <v/>
      </c>
      <c r="H4" s="8">
        <f>_xlfn.SWITCH(D4,"A+",20%,"A",15%,"B",10%,0)</f>
        <v/>
      </c>
      <c r="J4" t="n">
        <v>60</v>
      </c>
      <c r="K4" t="inlineStr">
        <is>
          <t>B</t>
        </is>
      </c>
    </row>
    <row r="5">
      <c r="A5" t="inlineStr">
        <is>
          <t>Deepa Krishnan</t>
        </is>
      </c>
      <c r="B5" t="n">
        <v>35</v>
      </c>
      <c r="C5" t="inlineStr">
        <is>
          <t>S</t>
        </is>
      </c>
      <c r="D5" s="4">
        <f>IF(B5&gt;=90,"A+",IF(B5&gt;=75,"A",IF(B5&gt;=60,"B",IF(B5&gt;=40,"C","D"))))</f>
        <v/>
      </c>
      <c r="E5" s="4">
        <f>_xlfn.IFS(B5&gt;=90,"A+",B5&gt;=75,"A",B5&gt;=60,"B",B5&gt;=40,"C",TRUE,"D")</f>
        <v/>
      </c>
      <c r="F5" s="4">
        <f>_xlfn.SWITCH(C5,"N","North","S","South","E","East","W","West","Unknown")</f>
        <v/>
      </c>
      <c r="G5" s="4">
        <f>_xlfn.XLOOKUP(B5,$J$2:$J$6,$K$2:$K$6,,-1)</f>
        <v/>
      </c>
      <c r="H5" s="8">
        <f>_xlfn.SWITCH(D5,"A+",20%,"A",15%,"B",10%,0)</f>
        <v/>
      </c>
      <c r="J5" t="n">
        <v>75</v>
      </c>
      <c r="K5" t="inlineStr">
        <is>
          <t>A</t>
        </is>
      </c>
    </row>
    <row r="6">
      <c r="A6" t="inlineStr">
        <is>
          <t>Esha Banerjee</t>
        </is>
      </c>
      <c r="B6" t="n">
        <v>88</v>
      </c>
      <c r="C6" t="inlineStr">
        <is>
          <t>E</t>
        </is>
      </c>
      <c r="D6" s="4">
        <f>IF(B6&gt;=90,"A+",IF(B6&gt;=75,"A",IF(B6&gt;=60,"B",IF(B6&gt;=40,"C","D"))))</f>
        <v/>
      </c>
      <c r="E6" s="4">
        <f>_xlfn.IFS(B6&gt;=90,"A+",B6&gt;=75,"A",B6&gt;=60,"B",B6&gt;=40,"C",TRUE,"D")</f>
        <v/>
      </c>
      <c r="F6" s="4">
        <f>_xlfn.SWITCH(C6,"N","North","S","South","E","East","W","West","Unknown")</f>
        <v/>
      </c>
      <c r="G6" s="4">
        <f>_xlfn.XLOOKUP(B6,$J$2:$J$6,$K$2:$K$6,,-1)</f>
        <v/>
      </c>
      <c r="H6" s="8">
        <f>_xlfn.SWITCH(D6,"A+",20%,"A",15%,"B",10%,0)</f>
        <v/>
      </c>
      <c r="J6" t="n">
        <v>90</v>
      </c>
      <c r="K6" t="inlineStr">
        <is>
          <t>A+</t>
        </is>
      </c>
    </row>
    <row r="7">
      <c r="A7" t="inlineStr">
        <is>
          <t>Farhan Siddiqui</t>
        </is>
      </c>
      <c r="B7" t="n">
        <v>47</v>
      </c>
      <c r="C7" t="inlineStr">
        <is>
          <t>N</t>
        </is>
      </c>
      <c r="D7" s="4">
        <f>IF(B7&gt;=90,"A+",IF(B7&gt;=75,"A",IF(B7&gt;=60,"B",IF(B7&gt;=40,"C","D"))))</f>
        <v/>
      </c>
      <c r="E7" s="4">
        <f>_xlfn.IFS(B7&gt;=90,"A+",B7&gt;=75,"A",B7&gt;=60,"B",B7&gt;=40,"C",TRUE,"D")</f>
        <v/>
      </c>
      <c r="F7" s="4">
        <f>_xlfn.SWITCH(C7,"N","North","S","South","E","East","W","West","Unknown")</f>
        <v/>
      </c>
      <c r="G7" s="4">
        <f>_xlfn.XLOOKUP(B7,$J$2:$J$6,$K$2:$K$6,,-1)</f>
        <v/>
      </c>
      <c r="H7" s="8">
        <f>_xlfn.SWITCH(D7,"A+",20%,"A",15%,"B",10%,0)</f>
        <v/>
      </c>
    </row>
    <row r="8">
      <c r="A8" t="inlineStr">
        <is>
          <t>Gauri Deshmukh</t>
        </is>
      </c>
      <c r="B8" t="n">
        <v>59</v>
      </c>
      <c r="C8" t="inlineStr">
        <is>
          <t>W</t>
        </is>
      </c>
      <c r="D8" s="4">
        <f>IF(B8&gt;=90,"A+",IF(B8&gt;=75,"A",IF(B8&gt;=60,"B",IF(B8&gt;=40,"C","D"))))</f>
        <v/>
      </c>
      <c r="E8" s="4">
        <f>_xlfn.IFS(B8&gt;=90,"A+",B8&gt;=75,"A",B8&gt;=60,"B",B8&gt;=40,"C",TRUE,"D")</f>
        <v/>
      </c>
      <c r="F8" s="4">
        <f>_xlfn.SWITCH(C8,"N","North","S","South","E","East","W","West","Unknown")</f>
        <v/>
      </c>
      <c r="G8" s="4">
        <f>_xlfn.XLOOKUP(B8,$J$2:$J$6,$K$2:$K$6,,-1)</f>
        <v/>
      </c>
      <c r="H8" s="8">
        <f>_xlfn.SWITCH(D8,"A+",20%,"A",15%,"B",10%,0)</f>
        <v/>
      </c>
    </row>
    <row r="9">
      <c r="A9" t="inlineStr">
        <is>
          <t>Hari Prasad</t>
        </is>
      </c>
      <c r="B9" t="n">
        <v>75</v>
      </c>
      <c r="C9" t="inlineStr">
        <is>
          <t>S</t>
        </is>
      </c>
      <c r="D9" s="4">
        <f>IF(B9&gt;=90,"A+",IF(B9&gt;=75,"A",IF(B9&gt;=60,"B",IF(B9&gt;=40,"C","D"))))</f>
        <v/>
      </c>
      <c r="E9" s="4">
        <f>_xlfn.IFS(B9&gt;=90,"A+",B9&gt;=75,"A",B9&gt;=60,"B",B9&gt;=40,"C",TRUE,"D")</f>
        <v/>
      </c>
      <c r="F9" s="4">
        <f>_xlfn.SWITCH(C9,"N","North","S","South","E","East","W","West","Unknown")</f>
        <v/>
      </c>
      <c r="G9" s="4">
        <f>_xlfn.XLOOKUP(B9,$J$2:$J$6,$K$2:$K$6,,-1)</f>
        <v/>
      </c>
      <c r="H9" s="8">
        <f>_xlfn.SWITCH(D9,"A+",20%,"A",15%,"B",10%,0)</f>
        <v/>
      </c>
    </row>
    <row r="10">
      <c r="A10" t="inlineStr">
        <is>
          <t>Isha Chopra</t>
        </is>
      </c>
      <c r="B10" t="n">
        <v>90</v>
      </c>
      <c r="C10" t="inlineStr">
        <is>
          <t>N</t>
        </is>
      </c>
      <c r="D10" s="4">
        <f>IF(B10&gt;=90,"A+",IF(B10&gt;=75,"A",IF(B10&gt;=60,"B",IF(B10&gt;=40,"C","D"))))</f>
        <v/>
      </c>
      <c r="E10" s="4">
        <f>_xlfn.IFS(B10&gt;=90,"A+",B10&gt;=75,"A",B10&gt;=60,"B",B10&gt;=40,"C",TRUE,"D")</f>
        <v/>
      </c>
      <c r="F10" s="4">
        <f>_xlfn.SWITCH(C10,"N","North","S","South","E","East","W","West","Unknown")</f>
        <v/>
      </c>
      <c r="G10" s="4">
        <f>_xlfn.XLOOKUP(B10,$J$2:$J$6,$K$2:$K$6,,-1)</f>
        <v/>
      </c>
      <c r="H10" s="8">
        <f>_xlfn.SWITCH(D10,"A+",20%,"A",15%,"B",10%,0)</f>
        <v/>
      </c>
    </row>
    <row r="11">
      <c r="A11" t="inlineStr">
        <is>
          <t>Jayesh Patel</t>
        </is>
      </c>
      <c r="B11" t="n">
        <v>40</v>
      </c>
      <c r="C11" t="inlineStr">
        <is>
          <t>W</t>
        </is>
      </c>
      <c r="D11" s="4">
        <f>IF(B11&gt;=90,"A+",IF(B11&gt;=75,"A",IF(B11&gt;=60,"B",IF(B11&gt;=40,"C","D"))))</f>
        <v/>
      </c>
      <c r="E11" s="4">
        <f>_xlfn.IFS(B11&gt;=90,"A+",B11&gt;=75,"A",B11&gt;=60,"B",B11&gt;=40,"C",TRUE,"D")</f>
        <v/>
      </c>
      <c r="F11" s="4">
        <f>_xlfn.SWITCH(C11,"N","North","S","South","E","East","W","West","Unknown")</f>
        <v/>
      </c>
      <c r="G11" s="4">
        <f>_xlfn.XLOOKUP(B11,$J$2:$J$6,$K$2:$K$6,,-1)</f>
        <v/>
      </c>
      <c r="H11" s="8">
        <f>_xlfn.SWITCH(D11,"A+",20%,"A",15%,"B",10%,0)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10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13" customWidth="1" min="4" max="4"/>
    <col width="9" customWidth="1" min="5" max="5"/>
    <col width="12" customWidth="1" min="6" max="6"/>
    <col width="9" customWidth="1" min="7" max="7"/>
    <col width="11" customWidth="1" min="8" max="8"/>
    <col width="10" customWidth="1" min="9" max="9"/>
    <col width="10" customWidth="1" min="10" max="10"/>
    <col width="3" customWidth="1" min="11" max="11"/>
    <col width="9" customWidth="1" min="12" max="12"/>
    <col width="7" customWidth="1" min="13" max="13"/>
  </cols>
  <sheetData>
    <row r="1">
      <c r="A1" s="2" t="inlineStr">
        <is>
          <t>Vendor</t>
        </is>
      </c>
      <c r="B1" s="2" t="inlineStr">
        <is>
          <t>Amount (₹)</t>
        </is>
      </c>
      <c r="C1" s="2" t="inlineStr">
        <is>
          <t>Qty</t>
        </is>
      </c>
      <c r="D1" s="2" t="inlineStr">
        <is>
          <t>Rate per unit (₹)</t>
        </is>
      </c>
      <c r="E1" s="2" t="inlineStr">
        <is>
          <t>GST code</t>
        </is>
      </c>
      <c r="F1" s="2" t="inlineStr">
        <is>
          <t>GST %</t>
        </is>
      </c>
      <c r="G1" s="2" t="inlineStr">
        <is>
          <t>Qty blank?</t>
        </is>
      </c>
      <c r="H1" s="2" t="inlineStr">
        <is>
          <t>Amount is a number?</t>
        </is>
      </c>
      <c r="I1" s="2" t="inlineStr">
        <is>
          <t>Rate has error?</t>
        </is>
      </c>
      <c r="J1" s="2" t="inlineStr">
        <is>
          <t>Amount is text?</t>
        </is>
      </c>
      <c r="L1" s="7" t="inlineStr">
        <is>
          <t>GST code</t>
        </is>
      </c>
      <c r="M1" s="7" t="inlineStr">
        <is>
          <t>Rate</t>
        </is>
      </c>
    </row>
    <row r="2">
      <c r="A2" t="inlineStr">
        <is>
          <t>Shree Ganesh Traders</t>
        </is>
      </c>
      <c r="B2" s="3" t="n">
        <v>45000</v>
      </c>
      <c r="C2" t="n">
        <v>50</v>
      </c>
      <c r="D2" s="5" t="inlineStr">
        <is>
          <t>GST18</t>
        </is>
      </c>
      <c r="F2" s="8" t="n"/>
      <c r="G2" s="4" t="n"/>
      <c r="H2" s="4" t="n"/>
      <c r="I2" s="4" t="n"/>
      <c r="J2" s="4" t="n"/>
      <c r="L2" t="inlineStr">
        <is>
          <t>GST0</t>
        </is>
      </c>
      <c r="M2" s="6" t="n">
        <v>0</v>
      </c>
    </row>
    <row r="3">
      <c r="A3" t="inlineStr">
        <is>
          <t>Patel Packaging</t>
        </is>
      </c>
      <c r="B3" s="3" t="n">
        <v>12600</v>
      </c>
      <c r="C3" t="n">
        <v>0</v>
      </c>
      <c r="D3" s="5" t="inlineStr">
        <is>
          <t>GST5</t>
        </is>
      </c>
      <c r="F3" s="8" t="n"/>
      <c r="G3" s="4" t="n"/>
      <c r="H3" s="4" t="n"/>
      <c r="I3" s="4" t="n"/>
      <c r="J3" s="4" t="n"/>
      <c r="L3" t="inlineStr">
        <is>
          <t>GST5</t>
        </is>
      </c>
      <c r="M3" s="6" t="n">
        <v>0.05</v>
      </c>
    </row>
    <row r="4">
      <c r="A4" t="inlineStr">
        <is>
          <t>Kaveri Agro Foods</t>
        </is>
      </c>
      <c r="B4" s="3" t="n">
        <v>88000</v>
      </c>
      <c r="C4" t="n">
        <v>400</v>
      </c>
      <c r="D4" s="5" t="inlineStr">
        <is>
          <t>GST0</t>
        </is>
      </c>
      <c r="F4" s="8" t="n"/>
      <c r="G4" s="4" t="n"/>
      <c r="H4" s="4" t="n"/>
      <c r="I4" s="4" t="n"/>
      <c r="J4" s="4" t="n"/>
      <c r="L4" t="inlineStr">
        <is>
          <t>GST18</t>
        </is>
      </c>
      <c r="M4" s="6" t="n">
        <v>0.18</v>
      </c>
    </row>
    <row r="5">
      <c r="A5" t="inlineStr">
        <is>
          <t>Lotus Office Supplies</t>
        </is>
      </c>
      <c r="B5" s="3" t="inlineStr">
        <is>
          <t>23500</t>
        </is>
      </c>
      <c r="C5" t="n">
        <v>25</v>
      </c>
      <c r="D5" s="5" t="inlineStr">
        <is>
          <t>GST18</t>
        </is>
      </c>
      <c r="F5" s="8" t="n"/>
      <c r="G5" s="4" t="n"/>
      <c r="H5" s="4" t="n"/>
      <c r="I5" s="4" t="n"/>
      <c r="J5" s="4" t="n"/>
      <c r="L5" t="inlineStr">
        <is>
          <t>GST40</t>
        </is>
      </c>
      <c r="M5" s="6" t="n">
        <v>0.4</v>
      </c>
    </row>
    <row r="6">
      <c r="A6" t="inlineStr">
        <is>
          <t>Deccan Steel</t>
        </is>
      </c>
      <c r="B6" s="3" t="n">
        <v>156000</v>
      </c>
      <c r="D6" s="5" t="inlineStr">
        <is>
          <t>GST18</t>
        </is>
      </c>
      <c r="F6" s="8" t="n"/>
      <c r="G6" s="4" t="n"/>
      <c r="H6" s="4" t="n"/>
      <c r="I6" s="4" t="n"/>
      <c r="J6" s="4" t="n"/>
    </row>
    <row r="7">
      <c r="A7" t="inlineStr">
        <is>
          <t>Annapurna Caterers</t>
        </is>
      </c>
      <c r="B7" s="3" t="n">
        <v>9600</v>
      </c>
      <c r="C7" t="n">
        <v>120</v>
      </c>
      <c r="D7" s="5" t="inlineStr">
        <is>
          <t>GST12</t>
        </is>
      </c>
      <c r="F7" s="8" t="n"/>
      <c r="G7" s="4" t="n"/>
      <c r="H7" s="4" t="n"/>
      <c r="I7" s="4" t="n"/>
      <c r="J7" s="4" t="n"/>
    </row>
    <row r="8">
      <c r="A8" t="inlineStr">
        <is>
          <t>Sai Electricals</t>
        </is>
      </c>
      <c r="B8" s="3" t="n">
        <v>31500</v>
      </c>
      <c r="C8" t="n">
        <v>35</v>
      </c>
      <c r="D8" s="5" t="inlineStr">
        <is>
          <t>GST18</t>
        </is>
      </c>
      <c r="F8" s="8" t="n"/>
      <c r="G8" s="4" t="n"/>
      <c r="H8" s="4" t="n"/>
      <c r="I8" s="4" t="n"/>
      <c r="J8" s="4" t="n"/>
    </row>
    <row r="9">
      <c r="A9" t="inlineStr">
        <is>
          <t>Bharat Logistics</t>
        </is>
      </c>
      <c r="B9" s="3" t="n">
        <v>67200</v>
      </c>
      <c r="C9" t="n">
        <v>80</v>
      </c>
      <c r="D9" s="5" t="inlineStr">
        <is>
          <t>GST5</t>
        </is>
      </c>
      <c r="F9" s="8" t="n"/>
      <c r="G9" s="4" t="n"/>
      <c r="H9" s="4" t="n"/>
      <c r="I9" s="4" t="n"/>
      <c r="J9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10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13" customWidth="1" min="4" max="4"/>
    <col width="9" customWidth="1" min="5" max="5"/>
    <col width="12" customWidth="1" min="6" max="6"/>
    <col width="9" customWidth="1" min="7" max="7"/>
    <col width="11" customWidth="1" min="8" max="8"/>
    <col width="10" customWidth="1" min="9" max="9"/>
    <col width="10" customWidth="1" min="10" max="10"/>
    <col width="3" customWidth="1" min="11" max="11"/>
    <col width="9" customWidth="1" min="12" max="12"/>
    <col width="7" customWidth="1" min="13" max="13"/>
  </cols>
  <sheetData>
    <row r="1">
      <c r="A1" s="2" t="inlineStr">
        <is>
          <t>Vendor</t>
        </is>
      </c>
      <c r="B1" s="2" t="inlineStr">
        <is>
          <t>Amount (₹)</t>
        </is>
      </c>
      <c r="C1" s="2" t="inlineStr">
        <is>
          <t>Qty</t>
        </is>
      </c>
      <c r="D1" s="2" t="inlineStr">
        <is>
          <t>Rate per unit (₹)</t>
        </is>
      </c>
      <c r="E1" s="2" t="inlineStr">
        <is>
          <t>GST code</t>
        </is>
      </c>
      <c r="F1" s="2" t="inlineStr">
        <is>
          <t>GST %</t>
        </is>
      </c>
      <c r="G1" s="2" t="inlineStr">
        <is>
          <t>Qty blank?</t>
        </is>
      </c>
      <c r="H1" s="2" t="inlineStr">
        <is>
          <t>Amount is a number?</t>
        </is>
      </c>
      <c r="I1" s="2" t="inlineStr">
        <is>
          <t>Rate has error?</t>
        </is>
      </c>
      <c r="J1" s="2" t="inlineStr">
        <is>
          <t>Amount is text?</t>
        </is>
      </c>
      <c r="L1" s="7" t="inlineStr">
        <is>
          <t>GST code</t>
        </is>
      </c>
      <c r="M1" s="7" t="inlineStr">
        <is>
          <t>Rate</t>
        </is>
      </c>
    </row>
    <row r="2">
      <c r="A2" t="inlineStr">
        <is>
          <t>Shree Ganesh Traders</t>
        </is>
      </c>
      <c r="B2" s="3" t="n">
        <v>45000</v>
      </c>
      <c r="C2" t="n">
        <v>50</v>
      </c>
      <c r="D2" s="5">
        <f>IFERROR(B2/C2,"Check qty")</f>
        <v/>
      </c>
      <c r="F2" s="8">
        <f>_xlfn.IFNA(_xlfn.XLOOKUP(E2,$L$2:$L$5,$M$2:$M$5),"Code missing")</f>
        <v/>
      </c>
      <c r="G2" s="4">
        <f>ISBLANK(C2)</f>
        <v/>
      </c>
      <c r="H2" s="4">
        <f>ISNUMBER(B2)</f>
        <v/>
      </c>
      <c r="I2" s="4">
        <f>ISERROR(B2/C2)</f>
        <v/>
      </c>
      <c r="J2" s="4">
        <f>ISTEXT(B2)</f>
        <v/>
      </c>
      <c r="L2" t="inlineStr">
        <is>
          <t>GST0</t>
        </is>
      </c>
      <c r="M2" s="6" t="n">
        <v>0</v>
      </c>
    </row>
    <row r="3">
      <c r="A3" t="inlineStr">
        <is>
          <t>Patel Packaging</t>
        </is>
      </c>
      <c r="B3" s="3" t="n">
        <v>12600</v>
      </c>
      <c r="C3" t="n">
        <v>0</v>
      </c>
      <c r="D3" s="5">
        <f>IFERROR(B3/C3,"Check qty")</f>
        <v/>
      </c>
      <c r="F3" s="8">
        <f>_xlfn.IFNA(_xlfn.XLOOKUP(E3,$L$2:$L$5,$M$2:$M$5),"Code missing")</f>
        <v/>
      </c>
      <c r="G3" s="4">
        <f>ISBLANK(C3)</f>
        <v/>
      </c>
      <c r="H3" s="4">
        <f>ISNUMBER(B3)</f>
        <v/>
      </c>
      <c r="I3" s="4">
        <f>ISERROR(B3/C3)</f>
        <v/>
      </c>
      <c r="J3" s="4">
        <f>ISTEXT(B3)</f>
        <v/>
      </c>
      <c r="L3" t="inlineStr">
        <is>
          <t>GST5</t>
        </is>
      </c>
      <c r="M3" s="6" t="n">
        <v>0.05</v>
      </c>
    </row>
    <row r="4">
      <c r="A4" t="inlineStr">
        <is>
          <t>Kaveri Agro Foods</t>
        </is>
      </c>
      <c r="B4" s="3" t="n">
        <v>88000</v>
      </c>
      <c r="C4" t="n">
        <v>400</v>
      </c>
      <c r="D4" s="5">
        <f>IFERROR(B4/C4,"Check qty")</f>
        <v/>
      </c>
      <c r="F4" s="8">
        <f>_xlfn.IFNA(_xlfn.XLOOKUP(E4,$L$2:$L$5,$M$2:$M$5),"Code missing")</f>
        <v/>
      </c>
      <c r="G4" s="4">
        <f>ISBLANK(C4)</f>
        <v/>
      </c>
      <c r="H4" s="4">
        <f>ISNUMBER(B4)</f>
        <v/>
      </c>
      <c r="I4" s="4">
        <f>ISERROR(B4/C4)</f>
        <v/>
      </c>
      <c r="J4" s="4">
        <f>ISTEXT(B4)</f>
        <v/>
      </c>
      <c r="L4" t="inlineStr">
        <is>
          <t>GST18</t>
        </is>
      </c>
      <c r="M4" s="6" t="n">
        <v>0.18</v>
      </c>
    </row>
    <row r="5">
      <c r="A5" t="inlineStr">
        <is>
          <t>Lotus Office Supplies</t>
        </is>
      </c>
      <c r="B5" s="3" t="inlineStr">
        <is>
          <t>23500</t>
        </is>
      </c>
      <c r="C5" t="n">
        <v>25</v>
      </c>
      <c r="D5" s="5">
        <f>IFERROR(B5/C5,"Check qty")</f>
        <v/>
      </c>
      <c r="F5" s="8">
        <f>_xlfn.IFNA(_xlfn.XLOOKUP(E5,$L$2:$L$5,$M$2:$M$5),"Code missing")</f>
        <v/>
      </c>
      <c r="G5" s="4">
        <f>ISBLANK(C5)</f>
        <v/>
      </c>
      <c r="H5" s="4">
        <f>ISNUMBER(B5)</f>
        <v/>
      </c>
      <c r="I5" s="4">
        <f>ISERROR(B5/C5)</f>
        <v/>
      </c>
      <c r="J5" s="4">
        <f>ISTEXT(B5)</f>
        <v/>
      </c>
      <c r="L5" t="inlineStr">
        <is>
          <t>GST40</t>
        </is>
      </c>
      <c r="M5" s="6" t="n">
        <v>0.4</v>
      </c>
    </row>
    <row r="6">
      <c r="A6" t="inlineStr">
        <is>
          <t>Deccan Steel</t>
        </is>
      </c>
      <c r="B6" s="3" t="n">
        <v>156000</v>
      </c>
      <c r="D6" s="5">
        <f>IFERROR(B6/C6,"Check qty")</f>
        <v/>
      </c>
      <c r="F6" s="8">
        <f>_xlfn.IFNA(_xlfn.XLOOKUP(E6,$L$2:$L$5,$M$2:$M$5),"Code missing")</f>
        <v/>
      </c>
      <c r="G6" s="4">
        <f>ISBLANK(C6)</f>
        <v/>
      </c>
      <c r="H6" s="4">
        <f>ISNUMBER(B6)</f>
        <v/>
      </c>
      <c r="I6" s="4">
        <f>ISERROR(B6/C6)</f>
        <v/>
      </c>
      <c r="J6" s="4">
        <f>ISTEXT(B6)</f>
        <v/>
      </c>
    </row>
    <row r="7">
      <c r="A7" t="inlineStr">
        <is>
          <t>Annapurna Caterers</t>
        </is>
      </c>
      <c r="B7" s="3" t="n">
        <v>9600</v>
      </c>
      <c r="C7" t="n">
        <v>120</v>
      </c>
      <c r="D7" s="5">
        <f>IFERROR(B7/C7,"Check qty")</f>
        <v/>
      </c>
      <c r="F7" s="8">
        <f>_xlfn.IFNA(_xlfn.XLOOKUP(E7,$L$2:$L$5,$M$2:$M$5),"Code missing")</f>
        <v/>
      </c>
      <c r="G7" s="4">
        <f>ISBLANK(C7)</f>
        <v/>
      </c>
      <c r="H7" s="4">
        <f>ISNUMBER(B7)</f>
        <v/>
      </c>
      <c r="I7" s="4">
        <f>ISERROR(B7/C7)</f>
        <v/>
      </c>
      <c r="J7" s="4">
        <f>ISTEXT(B7)</f>
        <v/>
      </c>
    </row>
    <row r="8">
      <c r="A8" t="inlineStr">
        <is>
          <t>Sai Electricals</t>
        </is>
      </c>
      <c r="B8" s="3" t="n">
        <v>31500</v>
      </c>
      <c r="C8" t="n">
        <v>35</v>
      </c>
      <c r="D8" s="5">
        <f>IFERROR(B8/C8,"Check qty")</f>
        <v/>
      </c>
      <c r="F8" s="8">
        <f>_xlfn.IFNA(_xlfn.XLOOKUP(E8,$L$2:$L$5,$M$2:$M$5),"Code missing")</f>
        <v/>
      </c>
      <c r="G8" s="4">
        <f>ISBLANK(C8)</f>
        <v/>
      </c>
      <c r="H8" s="4">
        <f>ISNUMBER(B8)</f>
        <v/>
      </c>
      <c r="I8" s="4">
        <f>ISERROR(B8/C8)</f>
        <v/>
      </c>
      <c r="J8" s="4">
        <f>ISTEXT(B8)</f>
        <v/>
      </c>
    </row>
    <row r="9">
      <c r="A9" t="inlineStr">
        <is>
          <t>Bharat Logistics</t>
        </is>
      </c>
      <c r="B9" s="3" t="n">
        <v>67200</v>
      </c>
      <c r="C9" t="n">
        <v>80</v>
      </c>
      <c r="D9" s="5">
        <f>IFERROR(B9/C9,"Check qty")</f>
        <v/>
      </c>
      <c r="F9" s="8">
        <f>_xlfn.IFNA(_xlfn.XLOOKUP(E9,$L$2:$L$5,$M$2:$M$5),"Code missing")</f>
        <v/>
      </c>
      <c r="G9" s="4">
        <f>ISBLANK(C9)</f>
        <v/>
      </c>
      <c r="H9" s="4">
        <f>ISNUMBER(B9)</f>
        <v/>
      </c>
      <c r="I9" s="4">
        <f>ISERROR(B9/C9)</f>
        <v/>
      </c>
      <c r="J9" s="4">
        <f>ISTEXT(B9)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0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5" customWidth="1" min="4" max="4"/>
    <col width="11" customWidth="1" min="5" max="5"/>
    <col width="12" customWidth="1" min="6" max="6"/>
    <col width="3" customWidth="1" min="7" max="7"/>
    <col width="30" customWidth="1" min="8" max="8"/>
    <col width="10" customWidth="1" min="9" max="9"/>
  </cols>
  <sheetData>
    <row r="1">
      <c r="A1" s="2" t="inlineStr">
        <is>
          <t>Order 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Salesperson</t>
        </is>
      </c>
      <c r="E1" s="2" t="inlineStr">
        <is>
          <t>Status</t>
        </is>
      </c>
      <c r="F1" s="2" t="inlineStr">
        <is>
          <t>Amount (₹)</t>
        </is>
      </c>
      <c r="H1" s="7" t="inlineStr">
        <is>
          <t>Question</t>
        </is>
      </c>
      <c r="I1" s="7" t="inlineStr">
        <is>
          <t>Answer</t>
        </is>
      </c>
    </row>
    <row r="2">
      <c r="A2" t="inlineStr">
        <is>
          <t>SO-1001</t>
        </is>
      </c>
      <c r="B2" s="9" t="n">
        <v>46115</v>
      </c>
      <c r="C2" t="inlineStr">
        <is>
          <t>West</t>
        </is>
      </c>
      <c r="D2" t="inlineStr">
        <is>
          <t>Amit Saxena</t>
        </is>
      </c>
      <c r="E2" t="inlineStr">
        <is>
          <t>Delivered</t>
        </is>
      </c>
      <c r="F2" s="3" t="n">
        <v>95250</v>
      </c>
      <c r="H2" t="inlineStr">
        <is>
          <t>Orders from North</t>
        </is>
      </c>
      <c r="I2" s="4" t="n"/>
    </row>
    <row r="3">
      <c r="A3" t="inlineStr">
        <is>
          <t>SO-1002</t>
        </is>
      </c>
      <c r="B3" s="9" t="n">
        <v>46121</v>
      </c>
      <c r="C3" t="inlineStr">
        <is>
          <t>North</t>
        </is>
      </c>
      <c r="D3" t="inlineStr">
        <is>
          <t>Bhushan Pawar</t>
        </is>
      </c>
      <c r="E3" t="inlineStr">
        <is>
          <t>Delivered</t>
        </is>
      </c>
      <c r="F3" s="3" t="n">
        <v>58500</v>
      </c>
      <c r="H3" t="inlineStr">
        <is>
          <t>Pending orders</t>
        </is>
      </c>
      <c r="I3" s="4" t="n"/>
    </row>
    <row r="4">
      <c r="A4" t="inlineStr">
        <is>
          <t>SO-1003</t>
        </is>
      </c>
      <c r="B4" s="9" t="n">
        <v>46123</v>
      </c>
      <c r="C4" t="inlineStr">
        <is>
          <t>North</t>
        </is>
      </c>
      <c r="D4" t="inlineStr">
        <is>
          <t>Chitra Iyer</t>
        </is>
      </c>
      <c r="E4" t="inlineStr">
        <is>
          <t>Delivered</t>
        </is>
      </c>
      <c r="F4" s="3" t="n">
        <v>76000</v>
      </c>
      <c r="H4" t="inlineStr">
        <is>
          <t>North orders delivered</t>
        </is>
      </c>
      <c r="I4" s="4" t="n"/>
    </row>
    <row r="5">
      <c r="A5" t="inlineStr">
        <is>
          <t>SO-1004</t>
        </is>
      </c>
      <c r="B5" s="9" t="n">
        <v>46127</v>
      </c>
      <c r="C5" t="inlineStr">
        <is>
          <t>South</t>
        </is>
      </c>
      <c r="D5" t="inlineStr">
        <is>
          <t>Dev Malhotra</t>
        </is>
      </c>
      <c r="E5" t="inlineStr">
        <is>
          <t>Delivered</t>
        </is>
      </c>
      <c r="F5" s="3" t="n">
        <v>32250</v>
      </c>
      <c r="H5" t="inlineStr">
        <is>
          <t>Orders above threshold</t>
        </is>
      </c>
      <c r="I5" s="4" t="n"/>
    </row>
    <row r="6">
      <c r="A6" t="inlineStr">
        <is>
          <t>SO-1005</t>
        </is>
      </c>
      <c r="B6" s="9" t="n">
        <v>46131</v>
      </c>
      <c r="C6" t="inlineStr">
        <is>
          <t>South</t>
        </is>
      </c>
      <c r="D6" t="inlineStr">
        <is>
          <t>Bhushan Pawar</t>
        </is>
      </c>
      <c r="E6" t="inlineStr">
        <is>
          <t>Pending</t>
        </is>
      </c>
      <c r="F6" s="3" t="n">
        <v>103250</v>
      </c>
      <c r="H6" t="inlineStr">
        <is>
          <t>Orders in May 2026</t>
        </is>
      </c>
      <c r="I6" s="4" t="n"/>
    </row>
    <row r="7">
      <c r="A7" t="inlineStr">
        <is>
          <t>SO-1006</t>
        </is>
      </c>
      <c r="B7" s="9" t="n">
        <v>46136</v>
      </c>
      <c r="C7" t="inlineStr">
        <is>
          <t>North</t>
        </is>
      </c>
      <c r="D7" t="inlineStr">
        <is>
          <t>Bhushan Pawar</t>
        </is>
      </c>
      <c r="E7" t="inlineStr">
        <is>
          <t>Pending</t>
        </is>
      </c>
      <c r="F7" s="3" t="n">
        <v>112250</v>
      </c>
      <c r="H7" t="inlineStr">
        <is>
          <t>Salesperson name starts with A</t>
        </is>
      </c>
      <c r="I7" s="4" t="n"/>
    </row>
    <row r="8">
      <c r="A8" t="inlineStr">
        <is>
          <t>SO-1007</t>
        </is>
      </c>
      <c r="B8" s="9" t="n">
        <v>46141</v>
      </c>
      <c r="C8" t="inlineStr">
        <is>
          <t>South</t>
        </is>
      </c>
      <c r="D8" t="inlineStr">
        <is>
          <t>Amit Saxena</t>
        </is>
      </c>
      <c r="E8" t="inlineStr">
        <is>
          <t>Delivered</t>
        </is>
      </c>
      <c r="F8" s="3" t="n">
        <v>42750</v>
      </c>
      <c r="H8" t="inlineStr">
        <is>
          <t>South orders not cancelled</t>
        </is>
      </c>
      <c r="I8" s="4" t="n"/>
    </row>
    <row r="9">
      <c r="A9" t="inlineStr">
        <is>
          <t>SO-1008</t>
        </is>
      </c>
      <c r="B9" s="9" t="n">
        <v>46143</v>
      </c>
      <c r="C9" t="inlineStr">
        <is>
          <t>West</t>
        </is>
      </c>
      <c r="D9" t="inlineStr">
        <is>
          <t>Chitra Iyer</t>
        </is>
      </c>
      <c r="E9" t="inlineStr">
        <is>
          <t>Pending</t>
        </is>
      </c>
      <c r="F9" s="3" t="n">
        <v>85000</v>
      </c>
    </row>
    <row r="10">
      <c r="A10" t="inlineStr">
        <is>
          <t>SO-1009</t>
        </is>
      </c>
      <c r="B10" s="9" t="n">
        <v>46147</v>
      </c>
      <c r="C10" t="inlineStr">
        <is>
          <t>West</t>
        </is>
      </c>
      <c r="D10" t="inlineStr">
        <is>
          <t>Amit Saxena</t>
        </is>
      </c>
      <c r="E10" t="inlineStr">
        <is>
          <t>Delivered</t>
        </is>
      </c>
      <c r="F10" s="3" t="n">
        <v>114000</v>
      </c>
      <c r="H10" t="inlineStr">
        <is>
          <t>Amount threshold (₹)</t>
        </is>
      </c>
      <c r="I10" s="3" t="n">
        <v>50000</v>
      </c>
    </row>
    <row r="11">
      <c r="A11" t="inlineStr">
        <is>
          <t>SO-1010</t>
        </is>
      </c>
      <c r="B11" s="9" t="n">
        <v>46153</v>
      </c>
      <c r="C11" t="inlineStr">
        <is>
          <t>East</t>
        </is>
      </c>
      <c r="D11" t="inlineStr">
        <is>
          <t>Amit Saxena</t>
        </is>
      </c>
      <c r="E11" t="inlineStr">
        <is>
          <t>Pending</t>
        </is>
      </c>
      <c r="F11" s="3" t="n">
        <v>52500</v>
      </c>
    </row>
    <row r="12">
      <c r="A12" t="inlineStr">
        <is>
          <t>SO-1011</t>
        </is>
      </c>
      <c r="B12" s="9" t="n">
        <v>46157</v>
      </c>
      <c r="C12" t="inlineStr">
        <is>
          <t>East</t>
        </is>
      </c>
      <c r="D12" t="inlineStr">
        <is>
          <t>Anjali Rao</t>
        </is>
      </c>
      <c r="E12" t="inlineStr">
        <is>
          <t>Pending</t>
        </is>
      </c>
      <c r="F12" s="3" t="n">
        <v>111250</v>
      </c>
    </row>
    <row r="13">
      <c r="A13" t="inlineStr">
        <is>
          <t>SO-1012</t>
        </is>
      </c>
      <c r="B13" s="9" t="n">
        <v>46159</v>
      </c>
      <c r="C13" t="inlineStr">
        <is>
          <t>West</t>
        </is>
      </c>
      <c r="D13" t="inlineStr">
        <is>
          <t>Anjali Rao</t>
        </is>
      </c>
      <c r="E13" t="inlineStr">
        <is>
          <t>Pending</t>
        </is>
      </c>
      <c r="F13" s="3" t="n">
        <v>41000</v>
      </c>
    </row>
    <row r="14">
      <c r="A14" t="inlineStr">
        <is>
          <t>SO-1013</t>
        </is>
      </c>
      <c r="B14" s="9" t="n">
        <v>46164</v>
      </c>
      <c r="C14" t="inlineStr">
        <is>
          <t>East</t>
        </is>
      </c>
      <c r="D14" t="inlineStr">
        <is>
          <t>Anjali Rao</t>
        </is>
      </c>
      <c r="E14" t="inlineStr">
        <is>
          <t>Delivered</t>
        </is>
      </c>
      <c r="F14" s="3" t="n">
        <v>26250</v>
      </c>
    </row>
    <row r="15">
      <c r="A15" t="inlineStr">
        <is>
          <t>SO-1014</t>
        </is>
      </c>
      <c r="B15" s="9" t="n">
        <v>46168</v>
      </c>
      <c r="C15" t="inlineStr">
        <is>
          <t>North</t>
        </is>
      </c>
      <c r="D15" t="inlineStr">
        <is>
          <t>Chitra Iyer</t>
        </is>
      </c>
      <c r="E15" t="inlineStr">
        <is>
          <t>Delivered</t>
        </is>
      </c>
      <c r="F15" s="3" t="n">
        <v>69750</v>
      </c>
    </row>
    <row r="16">
      <c r="A16" t="inlineStr">
        <is>
          <t>SO-1015</t>
        </is>
      </c>
      <c r="B16" s="9" t="n">
        <v>46172</v>
      </c>
      <c r="C16" t="inlineStr">
        <is>
          <t>North</t>
        </is>
      </c>
      <c r="D16" t="inlineStr">
        <is>
          <t>Amit Saxena</t>
        </is>
      </c>
      <c r="E16" t="inlineStr">
        <is>
          <t>Pending</t>
        </is>
      </c>
      <c r="F16" s="3" t="n">
        <v>83000</v>
      </c>
    </row>
    <row r="17">
      <c r="A17" t="inlineStr">
        <is>
          <t>SO-1016</t>
        </is>
      </c>
      <c r="B17" s="9" t="n">
        <v>46175</v>
      </c>
      <c r="C17" t="inlineStr">
        <is>
          <t>East</t>
        </is>
      </c>
      <c r="D17" t="inlineStr">
        <is>
          <t>Dev Malhotra</t>
        </is>
      </c>
      <c r="E17" t="inlineStr">
        <is>
          <t>Delivered</t>
        </is>
      </c>
      <c r="F17" s="3" t="n">
        <v>80750</v>
      </c>
    </row>
    <row r="18">
      <c r="A18" t="inlineStr">
        <is>
          <t>SO-1017</t>
        </is>
      </c>
      <c r="B18" s="9" t="n">
        <v>46180</v>
      </c>
      <c r="C18" t="inlineStr">
        <is>
          <t>East</t>
        </is>
      </c>
      <c r="D18" t="inlineStr">
        <is>
          <t>Anjali Rao</t>
        </is>
      </c>
      <c r="E18" t="inlineStr">
        <is>
          <t>Cancelled</t>
        </is>
      </c>
      <c r="F18" s="3" t="n">
        <v>10000</v>
      </c>
    </row>
    <row r="19">
      <c r="A19" t="inlineStr">
        <is>
          <t>SO-1018</t>
        </is>
      </c>
      <c r="B19" s="9" t="n">
        <v>46185</v>
      </c>
      <c r="C19" t="inlineStr">
        <is>
          <t>South</t>
        </is>
      </c>
      <c r="D19" t="inlineStr">
        <is>
          <t>Dev Malhotra</t>
        </is>
      </c>
      <c r="E19" t="inlineStr">
        <is>
          <t>Delivered</t>
        </is>
      </c>
      <c r="F19" s="3" t="n">
        <v>87250</v>
      </c>
    </row>
    <row r="20">
      <c r="A20" t="inlineStr">
        <is>
          <t>SO-1019</t>
        </is>
      </c>
      <c r="B20" s="9" t="n">
        <v>46189</v>
      </c>
      <c r="C20" t="inlineStr">
        <is>
          <t>North</t>
        </is>
      </c>
      <c r="D20" t="inlineStr">
        <is>
          <t>Bhushan Pawar</t>
        </is>
      </c>
      <c r="E20" t="inlineStr">
        <is>
          <t>Pending</t>
        </is>
      </c>
      <c r="F20" s="3" t="n">
        <v>20250</v>
      </c>
    </row>
    <row r="21">
      <c r="A21" t="inlineStr">
        <is>
          <t>SO-1020</t>
        </is>
      </c>
      <c r="B21" s="9" t="n">
        <v>46192</v>
      </c>
      <c r="C21" t="inlineStr">
        <is>
          <t>North</t>
        </is>
      </c>
      <c r="D21" t="inlineStr">
        <is>
          <t>Chitra Iyer</t>
        </is>
      </c>
      <c r="E21" t="inlineStr">
        <is>
          <t>Delivered</t>
        </is>
      </c>
      <c r="F21" s="3" t="n">
        <v>37000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0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5" customWidth="1" min="4" max="4"/>
    <col width="11" customWidth="1" min="5" max="5"/>
    <col width="12" customWidth="1" min="6" max="6"/>
    <col width="3" customWidth="1" min="7" max="7"/>
    <col width="30" customWidth="1" min="8" max="8"/>
    <col width="10" customWidth="1" min="9" max="9"/>
  </cols>
  <sheetData>
    <row r="1">
      <c r="A1" s="2" t="inlineStr">
        <is>
          <t>Order 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Salesperson</t>
        </is>
      </c>
      <c r="E1" s="2" t="inlineStr">
        <is>
          <t>Status</t>
        </is>
      </c>
      <c r="F1" s="2" t="inlineStr">
        <is>
          <t>Amount (₹)</t>
        </is>
      </c>
      <c r="H1" s="7" t="inlineStr">
        <is>
          <t>Question</t>
        </is>
      </c>
      <c r="I1" s="7" t="inlineStr">
        <is>
          <t>Answer</t>
        </is>
      </c>
    </row>
    <row r="2">
      <c r="A2" t="inlineStr">
        <is>
          <t>SO-1001</t>
        </is>
      </c>
      <c r="B2" s="9" t="n">
        <v>46115</v>
      </c>
      <c r="C2" t="inlineStr">
        <is>
          <t>West</t>
        </is>
      </c>
      <c r="D2" t="inlineStr">
        <is>
          <t>Amit Saxena</t>
        </is>
      </c>
      <c r="E2" t="inlineStr">
        <is>
          <t>Delivered</t>
        </is>
      </c>
      <c r="F2" s="3" t="n">
        <v>95250</v>
      </c>
      <c r="H2" t="inlineStr">
        <is>
          <t>Orders from North</t>
        </is>
      </c>
      <c r="I2" s="4">
        <f>COUNTIF(C2:C21,"North")</f>
        <v/>
      </c>
    </row>
    <row r="3">
      <c r="A3" t="inlineStr">
        <is>
          <t>SO-1002</t>
        </is>
      </c>
      <c r="B3" s="9" t="n">
        <v>46121</v>
      </c>
      <c r="C3" t="inlineStr">
        <is>
          <t>North</t>
        </is>
      </c>
      <c r="D3" t="inlineStr">
        <is>
          <t>Bhushan Pawar</t>
        </is>
      </c>
      <c r="E3" t="inlineStr">
        <is>
          <t>Delivered</t>
        </is>
      </c>
      <c r="F3" s="3" t="n">
        <v>58500</v>
      </c>
      <c r="H3" t="inlineStr">
        <is>
          <t>Pending orders</t>
        </is>
      </c>
      <c r="I3" s="4">
        <f>COUNTIF(E2:E21,"Pending")</f>
        <v/>
      </c>
    </row>
    <row r="4">
      <c r="A4" t="inlineStr">
        <is>
          <t>SO-1003</t>
        </is>
      </c>
      <c r="B4" s="9" t="n">
        <v>46123</v>
      </c>
      <c r="C4" t="inlineStr">
        <is>
          <t>North</t>
        </is>
      </c>
      <c r="D4" t="inlineStr">
        <is>
          <t>Chitra Iyer</t>
        </is>
      </c>
      <c r="E4" t="inlineStr">
        <is>
          <t>Delivered</t>
        </is>
      </c>
      <c r="F4" s="3" t="n">
        <v>76000</v>
      </c>
      <c r="H4" t="inlineStr">
        <is>
          <t>North orders delivered</t>
        </is>
      </c>
      <c r="I4" s="4">
        <f>COUNTIFS(C2:C21,"North",E2:E21,"Delivered")</f>
        <v/>
      </c>
    </row>
    <row r="5">
      <c r="A5" t="inlineStr">
        <is>
          <t>SO-1004</t>
        </is>
      </c>
      <c r="B5" s="9" t="n">
        <v>46127</v>
      </c>
      <c r="C5" t="inlineStr">
        <is>
          <t>South</t>
        </is>
      </c>
      <c r="D5" t="inlineStr">
        <is>
          <t>Dev Malhotra</t>
        </is>
      </c>
      <c r="E5" t="inlineStr">
        <is>
          <t>Delivered</t>
        </is>
      </c>
      <c r="F5" s="3" t="n">
        <v>32250</v>
      </c>
      <c r="H5" t="inlineStr">
        <is>
          <t>Orders above threshold</t>
        </is>
      </c>
      <c r="I5" s="4">
        <f>COUNTIF(F2:F21,"&gt;"&amp;I10)</f>
        <v/>
      </c>
    </row>
    <row r="6">
      <c r="A6" t="inlineStr">
        <is>
          <t>SO-1005</t>
        </is>
      </c>
      <c r="B6" s="9" t="n">
        <v>46131</v>
      </c>
      <c r="C6" t="inlineStr">
        <is>
          <t>South</t>
        </is>
      </c>
      <c r="D6" t="inlineStr">
        <is>
          <t>Bhushan Pawar</t>
        </is>
      </c>
      <c r="E6" t="inlineStr">
        <is>
          <t>Pending</t>
        </is>
      </c>
      <c r="F6" s="3" t="n">
        <v>103250</v>
      </c>
      <c r="H6" t="inlineStr">
        <is>
          <t>Orders in May 2026</t>
        </is>
      </c>
      <c r="I6" s="4">
        <f>COUNTIFS(B2:B21,"&gt;="&amp;DATE(2026,5,1),B2:B21,"&lt;="&amp;DATE(2026,5,31))</f>
        <v/>
      </c>
    </row>
    <row r="7">
      <c r="A7" t="inlineStr">
        <is>
          <t>SO-1006</t>
        </is>
      </c>
      <c r="B7" s="9" t="n">
        <v>46136</v>
      </c>
      <c r="C7" t="inlineStr">
        <is>
          <t>North</t>
        </is>
      </c>
      <c r="D7" t="inlineStr">
        <is>
          <t>Bhushan Pawar</t>
        </is>
      </c>
      <c r="E7" t="inlineStr">
        <is>
          <t>Pending</t>
        </is>
      </c>
      <c r="F7" s="3" t="n">
        <v>112250</v>
      </c>
      <c r="H7" t="inlineStr">
        <is>
          <t>Salesperson name starts with A</t>
        </is>
      </c>
      <c r="I7" s="4">
        <f>COUNTIF(D2:D21,"A*")</f>
        <v/>
      </c>
    </row>
    <row r="8">
      <c r="A8" t="inlineStr">
        <is>
          <t>SO-1007</t>
        </is>
      </c>
      <c r="B8" s="9" t="n">
        <v>46141</v>
      </c>
      <c r="C8" t="inlineStr">
        <is>
          <t>South</t>
        </is>
      </c>
      <c r="D8" t="inlineStr">
        <is>
          <t>Amit Saxena</t>
        </is>
      </c>
      <c r="E8" t="inlineStr">
        <is>
          <t>Delivered</t>
        </is>
      </c>
      <c r="F8" s="3" t="n">
        <v>42750</v>
      </c>
      <c r="H8" t="inlineStr">
        <is>
          <t>South orders not cancelled</t>
        </is>
      </c>
      <c r="I8" s="4">
        <f>COUNTIFS(C2:C21,"South",E2:E21,"&lt;&gt;Cancelled")</f>
        <v/>
      </c>
    </row>
    <row r="9">
      <c r="A9" t="inlineStr">
        <is>
          <t>SO-1008</t>
        </is>
      </c>
      <c r="B9" s="9" t="n">
        <v>46143</v>
      </c>
      <c r="C9" t="inlineStr">
        <is>
          <t>West</t>
        </is>
      </c>
      <c r="D9" t="inlineStr">
        <is>
          <t>Chitra Iyer</t>
        </is>
      </c>
      <c r="E9" t="inlineStr">
        <is>
          <t>Pending</t>
        </is>
      </c>
      <c r="F9" s="3" t="n">
        <v>85000</v>
      </c>
    </row>
    <row r="10">
      <c r="A10" t="inlineStr">
        <is>
          <t>SO-1009</t>
        </is>
      </c>
      <c r="B10" s="9" t="n">
        <v>46147</v>
      </c>
      <c r="C10" t="inlineStr">
        <is>
          <t>West</t>
        </is>
      </c>
      <c r="D10" t="inlineStr">
        <is>
          <t>Amit Saxena</t>
        </is>
      </c>
      <c r="E10" t="inlineStr">
        <is>
          <t>Delivered</t>
        </is>
      </c>
      <c r="F10" s="3" t="n">
        <v>114000</v>
      </c>
      <c r="H10" t="inlineStr">
        <is>
          <t>Amount threshold (₹)</t>
        </is>
      </c>
      <c r="I10" s="3" t="n">
        <v>50000</v>
      </c>
    </row>
    <row r="11">
      <c r="A11" t="inlineStr">
        <is>
          <t>SO-1010</t>
        </is>
      </c>
      <c r="B11" s="9" t="n">
        <v>46153</v>
      </c>
      <c r="C11" t="inlineStr">
        <is>
          <t>East</t>
        </is>
      </c>
      <c r="D11" t="inlineStr">
        <is>
          <t>Amit Saxena</t>
        </is>
      </c>
      <c r="E11" t="inlineStr">
        <is>
          <t>Pending</t>
        </is>
      </c>
      <c r="F11" s="3" t="n">
        <v>52500</v>
      </c>
    </row>
    <row r="12">
      <c r="A12" t="inlineStr">
        <is>
          <t>SO-1011</t>
        </is>
      </c>
      <c r="B12" s="9" t="n">
        <v>46157</v>
      </c>
      <c r="C12" t="inlineStr">
        <is>
          <t>East</t>
        </is>
      </c>
      <c r="D12" t="inlineStr">
        <is>
          <t>Anjali Rao</t>
        </is>
      </c>
      <c r="E12" t="inlineStr">
        <is>
          <t>Pending</t>
        </is>
      </c>
      <c r="F12" s="3" t="n">
        <v>111250</v>
      </c>
    </row>
    <row r="13">
      <c r="A13" t="inlineStr">
        <is>
          <t>SO-1012</t>
        </is>
      </c>
      <c r="B13" s="9" t="n">
        <v>46159</v>
      </c>
      <c r="C13" t="inlineStr">
        <is>
          <t>West</t>
        </is>
      </c>
      <c r="D13" t="inlineStr">
        <is>
          <t>Anjali Rao</t>
        </is>
      </c>
      <c r="E13" t="inlineStr">
        <is>
          <t>Pending</t>
        </is>
      </c>
      <c r="F13" s="3" t="n">
        <v>41000</v>
      </c>
    </row>
    <row r="14">
      <c r="A14" t="inlineStr">
        <is>
          <t>SO-1013</t>
        </is>
      </c>
      <c r="B14" s="9" t="n">
        <v>46164</v>
      </c>
      <c r="C14" t="inlineStr">
        <is>
          <t>East</t>
        </is>
      </c>
      <c r="D14" t="inlineStr">
        <is>
          <t>Anjali Rao</t>
        </is>
      </c>
      <c r="E14" t="inlineStr">
        <is>
          <t>Delivered</t>
        </is>
      </c>
      <c r="F14" s="3" t="n">
        <v>26250</v>
      </c>
    </row>
    <row r="15">
      <c r="A15" t="inlineStr">
        <is>
          <t>SO-1014</t>
        </is>
      </c>
      <c r="B15" s="9" t="n">
        <v>46168</v>
      </c>
      <c r="C15" t="inlineStr">
        <is>
          <t>North</t>
        </is>
      </c>
      <c r="D15" t="inlineStr">
        <is>
          <t>Chitra Iyer</t>
        </is>
      </c>
      <c r="E15" t="inlineStr">
        <is>
          <t>Delivered</t>
        </is>
      </c>
      <c r="F15" s="3" t="n">
        <v>69750</v>
      </c>
    </row>
    <row r="16">
      <c r="A16" t="inlineStr">
        <is>
          <t>SO-1015</t>
        </is>
      </c>
      <c r="B16" s="9" t="n">
        <v>46172</v>
      </c>
      <c r="C16" t="inlineStr">
        <is>
          <t>North</t>
        </is>
      </c>
      <c r="D16" t="inlineStr">
        <is>
          <t>Amit Saxena</t>
        </is>
      </c>
      <c r="E16" t="inlineStr">
        <is>
          <t>Pending</t>
        </is>
      </c>
      <c r="F16" s="3" t="n">
        <v>83000</v>
      </c>
    </row>
    <row r="17">
      <c r="A17" t="inlineStr">
        <is>
          <t>SO-1016</t>
        </is>
      </c>
      <c r="B17" s="9" t="n">
        <v>46175</v>
      </c>
      <c r="C17" t="inlineStr">
        <is>
          <t>East</t>
        </is>
      </c>
      <c r="D17" t="inlineStr">
        <is>
          <t>Dev Malhotra</t>
        </is>
      </c>
      <c r="E17" t="inlineStr">
        <is>
          <t>Delivered</t>
        </is>
      </c>
      <c r="F17" s="3" t="n">
        <v>80750</v>
      </c>
    </row>
    <row r="18">
      <c r="A18" t="inlineStr">
        <is>
          <t>SO-1017</t>
        </is>
      </c>
      <c r="B18" s="9" t="n">
        <v>46180</v>
      </c>
      <c r="C18" t="inlineStr">
        <is>
          <t>East</t>
        </is>
      </c>
      <c r="D18" t="inlineStr">
        <is>
          <t>Anjali Rao</t>
        </is>
      </c>
      <c r="E18" t="inlineStr">
        <is>
          <t>Cancelled</t>
        </is>
      </c>
      <c r="F18" s="3" t="n">
        <v>10000</v>
      </c>
    </row>
    <row r="19">
      <c r="A19" t="inlineStr">
        <is>
          <t>SO-1018</t>
        </is>
      </c>
      <c r="B19" s="9" t="n">
        <v>46185</v>
      </c>
      <c r="C19" t="inlineStr">
        <is>
          <t>South</t>
        </is>
      </c>
      <c r="D19" t="inlineStr">
        <is>
          <t>Dev Malhotra</t>
        </is>
      </c>
      <c r="E19" t="inlineStr">
        <is>
          <t>Delivered</t>
        </is>
      </c>
      <c r="F19" s="3" t="n">
        <v>87250</v>
      </c>
    </row>
    <row r="20">
      <c r="A20" t="inlineStr">
        <is>
          <t>SO-1019</t>
        </is>
      </c>
      <c r="B20" s="9" t="n">
        <v>46189</v>
      </c>
      <c r="C20" t="inlineStr">
        <is>
          <t>North</t>
        </is>
      </c>
      <c r="D20" t="inlineStr">
        <is>
          <t>Bhushan Pawar</t>
        </is>
      </c>
      <c r="E20" t="inlineStr">
        <is>
          <t>Pending</t>
        </is>
      </c>
      <c r="F20" s="3" t="n">
        <v>20250</v>
      </c>
    </row>
    <row r="21">
      <c r="A21" t="inlineStr">
        <is>
          <t>SO-1020</t>
        </is>
      </c>
      <c r="B21" s="9" t="n">
        <v>46192</v>
      </c>
      <c r="C21" t="inlineStr">
        <is>
          <t>North</t>
        </is>
      </c>
      <c r="D21" t="inlineStr">
        <is>
          <t>Chitra Iyer</t>
        </is>
      </c>
      <c r="E21" t="inlineStr">
        <is>
          <t>Delivered</t>
        </is>
      </c>
      <c r="F21" s="3" t="n">
        <v>37000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7" customWidth="1" min="5" max="5"/>
    <col width="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Product</t>
        </is>
      </c>
      <c r="D1" s="2" t="inlineStr">
        <is>
          <t>Amount (₹)</t>
        </is>
      </c>
      <c r="E1" s="2" t="inlineStr">
        <is>
          <t>Month</t>
        </is>
      </c>
      <c r="G1" s="7" t="inlineStr">
        <is>
          <t>Region</t>
        </is>
      </c>
      <c r="H1" s="7" t="inlineStr">
        <is>
          <t>Apr</t>
        </is>
      </c>
      <c r="I1" s="7" t="inlineStr">
        <is>
          <t>May</t>
        </is>
      </c>
      <c r="J1" s="7" t="inlineStr">
        <is>
          <t>Jun</t>
        </is>
      </c>
      <c r="K1" s="7" t="inlineStr">
        <is>
          <t>Total</t>
        </is>
      </c>
    </row>
    <row r="2">
      <c r="A2" s="9" t="n">
        <v>46116</v>
      </c>
      <c r="B2" t="inlineStr">
        <is>
          <t>North</t>
        </is>
      </c>
      <c r="C2" t="inlineStr">
        <is>
          <t>Printer</t>
        </is>
      </c>
      <c r="D2" s="3" t="n">
        <v>67000</v>
      </c>
      <c r="E2" t="inlineStr">
        <is>
          <t>Apr</t>
        </is>
      </c>
      <c r="G2" t="inlineStr">
        <is>
          <t>North</t>
        </is>
      </c>
      <c r="H2" s="5" t="n"/>
      <c r="I2" s="5" t="n"/>
      <c r="J2" s="5" t="n"/>
      <c r="K2" s="5" t="n"/>
    </row>
    <row r="3">
      <c r="A3" s="9" t="n">
        <v>46117</v>
      </c>
      <c r="B3" t="inlineStr">
        <is>
          <t>West</t>
        </is>
      </c>
      <c r="C3" t="inlineStr">
        <is>
          <t>Laptop</t>
        </is>
      </c>
      <c r="D3" s="3" t="n">
        <v>73000</v>
      </c>
      <c r="E3" t="inlineStr">
        <is>
          <t>Apr</t>
        </is>
      </c>
      <c r="G3" t="inlineStr">
        <is>
          <t>South</t>
        </is>
      </c>
      <c r="H3" s="5" t="n"/>
      <c r="I3" s="5" t="n"/>
      <c r="J3" s="5" t="n"/>
      <c r="K3" s="5" t="n"/>
    </row>
    <row r="4">
      <c r="A4" s="9" t="n">
        <v>46118</v>
      </c>
      <c r="B4" t="inlineStr">
        <is>
          <t>West</t>
        </is>
      </c>
      <c r="C4" t="inlineStr">
        <is>
          <t>Printer</t>
        </is>
      </c>
      <c r="D4" s="3" t="n">
        <v>47000</v>
      </c>
      <c r="E4" t="inlineStr">
        <is>
          <t>Apr</t>
        </is>
      </c>
      <c r="G4" t="inlineStr">
        <is>
          <t>East</t>
        </is>
      </c>
      <c r="H4" s="5" t="n"/>
      <c r="I4" s="5" t="n"/>
      <c r="J4" s="5" t="n"/>
      <c r="K4" s="5" t="n"/>
    </row>
    <row r="5">
      <c r="A5" s="9" t="n">
        <v>46124</v>
      </c>
      <c r="B5" t="inlineStr">
        <is>
          <t>North</t>
        </is>
      </c>
      <c r="C5" t="inlineStr">
        <is>
          <t>Router</t>
        </is>
      </c>
      <c r="D5" s="3" t="n">
        <v>61500</v>
      </c>
      <c r="E5" t="inlineStr">
        <is>
          <t>Apr</t>
        </is>
      </c>
      <c r="G5" t="inlineStr">
        <is>
          <t>West</t>
        </is>
      </c>
      <c r="H5" s="5" t="n"/>
      <c r="I5" s="5" t="n"/>
      <c r="J5" s="5" t="n"/>
      <c r="K5" s="5" t="n"/>
    </row>
    <row r="6">
      <c r="A6" s="9" t="n">
        <v>46124</v>
      </c>
      <c r="B6" t="inlineStr">
        <is>
          <t>North</t>
        </is>
      </c>
      <c r="C6" t="inlineStr">
        <is>
          <t>Laptop</t>
        </is>
      </c>
      <c r="D6" s="3" t="n">
        <v>69000</v>
      </c>
      <c r="E6" t="inlineStr">
        <is>
          <t>Apr</t>
        </is>
      </c>
    </row>
    <row r="7">
      <c r="A7" s="9" t="n">
        <v>46128</v>
      </c>
      <c r="B7" t="inlineStr">
        <is>
          <t>South</t>
        </is>
      </c>
      <c r="C7" t="inlineStr">
        <is>
          <t>Router</t>
        </is>
      </c>
      <c r="D7" s="3" t="n">
        <v>23500</v>
      </c>
      <c r="E7" t="inlineStr">
        <is>
          <t>Apr</t>
        </is>
      </c>
    </row>
    <row r="8">
      <c r="A8" s="9" t="n">
        <v>46129</v>
      </c>
      <c r="B8" t="inlineStr">
        <is>
          <t>North</t>
        </is>
      </c>
      <c r="C8" t="inlineStr">
        <is>
          <t>UPS</t>
        </is>
      </c>
      <c r="D8" s="3" t="n">
        <v>74500</v>
      </c>
      <c r="E8" t="inlineStr">
        <is>
          <t>Apr</t>
        </is>
      </c>
      <c r="G8" s="10" t="inlineStr">
        <is>
          <t>Region</t>
        </is>
      </c>
      <c r="H8" s="4" t="inlineStr">
        <is>
          <t>South</t>
        </is>
      </c>
    </row>
    <row r="9">
      <c r="A9" s="9" t="n">
        <v>46134</v>
      </c>
      <c r="B9" t="inlineStr">
        <is>
          <t>West</t>
        </is>
      </c>
      <c r="C9" t="inlineStr">
        <is>
          <t>Router</t>
        </is>
      </c>
      <c r="D9" s="3" t="n">
        <v>82000</v>
      </c>
      <c r="E9" t="inlineStr">
        <is>
          <t>Apr</t>
        </is>
      </c>
      <c r="G9" t="inlineStr">
        <is>
          <t>Total sales</t>
        </is>
      </c>
      <c r="H9" s="5" t="n"/>
    </row>
    <row r="10">
      <c r="A10" s="9" t="n">
        <v>46134</v>
      </c>
      <c r="B10" t="inlineStr">
        <is>
          <t>West</t>
        </is>
      </c>
      <c r="C10" t="inlineStr">
        <is>
          <t>Router</t>
        </is>
      </c>
      <c r="D10" s="3" t="n">
        <v>50500</v>
      </c>
      <c r="E10" t="inlineStr">
        <is>
          <t>Apr</t>
        </is>
      </c>
      <c r="G10" t="inlineStr">
        <is>
          <t>Average sale</t>
        </is>
      </c>
      <c r="H10" s="5" t="n"/>
    </row>
    <row r="11">
      <c r="A11" s="9" t="n">
        <v>46140</v>
      </c>
      <c r="B11" t="inlineStr">
        <is>
          <t>West</t>
        </is>
      </c>
      <c r="C11" t="inlineStr">
        <is>
          <t>Printer</t>
        </is>
      </c>
      <c r="D11" s="3" t="n">
        <v>82000</v>
      </c>
      <c r="E11" t="inlineStr">
        <is>
          <t>Apr</t>
        </is>
      </c>
      <c r="G11" t="inlineStr">
        <is>
          <t>Largest sale</t>
        </is>
      </c>
      <c r="H11" s="5" t="n"/>
    </row>
    <row r="12">
      <c r="A12" s="9" t="n">
        <v>46143</v>
      </c>
      <c r="B12" t="inlineStr">
        <is>
          <t>North</t>
        </is>
      </c>
      <c r="C12" t="inlineStr">
        <is>
          <t>UPS</t>
        </is>
      </c>
      <c r="D12" s="3" t="n">
        <v>89500</v>
      </c>
      <c r="E12" t="inlineStr">
        <is>
          <t>May</t>
        </is>
      </c>
      <c r="G12" t="inlineStr">
        <is>
          <t>Smallest sale</t>
        </is>
      </c>
      <c r="H12" s="5" t="n"/>
    </row>
    <row r="13">
      <c r="A13" s="9" t="n">
        <v>46144</v>
      </c>
      <c r="B13" t="inlineStr">
        <is>
          <t>South</t>
        </is>
      </c>
      <c r="C13" t="inlineStr">
        <is>
          <t>Laptop</t>
        </is>
      </c>
      <c r="D13" s="3" t="n">
        <v>46500</v>
      </c>
      <c r="E13" t="inlineStr">
        <is>
          <t>May</t>
        </is>
      </c>
      <c r="G13" t="inlineStr">
        <is>
          <t>Avg West sale, Jun</t>
        </is>
      </c>
      <c r="H13" s="5" t="n"/>
    </row>
    <row r="14">
      <c r="A14" s="9" t="n">
        <v>46146</v>
      </c>
      <c r="B14" t="inlineStr">
        <is>
          <t>South</t>
        </is>
      </c>
      <c r="C14" t="inlineStr">
        <is>
          <t>Monitor</t>
        </is>
      </c>
      <c r="D14" s="3" t="n">
        <v>19500</v>
      </c>
      <c r="E14" t="inlineStr">
        <is>
          <t>May</t>
        </is>
      </c>
    </row>
    <row r="15">
      <c r="A15" s="9" t="n">
        <v>46146</v>
      </c>
      <c r="B15" t="inlineStr">
        <is>
          <t>West</t>
        </is>
      </c>
      <c r="C15" t="inlineStr">
        <is>
          <t>Router</t>
        </is>
      </c>
      <c r="D15" s="3" t="n">
        <v>78000</v>
      </c>
      <c r="E15" t="inlineStr">
        <is>
          <t>May</t>
        </is>
      </c>
    </row>
    <row r="16">
      <c r="A16" s="9" t="n">
        <v>46147</v>
      </c>
      <c r="B16" t="inlineStr">
        <is>
          <t>North</t>
        </is>
      </c>
      <c r="C16" t="inlineStr">
        <is>
          <t>Router</t>
        </is>
      </c>
      <c r="D16" s="3" t="n">
        <v>16500</v>
      </c>
      <c r="E16" t="inlineStr">
        <is>
          <t>May</t>
        </is>
      </c>
    </row>
    <row r="17">
      <c r="A17" s="9" t="n">
        <v>46149</v>
      </c>
      <c r="B17" t="inlineStr">
        <is>
          <t>East</t>
        </is>
      </c>
      <c r="C17" t="inlineStr">
        <is>
          <t>UPS</t>
        </is>
      </c>
      <c r="D17" s="3" t="n">
        <v>89500</v>
      </c>
      <c r="E17" t="inlineStr">
        <is>
          <t>May</t>
        </is>
      </c>
    </row>
    <row r="18">
      <c r="A18" s="9" t="n">
        <v>46150</v>
      </c>
      <c r="B18" t="inlineStr">
        <is>
          <t>North</t>
        </is>
      </c>
      <c r="C18" t="inlineStr">
        <is>
          <t>Laptop</t>
        </is>
      </c>
      <c r="D18" s="3" t="n">
        <v>78500</v>
      </c>
      <c r="E18" t="inlineStr">
        <is>
          <t>May</t>
        </is>
      </c>
    </row>
    <row r="19">
      <c r="A19" s="9" t="n">
        <v>46150</v>
      </c>
      <c r="B19" t="inlineStr">
        <is>
          <t>West</t>
        </is>
      </c>
      <c r="C19" t="inlineStr">
        <is>
          <t>UPS</t>
        </is>
      </c>
      <c r="D19" s="3" t="n">
        <v>65000</v>
      </c>
      <c r="E19" t="inlineStr">
        <is>
          <t>May</t>
        </is>
      </c>
    </row>
    <row r="20">
      <c r="A20" s="9" t="n">
        <v>46166</v>
      </c>
      <c r="B20" t="inlineStr">
        <is>
          <t>North</t>
        </is>
      </c>
      <c r="C20" t="inlineStr">
        <is>
          <t>Router</t>
        </is>
      </c>
      <c r="D20" s="3" t="n">
        <v>41000</v>
      </c>
      <c r="E20" t="inlineStr">
        <is>
          <t>May</t>
        </is>
      </c>
    </row>
    <row r="21">
      <c r="A21" s="9" t="n">
        <v>46169</v>
      </c>
      <c r="B21" t="inlineStr">
        <is>
          <t>East</t>
        </is>
      </c>
      <c r="C21" t="inlineStr">
        <is>
          <t>UPS</t>
        </is>
      </c>
      <c r="D21" s="3" t="n">
        <v>19500</v>
      </c>
      <c r="E21" t="inlineStr">
        <is>
          <t>May</t>
        </is>
      </c>
    </row>
    <row r="22">
      <c r="A22" s="9" t="n">
        <v>46179</v>
      </c>
      <c r="B22" t="inlineStr">
        <is>
          <t>West</t>
        </is>
      </c>
      <c r="C22" t="inlineStr">
        <is>
          <t>Printer</t>
        </is>
      </c>
      <c r="D22" s="3" t="n">
        <v>90000</v>
      </c>
      <c r="E22" t="inlineStr">
        <is>
          <t>Jun</t>
        </is>
      </c>
    </row>
    <row r="23">
      <c r="A23" s="9" t="n">
        <v>46187</v>
      </c>
      <c r="B23" t="inlineStr">
        <is>
          <t>North</t>
        </is>
      </c>
      <c r="C23" t="inlineStr">
        <is>
          <t>Router</t>
        </is>
      </c>
      <c r="D23" s="3" t="n">
        <v>32500</v>
      </c>
      <c r="E23" t="inlineStr">
        <is>
          <t>Jun</t>
        </is>
      </c>
    </row>
    <row r="24">
      <c r="A24" s="9" t="n">
        <v>46188</v>
      </c>
      <c r="B24" t="inlineStr">
        <is>
          <t>South</t>
        </is>
      </c>
      <c r="C24" t="inlineStr">
        <is>
          <t>UPS</t>
        </is>
      </c>
      <c r="D24" s="3" t="n">
        <v>60500</v>
      </c>
      <c r="E24" t="inlineStr">
        <is>
          <t>Jun</t>
        </is>
      </c>
    </row>
    <row r="25">
      <c r="A25" s="9" t="n">
        <v>46189</v>
      </c>
      <c r="B25" t="inlineStr">
        <is>
          <t>West</t>
        </is>
      </c>
      <c r="C25" t="inlineStr">
        <is>
          <t>UPS</t>
        </is>
      </c>
      <c r="D25" s="3" t="n">
        <v>60500</v>
      </c>
      <c r="E25" t="inlineStr">
        <is>
          <t>Jun</t>
        </is>
      </c>
    </row>
    <row r="26">
      <c r="A26" s="9" t="n">
        <v>46191</v>
      </c>
      <c r="B26" t="inlineStr">
        <is>
          <t>West</t>
        </is>
      </c>
      <c r="C26" t="inlineStr">
        <is>
          <t>Monitor</t>
        </is>
      </c>
      <c r="D26" s="3" t="n">
        <v>25500</v>
      </c>
      <c r="E26" t="inlineStr">
        <is>
          <t>Jun</t>
        </is>
      </c>
    </row>
    <row r="27">
      <c r="A27" s="9" t="n">
        <v>46195</v>
      </c>
      <c r="B27" t="inlineStr">
        <is>
          <t>West</t>
        </is>
      </c>
      <c r="C27" t="inlineStr">
        <is>
          <t>UPS</t>
        </is>
      </c>
      <c r="D27" s="3" t="n">
        <v>88500</v>
      </c>
      <c r="E27" t="inlineStr">
        <is>
          <t>Jun</t>
        </is>
      </c>
    </row>
    <row r="28">
      <c r="A28" s="9" t="n">
        <v>46196</v>
      </c>
      <c r="B28" t="inlineStr">
        <is>
          <t>West</t>
        </is>
      </c>
      <c r="C28" t="inlineStr">
        <is>
          <t>UPS</t>
        </is>
      </c>
      <c r="D28" s="3" t="n">
        <v>74500</v>
      </c>
      <c r="E28" t="inlineStr">
        <is>
          <t>Jun</t>
        </is>
      </c>
    </row>
    <row r="29">
      <c r="A29" s="9" t="n">
        <v>46197</v>
      </c>
      <c r="B29" t="inlineStr">
        <is>
          <t>East</t>
        </is>
      </c>
      <c r="C29" t="inlineStr">
        <is>
          <t>Monitor</t>
        </is>
      </c>
      <c r="D29" s="3" t="n">
        <v>69000</v>
      </c>
      <c r="E29" t="inlineStr">
        <is>
          <t>Jun</t>
        </is>
      </c>
    </row>
    <row r="30">
      <c r="A30" s="9" t="n">
        <v>46198</v>
      </c>
      <c r="B30" t="inlineStr">
        <is>
          <t>West</t>
        </is>
      </c>
      <c r="C30" t="inlineStr">
        <is>
          <t>Monitor</t>
        </is>
      </c>
      <c r="D30" s="3" t="n">
        <v>35000</v>
      </c>
      <c r="E30" t="inlineStr">
        <is>
          <t>Jun</t>
        </is>
      </c>
    </row>
    <row r="31">
      <c r="A31" s="9" t="n">
        <v>46200</v>
      </c>
      <c r="B31" t="inlineStr">
        <is>
          <t>North</t>
        </is>
      </c>
      <c r="C31" t="inlineStr">
        <is>
          <t>Monitor</t>
        </is>
      </c>
      <c r="D31" s="3" t="n">
        <v>33000</v>
      </c>
      <c r="E31" t="inlineStr">
        <is>
          <t>Jun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7" customWidth="1" min="5" max="5"/>
    <col width="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Product</t>
        </is>
      </c>
      <c r="D1" s="2" t="inlineStr">
        <is>
          <t>Amount (₹)</t>
        </is>
      </c>
      <c r="E1" s="2" t="inlineStr">
        <is>
          <t>Month</t>
        </is>
      </c>
      <c r="G1" s="7" t="inlineStr">
        <is>
          <t>Region</t>
        </is>
      </c>
      <c r="H1" s="7" t="inlineStr">
        <is>
          <t>Apr</t>
        </is>
      </c>
      <c r="I1" s="7" t="inlineStr">
        <is>
          <t>May</t>
        </is>
      </c>
      <c r="J1" s="7" t="inlineStr">
        <is>
          <t>Jun</t>
        </is>
      </c>
      <c r="K1" s="7" t="inlineStr">
        <is>
          <t>Total</t>
        </is>
      </c>
    </row>
    <row r="2">
      <c r="A2" s="9" t="n">
        <v>46116</v>
      </c>
      <c r="B2" t="inlineStr">
        <is>
          <t>North</t>
        </is>
      </c>
      <c r="C2" t="inlineStr">
        <is>
          <t>Printer</t>
        </is>
      </c>
      <c r="D2" s="3" t="n">
        <v>67000</v>
      </c>
      <c r="E2" t="inlineStr">
        <is>
          <t>Apr</t>
        </is>
      </c>
      <c r="G2" t="inlineStr">
        <is>
          <t>North</t>
        </is>
      </c>
      <c r="H2" s="5">
        <f>SUMIFS($D$2:$D$31,$B$2:$B$31,$G2,$E$2:$E$31,H$1)</f>
        <v/>
      </c>
      <c r="I2" s="5">
        <f>SUMIFS($D$2:$D$31,$B$2:$B$31,$G2,$E$2:$E$31,I$1)</f>
        <v/>
      </c>
      <c r="J2" s="5">
        <f>SUMIFS($D$2:$D$31,$B$2:$B$31,$G2,$E$2:$E$31,J$1)</f>
        <v/>
      </c>
      <c r="K2" s="5">
        <f>SUMIF($B$2:$B$31,G2,$D$2:$D$31)</f>
        <v/>
      </c>
    </row>
    <row r="3">
      <c r="A3" s="9" t="n">
        <v>46117</v>
      </c>
      <c r="B3" t="inlineStr">
        <is>
          <t>West</t>
        </is>
      </c>
      <c r="C3" t="inlineStr">
        <is>
          <t>Laptop</t>
        </is>
      </c>
      <c r="D3" s="3" t="n">
        <v>73000</v>
      </c>
      <c r="E3" t="inlineStr">
        <is>
          <t>Apr</t>
        </is>
      </c>
      <c r="G3" t="inlineStr">
        <is>
          <t>South</t>
        </is>
      </c>
      <c r="H3" s="5">
        <f>SUMIFS($D$2:$D$31,$B$2:$B$31,$G3,$E$2:$E$31,H$1)</f>
        <v/>
      </c>
      <c r="I3" s="5">
        <f>SUMIFS($D$2:$D$31,$B$2:$B$31,$G3,$E$2:$E$31,I$1)</f>
        <v/>
      </c>
      <c r="J3" s="5">
        <f>SUMIFS($D$2:$D$31,$B$2:$B$31,$G3,$E$2:$E$31,J$1)</f>
        <v/>
      </c>
      <c r="K3" s="5">
        <f>SUMIF($B$2:$B$31,G3,$D$2:$D$31)</f>
        <v/>
      </c>
    </row>
    <row r="4">
      <c r="A4" s="9" t="n">
        <v>46118</v>
      </c>
      <c r="B4" t="inlineStr">
        <is>
          <t>West</t>
        </is>
      </c>
      <c r="C4" t="inlineStr">
        <is>
          <t>Printer</t>
        </is>
      </c>
      <c r="D4" s="3" t="n">
        <v>47000</v>
      </c>
      <c r="E4" t="inlineStr">
        <is>
          <t>Apr</t>
        </is>
      </c>
      <c r="G4" t="inlineStr">
        <is>
          <t>East</t>
        </is>
      </c>
      <c r="H4" s="5">
        <f>SUMIFS($D$2:$D$31,$B$2:$B$31,$G4,$E$2:$E$31,H$1)</f>
        <v/>
      </c>
      <c r="I4" s="5">
        <f>SUMIFS($D$2:$D$31,$B$2:$B$31,$G4,$E$2:$E$31,I$1)</f>
        <v/>
      </c>
      <c r="J4" s="5">
        <f>SUMIFS($D$2:$D$31,$B$2:$B$31,$G4,$E$2:$E$31,J$1)</f>
        <v/>
      </c>
      <c r="K4" s="5">
        <f>SUMIF($B$2:$B$31,G4,$D$2:$D$31)</f>
        <v/>
      </c>
    </row>
    <row r="5">
      <c r="A5" s="9" t="n">
        <v>46124</v>
      </c>
      <c r="B5" t="inlineStr">
        <is>
          <t>North</t>
        </is>
      </c>
      <c r="C5" t="inlineStr">
        <is>
          <t>Router</t>
        </is>
      </c>
      <c r="D5" s="3" t="n">
        <v>61500</v>
      </c>
      <c r="E5" t="inlineStr">
        <is>
          <t>Apr</t>
        </is>
      </c>
      <c r="G5" t="inlineStr">
        <is>
          <t>West</t>
        </is>
      </c>
      <c r="H5" s="5">
        <f>SUMIFS($D$2:$D$31,$B$2:$B$31,$G5,$E$2:$E$31,H$1)</f>
        <v/>
      </c>
      <c r="I5" s="5">
        <f>SUMIFS($D$2:$D$31,$B$2:$B$31,$G5,$E$2:$E$31,I$1)</f>
        <v/>
      </c>
      <c r="J5" s="5">
        <f>SUMIFS($D$2:$D$31,$B$2:$B$31,$G5,$E$2:$E$31,J$1)</f>
        <v/>
      </c>
      <c r="K5" s="5">
        <f>SUMIF($B$2:$B$31,G5,$D$2:$D$31)</f>
        <v/>
      </c>
    </row>
    <row r="6">
      <c r="A6" s="9" t="n">
        <v>46124</v>
      </c>
      <c r="B6" t="inlineStr">
        <is>
          <t>North</t>
        </is>
      </c>
      <c r="C6" t="inlineStr">
        <is>
          <t>Laptop</t>
        </is>
      </c>
      <c r="D6" s="3" t="n">
        <v>69000</v>
      </c>
      <c r="E6" t="inlineStr">
        <is>
          <t>Apr</t>
        </is>
      </c>
    </row>
    <row r="7">
      <c r="A7" s="9" t="n">
        <v>46128</v>
      </c>
      <c r="B7" t="inlineStr">
        <is>
          <t>South</t>
        </is>
      </c>
      <c r="C7" t="inlineStr">
        <is>
          <t>Router</t>
        </is>
      </c>
      <c r="D7" s="3" t="n">
        <v>23500</v>
      </c>
      <c r="E7" t="inlineStr">
        <is>
          <t>Apr</t>
        </is>
      </c>
    </row>
    <row r="8">
      <c r="A8" s="9" t="n">
        <v>46129</v>
      </c>
      <c r="B8" t="inlineStr">
        <is>
          <t>North</t>
        </is>
      </c>
      <c r="C8" t="inlineStr">
        <is>
          <t>UPS</t>
        </is>
      </c>
      <c r="D8" s="3" t="n">
        <v>74500</v>
      </c>
      <c r="E8" t="inlineStr">
        <is>
          <t>Apr</t>
        </is>
      </c>
      <c r="G8" s="10" t="inlineStr">
        <is>
          <t>Region</t>
        </is>
      </c>
      <c r="H8" s="4" t="inlineStr">
        <is>
          <t>South</t>
        </is>
      </c>
    </row>
    <row r="9">
      <c r="A9" s="9" t="n">
        <v>46134</v>
      </c>
      <c r="B9" t="inlineStr">
        <is>
          <t>West</t>
        </is>
      </c>
      <c r="C9" t="inlineStr">
        <is>
          <t>Router</t>
        </is>
      </c>
      <c r="D9" s="3" t="n">
        <v>82000</v>
      </c>
      <c r="E9" t="inlineStr">
        <is>
          <t>Apr</t>
        </is>
      </c>
      <c r="G9" t="inlineStr">
        <is>
          <t>Total sales</t>
        </is>
      </c>
      <c r="H9" s="5">
        <f>SUMIF(B2:B31,H8,D2:D31)</f>
        <v/>
      </c>
    </row>
    <row r="10">
      <c r="A10" s="9" t="n">
        <v>46134</v>
      </c>
      <c r="B10" t="inlineStr">
        <is>
          <t>West</t>
        </is>
      </c>
      <c r="C10" t="inlineStr">
        <is>
          <t>Router</t>
        </is>
      </c>
      <c r="D10" s="3" t="n">
        <v>50500</v>
      </c>
      <c r="E10" t="inlineStr">
        <is>
          <t>Apr</t>
        </is>
      </c>
      <c r="G10" t="inlineStr">
        <is>
          <t>Average sale</t>
        </is>
      </c>
      <c r="H10" s="5">
        <f>AVERAGEIFS(D2:D31,B2:B31,H8)</f>
        <v/>
      </c>
    </row>
    <row r="11">
      <c r="A11" s="9" t="n">
        <v>46140</v>
      </c>
      <c r="B11" t="inlineStr">
        <is>
          <t>West</t>
        </is>
      </c>
      <c r="C11" t="inlineStr">
        <is>
          <t>Printer</t>
        </is>
      </c>
      <c r="D11" s="3" t="n">
        <v>82000</v>
      </c>
      <c r="E11" t="inlineStr">
        <is>
          <t>Apr</t>
        </is>
      </c>
      <c r="G11" t="inlineStr">
        <is>
          <t>Largest sale</t>
        </is>
      </c>
      <c r="H11" s="5">
        <f>_xlfn.MAXIFS(D2:D31,B2:B31,H8)</f>
        <v/>
      </c>
    </row>
    <row r="12">
      <c r="A12" s="9" t="n">
        <v>46143</v>
      </c>
      <c r="B12" t="inlineStr">
        <is>
          <t>North</t>
        </is>
      </c>
      <c r="C12" t="inlineStr">
        <is>
          <t>UPS</t>
        </is>
      </c>
      <c r="D12" s="3" t="n">
        <v>89500</v>
      </c>
      <c r="E12" t="inlineStr">
        <is>
          <t>May</t>
        </is>
      </c>
      <c r="G12" t="inlineStr">
        <is>
          <t>Smallest sale</t>
        </is>
      </c>
      <c r="H12" s="5">
        <f>_xlfn.MINIFS(D2:D31,B2:B31,H8)</f>
        <v/>
      </c>
    </row>
    <row r="13">
      <c r="A13" s="9" t="n">
        <v>46144</v>
      </c>
      <c r="B13" t="inlineStr">
        <is>
          <t>South</t>
        </is>
      </c>
      <c r="C13" t="inlineStr">
        <is>
          <t>Laptop</t>
        </is>
      </c>
      <c r="D13" s="3" t="n">
        <v>46500</v>
      </c>
      <c r="E13" t="inlineStr">
        <is>
          <t>May</t>
        </is>
      </c>
      <c r="G13" t="inlineStr">
        <is>
          <t>Avg West sale, Jun</t>
        </is>
      </c>
      <c r="H13" s="5">
        <f>AVERAGEIFS(D2:D31,B2:B31,"West",E2:E31,"Jun")</f>
        <v/>
      </c>
    </row>
    <row r="14">
      <c r="A14" s="9" t="n">
        <v>46146</v>
      </c>
      <c r="B14" t="inlineStr">
        <is>
          <t>South</t>
        </is>
      </c>
      <c r="C14" t="inlineStr">
        <is>
          <t>Monitor</t>
        </is>
      </c>
      <c r="D14" s="3" t="n">
        <v>19500</v>
      </c>
      <c r="E14" t="inlineStr">
        <is>
          <t>May</t>
        </is>
      </c>
    </row>
    <row r="15">
      <c r="A15" s="9" t="n">
        <v>46146</v>
      </c>
      <c r="B15" t="inlineStr">
        <is>
          <t>West</t>
        </is>
      </c>
      <c r="C15" t="inlineStr">
        <is>
          <t>Router</t>
        </is>
      </c>
      <c r="D15" s="3" t="n">
        <v>78000</v>
      </c>
      <c r="E15" t="inlineStr">
        <is>
          <t>May</t>
        </is>
      </c>
    </row>
    <row r="16">
      <c r="A16" s="9" t="n">
        <v>46147</v>
      </c>
      <c r="B16" t="inlineStr">
        <is>
          <t>North</t>
        </is>
      </c>
      <c r="C16" t="inlineStr">
        <is>
          <t>Router</t>
        </is>
      </c>
      <c r="D16" s="3" t="n">
        <v>16500</v>
      </c>
      <c r="E16" t="inlineStr">
        <is>
          <t>May</t>
        </is>
      </c>
    </row>
    <row r="17">
      <c r="A17" s="9" t="n">
        <v>46149</v>
      </c>
      <c r="B17" t="inlineStr">
        <is>
          <t>East</t>
        </is>
      </c>
      <c r="C17" t="inlineStr">
        <is>
          <t>UPS</t>
        </is>
      </c>
      <c r="D17" s="3" t="n">
        <v>89500</v>
      </c>
      <c r="E17" t="inlineStr">
        <is>
          <t>May</t>
        </is>
      </c>
    </row>
    <row r="18">
      <c r="A18" s="9" t="n">
        <v>46150</v>
      </c>
      <c r="B18" t="inlineStr">
        <is>
          <t>North</t>
        </is>
      </c>
      <c r="C18" t="inlineStr">
        <is>
          <t>Laptop</t>
        </is>
      </c>
      <c r="D18" s="3" t="n">
        <v>78500</v>
      </c>
      <c r="E18" t="inlineStr">
        <is>
          <t>May</t>
        </is>
      </c>
    </row>
    <row r="19">
      <c r="A19" s="9" t="n">
        <v>46150</v>
      </c>
      <c r="B19" t="inlineStr">
        <is>
          <t>West</t>
        </is>
      </c>
      <c r="C19" t="inlineStr">
        <is>
          <t>UPS</t>
        </is>
      </c>
      <c r="D19" s="3" t="n">
        <v>65000</v>
      </c>
      <c r="E19" t="inlineStr">
        <is>
          <t>May</t>
        </is>
      </c>
    </row>
    <row r="20">
      <c r="A20" s="9" t="n">
        <v>46166</v>
      </c>
      <c r="B20" t="inlineStr">
        <is>
          <t>North</t>
        </is>
      </c>
      <c r="C20" t="inlineStr">
        <is>
          <t>Router</t>
        </is>
      </c>
      <c r="D20" s="3" t="n">
        <v>41000</v>
      </c>
      <c r="E20" t="inlineStr">
        <is>
          <t>May</t>
        </is>
      </c>
    </row>
    <row r="21">
      <c r="A21" s="9" t="n">
        <v>46169</v>
      </c>
      <c r="B21" t="inlineStr">
        <is>
          <t>East</t>
        </is>
      </c>
      <c r="C21" t="inlineStr">
        <is>
          <t>UPS</t>
        </is>
      </c>
      <c r="D21" s="3" t="n">
        <v>19500</v>
      </c>
      <c r="E21" t="inlineStr">
        <is>
          <t>May</t>
        </is>
      </c>
    </row>
    <row r="22">
      <c r="A22" s="9" t="n">
        <v>46179</v>
      </c>
      <c r="B22" t="inlineStr">
        <is>
          <t>West</t>
        </is>
      </c>
      <c r="C22" t="inlineStr">
        <is>
          <t>Printer</t>
        </is>
      </c>
      <c r="D22" s="3" t="n">
        <v>90000</v>
      </c>
      <c r="E22" t="inlineStr">
        <is>
          <t>Jun</t>
        </is>
      </c>
    </row>
    <row r="23">
      <c r="A23" s="9" t="n">
        <v>46187</v>
      </c>
      <c r="B23" t="inlineStr">
        <is>
          <t>North</t>
        </is>
      </c>
      <c r="C23" t="inlineStr">
        <is>
          <t>Router</t>
        </is>
      </c>
      <c r="D23" s="3" t="n">
        <v>32500</v>
      </c>
      <c r="E23" t="inlineStr">
        <is>
          <t>Jun</t>
        </is>
      </c>
    </row>
    <row r="24">
      <c r="A24" s="9" t="n">
        <v>46188</v>
      </c>
      <c r="B24" t="inlineStr">
        <is>
          <t>South</t>
        </is>
      </c>
      <c r="C24" t="inlineStr">
        <is>
          <t>UPS</t>
        </is>
      </c>
      <c r="D24" s="3" t="n">
        <v>60500</v>
      </c>
      <c r="E24" t="inlineStr">
        <is>
          <t>Jun</t>
        </is>
      </c>
    </row>
    <row r="25">
      <c r="A25" s="9" t="n">
        <v>46189</v>
      </c>
      <c r="B25" t="inlineStr">
        <is>
          <t>West</t>
        </is>
      </c>
      <c r="C25" t="inlineStr">
        <is>
          <t>UPS</t>
        </is>
      </c>
      <c r="D25" s="3" t="n">
        <v>60500</v>
      </c>
      <c r="E25" t="inlineStr">
        <is>
          <t>Jun</t>
        </is>
      </c>
    </row>
    <row r="26">
      <c r="A26" s="9" t="n">
        <v>46191</v>
      </c>
      <c r="B26" t="inlineStr">
        <is>
          <t>West</t>
        </is>
      </c>
      <c r="C26" t="inlineStr">
        <is>
          <t>Monitor</t>
        </is>
      </c>
      <c r="D26" s="3" t="n">
        <v>25500</v>
      </c>
      <c r="E26" t="inlineStr">
        <is>
          <t>Jun</t>
        </is>
      </c>
    </row>
    <row r="27">
      <c r="A27" s="9" t="n">
        <v>46195</v>
      </c>
      <c r="B27" t="inlineStr">
        <is>
          <t>West</t>
        </is>
      </c>
      <c r="C27" t="inlineStr">
        <is>
          <t>UPS</t>
        </is>
      </c>
      <c r="D27" s="3" t="n">
        <v>88500</v>
      </c>
      <c r="E27" t="inlineStr">
        <is>
          <t>Jun</t>
        </is>
      </c>
    </row>
    <row r="28">
      <c r="A28" s="9" t="n">
        <v>46196</v>
      </c>
      <c r="B28" t="inlineStr">
        <is>
          <t>West</t>
        </is>
      </c>
      <c r="C28" t="inlineStr">
        <is>
          <t>UPS</t>
        </is>
      </c>
      <c r="D28" s="3" t="n">
        <v>74500</v>
      </c>
      <c r="E28" t="inlineStr">
        <is>
          <t>Jun</t>
        </is>
      </c>
    </row>
    <row r="29">
      <c r="A29" s="9" t="n">
        <v>46197</v>
      </c>
      <c r="B29" t="inlineStr">
        <is>
          <t>East</t>
        </is>
      </c>
      <c r="C29" t="inlineStr">
        <is>
          <t>Monitor</t>
        </is>
      </c>
      <c r="D29" s="3" t="n">
        <v>69000</v>
      </c>
      <c r="E29" t="inlineStr">
        <is>
          <t>Jun</t>
        </is>
      </c>
    </row>
    <row r="30">
      <c r="A30" s="9" t="n">
        <v>46198</v>
      </c>
      <c r="B30" t="inlineStr">
        <is>
          <t>West</t>
        </is>
      </c>
      <c r="C30" t="inlineStr">
        <is>
          <t>Monitor</t>
        </is>
      </c>
      <c r="D30" s="3" t="n">
        <v>35000</v>
      </c>
      <c r="E30" t="inlineStr">
        <is>
          <t>Jun</t>
        </is>
      </c>
    </row>
    <row r="31">
      <c r="A31" s="9" t="n">
        <v>46200</v>
      </c>
      <c r="B31" t="inlineStr">
        <is>
          <t>North</t>
        </is>
      </c>
      <c r="C31" t="inlineStr">
        <is>
          <t>Monitor</t>
        </is>
      </c>
      <c r="D31" s="3" t="n">
        <v>33000</v>
      </c>
      <c r="E31" t="inlineStr">
        <is>
          <t>Jun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15" customWidth="1" min="4" max="4"/>
    <col width="3" customWidth="1" min="5" max="5"/>
    <col width="27" customWidth="1" min="6" max="6"/>
    <col width="13" customWidth="1" min="7" max="7"/>
  </cols>
  <sheetData>
    <row r="1">
      <c r="A1" s="2" t="inlineStr">
        <is>
          <t>Product</t>
        </is>
      </c>
      <c r="B1" s="2" t="inlineStr">
        <is>
          <t>Region</t>
        </is>
      </c>
      <c r="C1" s="2" t="inlineStr">
        <is>
          <t>Qty</t>
        </is>
      </c>
      <c r="D1" s="2" t="inlineStr">
        <is>
          <t>Price per unit (₹)</t>
        </is>
      </c>
      <c r="F1" s="7" t="inlineStr">
        <is>
          <t>Measure</t>
        </is>
      </c>
      <c r="G1" s="7" t="inlineStr">
        <is>
          <t>Result</t>
        </is>
      </c>
    </row>
    <row r="2">
      <c r="A2" t="inlineStr">
        <is>
          <t>A4 paper ream</t>
        </is>
      </c>
      <c r="B2" t="inlineStr">
        <is>
          <t>North</t>
        </is>
      </c>
      <c r="C2" t="n">
        <v>120</v>
      </c>
      <c r="D2" s="3" t="n">
        <v>285</v>
      </c>
      <c r="F2" t="inlineStr">
        <is>
          <t>Total revenue (₹)</t>
        </is>
      </c>
      <c r="G2" s="5" t="n"/>
    </row>
    <row r="3">
      <c r="A3" t="inlineStr">
        <is>
          <t>Stapler</t>
        </is>
      </c>
      <c r="B3" t="inlineStr">
        <is>
          <t>South</t>
        </is>
      </c>
      <c r="C3" t="n">
        <v>40</v>
      </c>
      <c r="D3" s="3" t="n">
        <v>180</v>
      </c>
      <c r="F3" t="inlineStr">
        <is>
          <t>Simple average price (₹)</t>
        </is>
      </c>
      <c r="G3" s="5" t="n"/>
    </row>
    <row r="4">
      <c r="A4" t="inlineStr">
        <is>
          <t>Whiteboard markers (box)</t>
        </is>
      </c>
      <c r="B4" t="inlineStr">
        <is>
          <t>North</t>
        </is>
      </c>
      <c r="C4" t="n">
        <v>60</v>
      </c>
      <c r="D4" s="3" t="n">
        <v>240</v>
      </c>
      <c r="F4" t="inlineStr">
        <is>
          <t>Weighted average price (₹)</t>
        </is>
      </c>
      <c r="G4" s="5" t="n"/>
    </row>
    <row r="5">
      <c r="A5" t="inlineStr">
        <is>
          <t>Office chair</t>
        </is>
      </c>
      <c r="B5" t="inlineStr">
        <is>
          <t>West</t>
        </is>
      </c>
      <c r="C5" t="n">
        <v>8</v>
      </c>
      <c r="D5" s="3" t="n">
        <v>7450</v>
      </c>
      <c r="F5" t="inlineStr">
        <is>
          <t>North revenue (₹)</t>
        </is>
      </c>
      <c r="G5" s="5" t="n"/>
    </row>
    <row r="6">
      <c r="A6" t="inlineStr">
        <is>
          <t>Printer toner</t>
        </is>
      </c>
      <c r="B6" t="inlineStr">
        <is>
          <t>North</t>
        </is>
      </c>
      <c r="C6" t="n">
        <v>15</v>
      </c>
      <c r="D6" s="3" t="n">
        <v>3250</v>
      </c>
      <c r="F6" t="inlineStr">
        <is>
          <t>Is row 2 North?</t>
        </is>
      </c>
      <c r="G6" s="4" t="n"/>
    </row>
    <row r="7">
      <c r="A7" t="inlineStr">
        <is>
          <t>Desk lamp</t>
        </is>
      </c>
      <c r="B7" t="inlineStr">
        <is>
          <t>East</t>
        </is>
      </c>
      <c r="C7" t="n">
        <v>22</v>
      </c>
      <c r="D7" s="3" t="n">
        <v>990</v>
      </c>
      <c r="F7" t="inlineStr">
        <is>
          <t>TRUE as a number</t>
        </is>
      </c>
      <c r="G7" s="4" t="n"/>
    </row>
    <row r="8">
      <c r="A8" t="inlineStr">
        <is>
          <t>File folders (pack)</t>
        </is>
      </c>
      <c r="B8" t="inlineStr">
        <is>
          <t>South</t>
        </is>
      </c>
      <c r="C8" t="n">
        <v>75</v>
      </c>
      <c r="D8" s="3" t="n">
        <v>160</v>
      </c>
      <c r="F8" t="inlineStr">
        <is>
          <t>North revenue, qty 50+ (₹)</t>
        </is>
      </c>
      <c r="G8" s="5" t="n"/>
    </row>
    <row r="9">
      <c r="A9" t="inlineStr">
        <is>
          <t>Wireless mouse</t>
        </is>
      </c>
      <c r="B9" t="inlineStr">
        <is>
          <t>North</t>
        </is>
      </c>
      <c r="C9" t="n">
        <v>35</v>
      </c>
      <c r="D9" s="3" t="n">
        <v>649</v>
      </c>
    </row>
    <row r="10">
      <c r="A10" t="inlineStr">
        <is>
          <t>Notebooks (pack of 5)</t>
        </is>
      </c>
      <c r="B10" t="inlineStr">
        <is>
          <t>West</t>
        </is>
      </c>
      <c r="C10" t="n">
        <v>90</v>
      </c>
      <c r="D10" s="3" t="n">
        <v>225</v>
      </c>
    </row>
    <row r="11">
      <c r="A11" t="inlineStr">
        <is>
          <t>Calculator</t>
        </is>
      </c>
      <c r="B11" t="inlineStr">
        <is>
          <t>East</t>
        </is>
      </c>
      <c r="C11" t="n">
        <v>18</v>
      </c>
      <c r="D11" s="3" t="n">
        <v>540</v>
      </c>
    </row>
    <row r="12">
      <c r="A12" t="inlineStr">
        <is>
          <t>Extension board</t>
        </is>
      </c>
      <c r="B12" t="inlineStr">
        <is>
          <t>North</t>
        </is>
      </c>
      <c r="C12" t="n">
        <v>55</v>
      </c>
      <c r="D12" s="3" t="n">
        <v>420</v>
      </c>
    </row>
    <row r="13">
      <c r="A13" t="inlineStr">
        <is>
          <t>Water bottle</t>
        </is>
      </c>
      <c r="B13" t="inlineStr">
        <is>
          <t>South</t>
        </is>
      </c>
      <c r="C13" t="n">
        <v>64</v>
      </c>
      <c r="D13" s="3" t="n">
        <v>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15" customWidth="1" min="4" max="4"/>
    <col width="3" customWidth="1" min="5" max="5"/>
    <col width="27" customWidth="1" min="6" max="6"/>
    <col width="13" customWidth="1" min="7" max="7"/>
  </cols>
  <sheetData>
    <row r="1">
      <c r="A1" s="2" t="inlineStr">
        <is>
          <t>Product</t>
        </is>
      </c>
      <c r="B1" s="2" t="inlineStr">
        <is>
          <t>Region</t>
        </is>
      </c>
      <c r="C1" s="2" t="inlineStr">
        <is>
          <t>Qty</t>
        </is>
      </c>
      <c r="D1" s="2" t="inlineStr">
        <is>
          <t>Price per unit (₹)</t>
        </is>
      </c>
      <c r="F1" s="7" t="inlineStr">
        <is>
          <t>Measure</t>
        </is>
      </c>
      <c r="G1" s="7" t="inlineStr">
        <is>
          <t>Result</t>
        </is>
      </c>
    </row>
    <row r="2">
      <c r="A2" t="inlineStr">
        <is>
          <t>A4 paper ream</t>
        </is>
      </c>
      <c r="B2" t="inlineStr">
        <is>
          <t>North</t>
        </is>
      </c>
      <c r="C2" t="n">
        <v>120</v>
      </c>
      <c r="D2" s="3" t="n">
        <v>285</v>
      </c>
      <c r="F2" t="inlineStr">
        <is>
          <t>Total revenue (₹)</t>
        </is>
      </c>
      <c r="G2" s="5">
        <f>SUMPRODUCT(C2:C13,D2:D13)</f>
        <v/>
      </c>
    </row>
    <row r="3">
      <c r="A3" t="inlineStr">
        <is>
          <t>Stapler</t>
        </is>
      </c>
      <c r="B3" t="inlineStr">
        <is>
          <t>South</t>
        </is>
      </c>
      <c r="C3" t="n">
        <v>40</v>
      </c>
      <c r="D3" s="3" t="n">
        <v>180</v>
      </c>
      <c r="F3" t="inlineStr">
        <is>
          <t>Simple average price (₹)</t>
        </is>
      </c>
      <c r="G3" s="5">
        <f>AVERAGE(D2:D13)</f>
        <v/>
      </c>
    </row>
    <row r="4">
      <c r="A4" t="inlineStr">
        <is>
          <t>Whiteboard markers (box)</t>
        </is>
      </c>
      <c r="B4" t="inlineStr">
        <is>
          <t>North</t>
        </is>
      </c>
      <c r="C4" t="n">
        <v>60</v>
      </c>
      <c r="D4" s="3" t="n">
        <v>240</v>
      </c>
      <c r="F4" t="inlineStr">
        <is>
          <t>Weighted average price (₹)</t>
        </is>
      </c>
      <c r="G4" s="5">
        <f>SUMPRODUCT(C2:C13,D2:D13)/SUM(C2:C13)</f>
        <v/>
      </c>
    </row>
    <row r="5">
      <c r="A5" t="inlineStr">
        <is>
          <t>Office chair</t>
        </is>
      </c>
      <c r="B5" t="inlineStr">
        <is>
          <t>West</t>
        </is>
      </c>
      <c r="C5" t="n">
        <v>8</v>
      </c>
      <c r="D5" s="3" t="n">
        <v>7450</v>
      </c>
      <c r="F5" t="inlineStr">
        <is>
          <t>North revenue (₹)</t>
        </is>
      </c>
      <c r="G5" s="5">
        <f>SUMPRODUCT((B2:B13="North")*C2:C13*D2:D13)</f>
        <v/>
      </c>
    </row>
    <row r="6">
      <c r="A6" t="inlineStr">
        <is>
          <t>Printer toner</t>
        </is>
      </c>
      <c r="B6" t="inlineStr">
        <is>
          <t>North</t>
        </is>
      </c>
      <c r="C6" t="n">
        <v>15</v>
      </c>
      <c r="D6" s="3" t="n">
        <v>3250</v>
      </c>
      <c r="F6" t="inlineStr">
        <is>
          <t>Is row 2 North?</t>
        </is>
      </c>
      <c r="G6" s="4">
        <f>B2="North"</f>
        <v/>
      </c>
    </row>
    <row r="7">
      <c r="A7" t="inlineStr">
        <is>
          <t>Desk lamp</t>
        </is>
      </c>
      <c r="B7" t="inlineStr">
        <is>
          <t>East</t>
        </is>
      </c>
      <c r="C7" t="n">
        <v>22</v>
      </c>
      <c r="D7" s="3" t="n">
        <v>990</v>
      </c>
      <c r="F7" t="inlineStr">
        <is>
          <t>TRUE as a number</t>
        </is>
      </c>
      <c r="G7" s="4">
        <f>(B2="North")*1</f>
        <v/>
      </c>
    </row>
    <row r="8">
      <c r="A8" t="inlineStr">
        <is>
          <t>File folders (pack)</t>
        </is>
      </c>
      <c r="B8" t="inlineStr">
        <is>
          <t>South</t>
        </is>
      </c>
      <c r="C8" t="n">
        <v>75</v>
      </c>
      <c r="D8" s="3" t="n">
        <v>160</v>
      </c>
      <c r="F8" t="inlineStr">
        <is>
          <t>North revenue, qty 50+ (₹)</t>
        </is>
      </c>
      <c r="G8" s="5">
        <f>SUMPRODUCT((B2:B13="North")*(C2:C13&gt;=50)*C2:C13*D2:D13)</f>
        <v/>
      </c>
    </row>
    <row r="9">
      <c r="A9" t="inlineStr">
        <is>
          <t>Wireless mouse</t>
        </is>
      </c>
      <c r="B9" t="inlineStr">
        <is>
          <t>North</t>
        </is>
      </c>
      <c r="C9" t="n">
        <v>35</v>
      </c>
      <c r="D9" s="3" t="n">
        <v>649</v>
      </c>
    </row>
    <row r="10">
      <c r="A10" t="inlineStr">
        <is>
          <t>Notebooks (pack of 5)</t>
        </is>
      </c>
      <c r="B10" t="inlineStr">
        <is>
          <t>West</t>
        </is>
      </c>
      <c r="C10" t="n">
        <v>90</v>
      </c>
      <c r="D10" s="3" t="n">
        <v>225</v>
      </c>
    </row>
    <row r="11">
      <c r="A11" t="inlineStr">
        <is>
          <t>Calculator</t>
        </is>
      </c>
      <c r="B11" t="inlineStr">
        <is>
          <t>East</t>
        </is>
      </c>
      <c r="C11" t="n">
        <v>18</v>
      </c>
      <c r="D11" s="3" t="n">
        <v>540</v>
      </c>
    </row>
    <row r="12">
      <c r="A12" t="inlineStr">
        <is>
          <t>Extension board</t>
        </is>
      </c>
      <c r="B12" t="inlineStr">
        <is>
          <t>North</t>
        </is>
      </c>
      <c r="C12" t="n">
        <v>55</v>
      </c>
      <c r="D12" s="3" t="n">
        <v>420</v>
      </c>
    </row>
    <row r="13">
      <c r="A13" t="inlineStr">
        <is>
          <t>Water bottle</t>
        </is>
      </c>
      <c r="B13" t="inlineStr">
        <is>
          <t>South</t>
        </is>
      </c>
      <c r="C13" t="n">
        <v>64</v>
      </c>
      <c r="D13" s="3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0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" customWidth="1" min="3" max="3"/>
    <col width="14" customWidth="1" min="4" max="4"/>
    <col width="15" customWidth="1" min="5" max="5"/>
    <col width="7" customWidth="1" min="6" max="6"/>
    <col width="18" customWidth="1" min="7" max="7"/>
  </cols>
  <sheetData>
    <row r="1">
      <c r="A1" s="1" t="inlineStr">
        <is>
          <t>Income tax calculator: new regime, FY 2025-26 (AY 2026-27)</t>
        </is>
      </c>
      <c r="D1" s="10" t="inlineStr">
        <is>
          <t>New regime slabs, FY 2025-26</t>
        </is>
      </c>
    </row>
    <row r="2">
      <c r="D2" s="7" t="inlineStr">
        <is>
          <t>From (₹)</t>
        </is>
      </c>
      <c r="E2" s="7" t="inlineStr">
        <is>
          <t>To (₹)</t>
        </is>
      </c>
      <c r="F2" s="7" t="inlineStr">
        <is>
          <t>Rate</t>
        </is>
      </c>
      <c r="G2" s="7" t="inlineStr">
        <is>
          <t>Tax in this slab (₹)</t>
        </is>
      </c>
    </row>
    <row r="3">
      <c r="A3" t="inlineStr">
        <is>
          <t>Employee</t>
        </is>
      </c>
      <c r="B3" t="inlineStr">
        <is>
          <t>Neha Joshi</t>
        </is>
      </c>
      <c r="D3" s="3" t="n">
        <v>0</v>
      </c>
      <c r="E3" s="3" t="n">
        <v>400000</v>
      </c>
      <c r="F3" s="6" t="n">
        <v>0</v>
      </c>
      <c r="G3" s="5" t="n"/>
    </row>
    <row r="4">
      <c r="A4" t="inlineStr">
        <is>
          <t>Gross salary (₹)</t>
        </is>
      </c>
      <c r="B4" s="5" t="n">
        <v>1650000</v>
      </c>
      <c r="D4" s="3" t="n">
        <v>400000</v>
      </c>
      <c r="E4" s="3" t="n">
        <v>800000</v>
      </c>
      <c r="F4" s="6" t="n">
        <v>0.05</v>
      </c>
      <c r="G4" s="5" t="n"/>
    </row>
    <row r="5">
      <c r="A5" t="inlineStr">
        <is>
          <t>Standard deduction (₹)</t>
        </is>
      </c>
      <c r="B5" s="3" t="n">
        <v>75000</v>
      </c>
      <c r="D5" s="3" t="n">
        <v>800000</v>
      </c>
      <c r="E5" s="3" t="n">
        <v>1200000</v>
      </c>
      <c r="F5" s="6" t="n">
        <v>0.1</v>
      </c>
      <c r="G5" s="5" t="n"/>
    </row>
    <row r="6">
      <c r="A6" t="inlineStr">
        <is>
          <t>Taxable income (₹)</t>
        </is>
      </c>
      <c r="B6" s="5" t="n"/>
      <c r="D6" s="3" t="n">
        <v>1200000</v>
      </c>
      <c r="E6" s="3" t="n">
        <v>1600000</v>
      </c>
      <c r="F6" s="6" t="n">
        <v>0.15</v>
      </c>
      <c r="G6" s="5" t="n"/>
    </row>
    <row r="7">
      <c r="A7" t="inlineStr">
        <is>
          <t>Tax on slabs (₹)</t>
        </is>
      </c>
      <c r="B7" s="5" t="n"/>
      <c r="D7" s="3" t="n">
        <v>1600000</v>
      </c>
      <c r="E7" s="3" t="n">
        <v>2000000</v>
      </c>
      <c r="F7" s="6" t="n">
        <v>0.2</v>
      </c>
      <c r="G7" s="5" t="n"/>
    </row>
    <row r="8">
      <c r="A8" t="inlineStr">
        <is>
          <t>Rebate u/s 87A (₹)</t>
        </is>
      </c>
      <c r="B8" s="5" t="n"/>
      <c r="D8" s="3" t="n">
        <v>2000000</v>
      </c>
      <c r="E8" s="3" t="n">
        <v>2400000</v>
      </c>
      <c r="F8" s="6" t="n">
        <v>0.25</v>
      </c>
      <c r="G8" s="5" t="n"/>
    </row>
    <row r="9">
      <c r="A9" t="inlineStr">
        <is>
          <t>Tax after rebate (₹)</t>
        </is>
      </c>
      <c r="B9" s="5" t="n"/>
      <c r="D9" s="3" t="n">
        <v>2400000</v>
      </c>
      <c r="E9" s="3" t="n">
        <v>100000000</v>
      </c>
      <c r="F9" s="6" t="n">
        <v>0.3</v>
      </c>
      <c r="G9" s="5" t="n"/>
    </row>
    <row r="10">
      <c r="A10" t="inlineStr">
        <is>
          <t>Health and education cess 4% (₹)</t>
        </is>
      </c>
      <c r="B10" s="5" t="n"/>
      <c r="D10" s="11" t="inlineStr">
        <is>
          <t>Last row: ₹10 crore is only a ceiling for the formula.</t>
        </is>
      </c>
    </row>
    <row r="11">
      <c r="A11" s="10" t="inlineStr">
        <is>
          <t>Total tax payable (₹)</t>
        </is>
      </c>
      <c r="B11" s="12" t="n"/>
    </row>
    <row r="12">
      <c r="A12" t="inlineStr">
        <is>
          <t>Monthly TDS (₹)</t>
        </is>
      </c>
      <c r="B12" s="5" t="n"/>
    </row>
    <row r="14">
      <c r="A14" s="11" t="inlineStr">
        <is>
          <t>Assumptions: resident individual below 60, salary income only, no surcharge (income under ₹50 lakh).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0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" customWidth="1" min="3" max="3"/>
    <col width="14" customWidth="1" min="4" max="4"/>
    <col width="15" customWidth="1" min="5" max="5"/>
    <col width="7" customWidth="1" min="6" max="6"/>
    <col width="18" customWidth="1" min="7" max="7"/>
  </cols>
  <sheetData>
    <row r="1">
      <c r="A1" s="1" t="inlineStr">
        <is>
          <t>Income tax calculator: new regime, FY 2025-26 (AY 2026-27)</t>
        </is>
      </c>
      <c r="D1" s="10" t="inlineStr">
        <is>
          <t>New regime slabs, FY 2025-26</t>
        </is>
      </c>
    </row>
    <row r="2">
      <c r="D2" s="7" t="inlineStr">
        <is>
          <t>From (₹)</t>
        </is>
      </c>
      <c r="E2" s="7" t="inlineStr">
        <is>
          <t>To (₹)</t>
        </is>
      </c>
      <c r="F2" s="7" t="inlineStr">
        <is>
          <t>Rate</t>
        </is>
      </c>
      <c r="G2" s="7" t="inlineStr">
        <is>
          <t>Tax in this slab (₹)</t>
        </is>
      </c>
    </row>
    <row r="3">
      <c r="A3" t="inlineStr">
        <is>
          <t>Employee</t>
        </is>
      </c>
      <c r="B3" t="inlineStr">
        <is>
          <t>Neha Joshi</t>
        </is>
      </c>
      <c r="D3" s="3" t="n">
        <v>0</v>
      </c>
      <c r="E3" s="3" t="n">
        <v>400000</v>
      </c>
      <c r="F3" s="6" t="n">
        <v>0</v>
      </c>
      <c r="G3" s="5">
        <f>MAX(0,MIN($B$6,E3)-D3)*F3</f>
        <v/>
      </c>
    </row>
    <row r="4">
      <c r="A4" t="inlineStr">
        <is>
          <t>Gross salary (₹)</t>
        </is>
      </c>
      <c r="B4" s="5" t="n">
        <v>1650000</v>
      </c>
      <c r="D4" s="3" t="n">
        <v>400000</v>
      </c>
      <c r="E4" s="3" t="n">
        <v>800000</v>
      </c>
      <c r="F4" s="6" t="n">
        <v>0.05</v>
      </c>
      <c r="G4" s="5">
        <f>MAX(0,MIN($B$6,E4)-D4)*F4</f>
        <v/>
      </c>
    </row>
    <row r="5">
      <c r="A5" t="inlineStr">
        <is>
          <t>Standard deduction (₹)</t>
        </is>
      </c>
      <c r="B5" s="3" t="n">
        <v>75000</v>
      </c>
      <c r="D5" s="3" t="n">
        <v>800000</v>
      </c>
      <c r="E5" s="3" t="n">
        <v>1200000</v>
      </c>
      <c r="F5" s="6" t="n">
        <v>0.1</v>
      </c>
      <c r="G5" s="5">
        <f>MAX(0,MIN($B$6,E5)-D5)*F5</f>
        <v/>
      </c>
    </row>
    <row r="6">
      <c r="A6" t="inlineStr">
        <is>
          <t>Taxable income (₹)</t>
        </is>
      </c>
      <c r="B6" s="5">
        <f>MAX(B4-B5,0)</f>
        <v/>
      </c>
      <c r="D6" s="3" t="n">
        <v>1200000</v>
      </c>
      <c r="E6" s="3" t="n">
        <v>1600000</v>
      </c>
      <c r="F6" s="6" t="n">
        <v>0.15</v>
      </c>
      <c r="G6" s="5">
        <f>MAX(0,MIN($B$6,E6)-D6)*F6</f>
        <v/>
      </c>
    </row>
    <row r="7">
      <c r="A7" t="inlineStr">
        <is>
          <t>Tax on slabs (₹)</t>
        </is>
      </c>
      <c r="B7" s="5">
        <f>SUM(G3:G9)</f>
        <v/>
      </c>
      <c r="D7" s="3" t="n">
        <v>1600000</v>
      </c>
      <c r="E7" s="3" t="n">
        <v>2000000</v>
      </c>
      <c r="F7" s="6" t="n">
        <v>0.2</v>
      </c>
      <c r="G7" s="5">
        <f>MAX(0,MIN($B$6,E7)-D7)*F7</f>
        <v/>
      </c>
    </row>
    <row r="8">
      <c r="A8" t="inlineStr">
        <is>
          <t>Rebate u/s 87A (₹)</t>
        </is>
      </c>
      <c r="B8" s="5">
        <f>IF(B6&lt;=1200000,B7,MAX(B7-(B6-1200000),0))</f>
        <v/>
      </c>
      <c r="D8" s="3" t="n">
        <v>2000000</v>
      </c>
      <c r="E8" s="3" t="n">
        <v>2400000</v>
      </c>
      <c r="F8" s="6" t="n">
        <v>0.25</v>
      </c>
      <c r="G8" s="5">
        <f>MAX(0,MIN($B$6,E8)-D8)*F8</f>
        <v/>
      </c>
    </row>
    <row r="9">
      <c r="A9" t="inlineStr">
        <is>
          <t>Tax after rebate (₹)</t>
        </is>
      </c>
      <c r="B9" s="5">
        <f>B7-B8</f>
        <v/>
      </c>
      <c r="D9" s="3" t="n">
        <v>2400000</v>
      </c>
      <c r="E9" s="3" t="n">
        <v>100000000</v>
      </c>
      <c r="F9" s="6" t="n">
        <v>0.3</v>
      </c>
      <c r="G9" s="5">
        <f>MAX(0,MIN($B$6,E9)-D9)*F9</f>
        <v/>
      </c>
    </row>
    <row r="10">
      <c r="A10" t="inlineStr">
        <is>
          <t>Health and education cess 4% (₹)</t>
        </is>
      </c>
      <c r="B10" s="5">
        <f>ROUND(B9*4%,0)</f>
        <v/>
      </c>
      <c r="D10" s="11" t="inlineStr">
        <is>
          <t>Last row: ₹10 crore is only a ceiling for the formula.</t>
        </is>
      </c>
    </row>
    <row r="11">
      <c r="A11" s="10" t="inlineStr">
        <is>
          <t>Total tax payable (₹)</t>
        </is>
      </c>
      <c r="B11" s="12">
        <f>B9+B10</f>
        <v/>
      </c>
    </row>
    <row r="12">
      <c r="A12" t="inlineStr">
        <is>
          <t>Monthly TDS (₹)</t>
        </is>
      </c>
      <c r="B12" s="5">
        <f>ROUND(B11/12,0)</f>
        <v/>
      </c>
      <c r="D12" s="13" t="inlineStr">
        <is>
          <t>Challenge answer: gross ₹25,00,000 gives total tax ₹3,19,800 (taxable ₹24,25,000).</t>
        </is>
      </c>
    </row>
    <row r="14">
      <c r="A14" s="11" t="inlineStr">
        <is>
          <t>Assumptions: resident individual below 60, salary income only, no surcharge (income under ₹50 lakh).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2026-10-23T10:00:37Z</dcterms:created>
  <dcterms:modified xmlns:dcterms="http://purl.org/dc/terms/" xmlns:xsi="http://www.w3.org/2001/XMLSchema-instance" xsi:type="dcterms:W3CDTF">2026-10-23T10:00:37Z</dcterms:modified>
</cp:coreProperties>
</file>