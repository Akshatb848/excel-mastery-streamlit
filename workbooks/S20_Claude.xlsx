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2.xml" ContentType="application/vnd.openxmlformats-officedocument.spreadsheetml.worksheet+xml"/>
  <Override PartName="/xl/tables/table2.xml" ContentType="application/vnd.openxmlformats-officedocument.spreadsheetml.table+xml"/>
  <Override PartName="/xl/worksheets/sheet23.xml" ContentType="application/vnd.openxmlformats-officedocument.spreadsheetml.worksheet+xml"/>
  <Override PartName="/xl/tables/table3.xml" ContentType="application/vnd.openxmlformats-officedocument.spreadsheetml.table+xml"/>
  <Override PartName="/xl/worksheets/sheet2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20-02" sheetId="2" state="visible" r:id="rId2"/>
    <sheet xmlns:r="http://schemas.openxmlformats.org/officeDocument/2006/relationships" name="S20-02 Done" sheetId="3" state="visible" r:id="rId3"/>
    <sheet xmlns:r="http://schemas.openxmlformats.org/officeDocument/2006/relationships" name="S20-03 Inputs" sheetId="4" state="visible" r:id="rId4"/>
    <sheet xmlns:r="http://schemas.openxmlformats.org/officeDocument/2006/relationships" name="S20-03 Sales" sheetId="5" state="visible" r:id="rId5"/>
    <sheet xmlns:r="http://schemas.openxmlformats.org/officeDocument/2006/relationships" name="S20-03 Costs" sheetId="6" state="visible" r:id="rId6"/>
    <sheet xmlns:r="http://schemas.openxmlformats.org/officeDocument/2006/relationships" name="S20-03" sheetId="7" state="visible" r:id="rId7"/>
    <sheet xmlns:r="http://schemas.openxmlformats.org/officeDocument/2006/relationships" name="S20-03 Done" sheetId="8" state="visible" r:id="rId8"/>
    <sheet xmlns:r="http://schemas.openxmlformats.org/officeDocument/2006/relationships" name="S20-04 Inputs" sheetId="9" state="visible" r:id="rId9"/>
    <sheet xmlns:r="http://schemas.openxmlformats.org/officeDocument/2006/relationships" name="S20-04 Sales" sheetId="10" state="visible" r:id="rId10"/>
    <sheet xmlns:r="http://schemas.openxmlformats.org/officeDocument/2006/relationships" name="S20-04 Costs" sheetId="11" state="visible" r:id="rId11"/>
    <sheet xmlns:r="http://schemas.openxmlformats.org/officeDocument/2006/relationships" name="S20-04" sheetId="12" state="visible" r:id="rId12"/>
    <sheet xmlns:r="http://schemas.openxmlformats.org/officeDocument/2006/relationships" name="S20-04 Done" sheetId="13" state="visible" r:id="rId13"/>
    <sheet xmlns:r="http://schemas.openxmlformats.org/officeDocument/2006/relationships" name="S20-05" sheetId="14" state="visible" r:id="rId14"/>
    <sheet xmlns:r="http://schemas.openxmlformats.org/officeDocument/2006/relationships" name="S20-05 Done" sheetId="15" state="visible" r:id="rId15"/>
    <sheet xmlns:r="http://schemas.openxmlformats.org/officeDocument/2006/relationships" name="S20-06" sheetId="16" state="visible" r:id="rId16"/>
    <sheet xmlns:r="http://schemas.openxmlformats.org/officeDocument/2006/relationships" name="S20-06 Done" sheetId="17" state="visible" r:id="rId17"/>
    <sheet xmlns:r="http://schemas.openxmlformats.org/officeDocument/2006/relationships" name="S20-07" sheetId="18" state="visible" r:id="rId18"/>
    <sheet xmlns:r="http://schemas.openxmlformats.org/officeDocument/2006/relationships" name="S20-07 Done" sheetId="19" state="visible" r:id="rId19"/>
    <sheet xmlns:r="http://schemas.openxmlformats.org/officeDocument/2006/relationships" name="S20-08" sheetId="20" state="visible" r:id="rId20"/>
    <sheet xmlns:r="http://schemas.openxmlformats.org/officeDocument/2006/relationships" name="S20-08 Done" sheetId="21" state="visible" r:id="rId21"/>
    <sheet xmlns:r="http://schemas.openxmlformats.org/officeDocument/2006/relationships" name="S20-10" sheetId="22" state="visible" r:id="rId22"/>
    <sheet xmlns:r="http://schemas.openxmlformats.org/officeDocument/2006/relationships" name="S20-10 Claude" sheetId="23" state="visible" r:id="rId23"/>
    <sheet xmlns:r="http://schemas.openxmlformats.org/officeDocument/2006/relationships" name="S20-10 Don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[&gt;=10000000]&quot;₹&quot;##\,##\,##\,##0;[&gt;=100000]&quot;₹&quot;##\,##\,##0;&quot;₹&quot;##,##0"/>
    <numFmt numFmtId="166" formatCode="0.0%"/>
    <numFmt numFmtId="167" formatCode="dd-mm-yyyy"/>
    <numFmt numFmtId="168" formatCode="[&gt;=10000000]&quot;₹&quot;##\,##\,##\,##0.00;[&gt;=100000]&quot;₹&quot;##\,##\,##0.00;&quot;₹&quot;##,##0.00"/>
    <numFmt numFmtId="169" formatCode="&quot;₹&quot;#,##0.00;[Red]-&quot;₹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/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5" fontId="0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49" fontId="0" fillId="0" borderId="0" pivotButton="0" quotePrefix="0" xfId="0"/>
    <xf numFmtId="167" fontId="0" fillId="0" borderId="0" pivotButton="0" quotePrefix="0" xfId="0"/>
    <xf numFmtId="165" fontId="0" fillId="3" borderId="0" applyAlignment="1" pivotButton="0" quotePrefix="0" xfId="0">
      <alignment horizontal="left"/>
    </xf>
    <xf numFmtId="1" fontId="0" fillId="3" borderId="0" pivotButton="0" quotePrefix="0" xfId="0"/>
    <xf numFmtId="166" fontId="0" fillId="3" borderId="0" pivotButton="0" quotePrefix="0" xfId="0"/>
    <xf numFmtId="9" fontId="0" fillId="3" borderId="0" pivotButton="0" quotePrefix="0" xfId="0"/>
    <xf numFmtId="1" fontId="0" fillId="0" borderId="0" pivotButton="0" quotePrefix="0" xfId="0"/>
    <xf numFmtId="168" fontId="0" fillId="0" borderId="0" pivotButton="0" quotePrefix="0" xfId="0"/>
    <xf numFmtId="168" fontId="0" fillId="3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September spending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'S20-08 Done'!J9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'S20-08 Done'!$I$10:$I$21</f>
            </numRef>
          </cat>
          <val>
            <numRef>
              <f>'S20-08 Done'!$J$10:$J$21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tement2008Done" displayName="Statement2008Done" ref="A1:G23" headerRowCount="1">
  <autoFilter ref="A1:G23"/>
  <tableColumns count="7">
    <tableColumn id="1" name="Date"/>
    <tableColumn id="2" name="Description"/>
    <tableColumn id="3" name="Reference"/>
    <tableColumn id="4" name="Debit"/>
    <tableColumn id="5" name="Credit"/>
    <tableColumn id="6" name="Balance"/>
    <tableColumn id="7" name="Category"/>
  </tableColumns>
  <tableStyleInfo name="TableStyleMedium2" showRowStripes="1"/>
</table>
</file>

<file path=xl/tables/table2.xml><?xml version="1.0" encoding="utf-8"?>
<table xmlns="http://schemas.openxmlformats.org/spreadsheetml/2006/main" id="2" name="Exp2010" displayName="Exp2010" ref="A1:E19" headerRowCount="1">
  <autoFilter ref="A1:E19"/>
  <tableColumns count="5">
    <tableColumn id="1" name="Date"/>
    <tableColumn id="2" name="Vendor"/>
    <tableColumn id="3" name="Description"/>
    <tableColumn id="4" name="Amount"/>
    <tableColumn id="5" name="Category"/>
  </tableColumns>
  <tableStyleInfo name="TableStyleMedium2" showRowStripes="1"/>
</table>
</file>

<file path=xl/tables/table3.xml><?xml version="1.0" encoding="utf-8"?>
<table xmlns="http://schemas.openxmlformats.org/spreadsheetml/2006/main" id="3" name="Exp2010Claude" displayName="Exp2010Claude" ref="A1:E19" headerRowCount="1">
  <autoFilter ref="A1:E19"/>
  <tableColumns count="5">
    <tableColumn id="1" name="Date"/>
    <tableColumn id="2" name="Vendor"/>
    <tableColumn id="3" name="Description"/>
    <tableColumn id="4" name="Amount"/>
    <tableColumn id="5" name="Category"/>
  </tableColumns>
  <tableStyleInfo name="TableStyleMedium2" showRowStripes="1"/>
</table>
</file>

<file path=xl/tables/table4.xml><?xml version="1.0" encoding="utf-8"?>
<table xmlns="http://schemas.openxmlformats.org/spreadsheetml/2006/main" id="4" name="Exp2010Done" displayName="Exp2010Done" ref="A1:E19" headerRowCount="1">
  <autoFilter ref="A1:E19"/>
  <tableColumns count="5">
    <tableColumn id="1" name="Date"/>
    <tableColumn id="2" name="Vendor"/>
    <tableColumn id="3" name="Description"/>
    <tableColumn id="4" name="Amount"/>
    <tableColumn id="5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60" customWidth="1" min="4" max="4"/>
  </cols>
  <sheetData>
    <row r="1">
      <c r="A1" s="1" t="inlineStr">
        <is>
          <t>S20: AI in Excel 3: Claude in Excel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Type</t>
        </is>
      </c>
      <c r="C4" s="3" t="inlineStr">
        <is>
          <t>Title</t>
        </is>
      </c>
      <c r="D4" s="3" t="inlineStr">
        <is>
          <t>Practice sheet(s)</t>
        </is>
      </c>
    </row>
    <row r="5">
      <c r="A5" t="inlineStr">
        <is>
          <t>S20-01</t>
        </is>
      </c>
      <c r="B5" t="inlineStr">
        <is>
          <t>concept</t>
        </is>
      </c>
      <c r="C5" t="inlineStr">
        <is>
          <t>Claude in Excel vs Copilot</t>
        </is>
      </c>
      <c r="D5" t="inlineStr">
        <is>
          <t>(whiteboard lesson)</t>
        </is>
      </c>
    </row>
    <row r="6">
      <c r="A6" t="inlineStr">
        <is>
          <t>S20-02</t>
        </is>
      </c>
      <c r="B6" t="inlineStr">
        <is>
          <t>demo</t>
        </is>
      </c>
      <c r="C6" t="inlineStr">
        <is>
          <t>Install and sign in on Mac</t>
        </is>
      </c>
      <c r="D6" t="inlineStr">
        <is>
          <t>S20-02</t>
        </is>
      </c>
    </row>
    <row r="7">
      <c r="A7" t="inlineStr">
        <is>
          <t>S20-03</t>
        </is>
      </c>
      <c r="B7" t="inlineStr">
        <is>
          <t>demo</t>
        </is>
      </c>
      <c r="C7" t="inlineStr">
        <is>
          <t>Understand a workbook you inherited</t>
        </is>
      </c>
      <c r="D7" t="inlineStr">
        <is>
          <t>S20-03, S20-03 Inputs, S20-03 Sales, S20-03 Costs</t>
        </is>
      </c>
    </row>
    <row r="8">
      <c r="A8" t="inlineStr">
        <is>
          <t>S20-04</t>
        </is>
      </c>
      <c r="B8" t="inlineStr">
        <is>
          <t>demo</t>
        </is>
      </c>
      <c r="C8" t="inlineStr">
        <is>
          <t>Find and fix broken formulas</t>
        </is>
      </c>
      <c r="D8" t="inlineStr">
        <is>
          <t>S20-04, S20-04 Inputs, S20-04 Sales, S20-04 Costs</t>
        </is>
      </c>
    </row>
    <row r="9">
      <c r="A9" t="inlineStr">
        <is>
          <t>S20-05</t>
        </is>
      </c>
      <c r="B9" t="inlineStr">
        <is>
          <t>demo</t>
        </is>
      </c>
      <c r="C9" t="inlineStr">
        <is>
          <t>Clean messy data with Claude</t>
        </is>
      </c>
      <c r="D9" t="inlineStr">
        <is>
          <t>S20-05</t>
        </is>
      </c>
    </row>
    <row r="10">
      <c r="A10" t="inlineStr">
        <is>
          <t>S20-06</t>
        </is>
      </c>
      <c r="B10" t="inlineStr">
        <is>
          <t>demo</t>
        </is>
      </c>
      <c r="C10" t="inlineStr">
        <is>
          <t>Build a model from a description</t>
        </is>
      </c>
      <c r="D10" t="inlineStr">
        <is>
          <t>S20-06</t>
        </is>
      </c>
    </row>
    <row r="11">
      <c r="A11" t="inlineStr">
        <is>
          <t>S20-07</t>
        </is>
      </c>
      <c r="B11" t="inlineStr">
        <is>
          <t>demo</t>
        </is>
      </c>
      <c r="C11" t="inlineStr">
        <is>
          <t>Scenarios and sensitivity with Claude</t>
        </is>
      </c>
      <c r="D11" t="inlineStr">
        <is>
          <t>S20-07</t>
        </is>
      </c>
    </row>
    <row r="12">
      <c r="A12" t="inlineStr">
        <is>
          <t>S20-08</t>
        </is>
      </c>
      <c r="B12" t="inlineStr">
        <is>
          <t>demo</t>
        </is>
      </c>
      <c r="C12" t="inlineStr">
        <is>
          <t>From PDF to Excel, and Excel to PowerPoint</t>
        </is>
      </c>
      <c r="D12" t="inlineStr">
        <is>
          <t>S20-08 + data/Sahyadri_Bank_Statement_Sep2026.pdf</t>
        </is>
      </c>
    </row>
    <row r="13">
      <c r="A13" t="inlineStr">
        <is>
          <t>S20-09</t>
        </is>
      </c>
      <c r="B13" t="inlineStr">
        <is>
          <t>concept</t>
        </is>
      </c>
      <c r="C13" t="inlineStr">
        <is>
          <t>Using Claude safely at work</t>
        </is>
      </c>
      <c r="D13" t="inlineStr">
        <is>
          <t>(whiteboard lesson)</t>
        </is>
      </c>
    </row>
    <row r="14">
      <c r="A14" t="inlineStr">
        <is>
          <t>S20-10</t>
        </is>
      </c>
      <c r="B14" t="inlineStr">
        <is>
          <t>demo</t>
        </is>
      </c>
      <c r="C14" t="inlineStr">
        <is>
          <t>Same task, Copilot vs Claude</t>
        </is>
      </c>
      <c r="D14" t="inlineStr">
        <is>
          <t>S20-10, S20-10 Claude</t>
        </is>
      </c>
    </row>
    <row r="17">
      <c r="A17" s="2" t="inlineStr">
        <is>
          <t>Claude in Excel reads the whole workbook. In prompts, name the sheet you mean (for example: the sheets whose names start with S20-03).</t>
        </is>
      </c>
    </row>
    <row r="18">
      <c r="A18" s="2" t="inlineStr">
        <is>
          <t>Bank statement PDF for S20-08: data/Sahyadri_Bank_Statement_Sep2026.pdf (sample, fictional bank).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60" customWidth="1" min="7" max="7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Expenses</t>
        </is>
      </c>
      <c r="D1" s="3" t="inlineStr">
        <is>
          <t>Profit</t>
        </is>
      </c>
      <c r="E1" s="3" t="inlineStr">
        <is>
          <t>Profit margin</t>
        </is>
      </c>
    </row>
    <row r="2">
      <c r="A2" s="4" t="n">
        <v>45748</v>
      </c>
      <c r="B2" s="5" t="n">
        <v>1892000</v>
      </c>
      <c r="C2" s="5" t="n">
        <v>1514000</v>
      </c>
      <c r="D2" s="5">
        <f>B2-C2</f>
        <v/>
      </c>
      <c r="E2" s="6">
        <f>D2/B2</f>
        <v/>
      </c>
    </row>
    <row r="3">
      <c r="A3" s="4" t="n">
        <v>45778</v>
      </c>
      <c r="B3" s="5" t="n">
        <v>1939000</v>
      </c>
      <c r="C3" s="5" t="n">
        <v>1566000</v>
      </c>
      <c r="D3" s="5">
        <f>B3-C3</f>
        <v/>
      </c>
      <c r="E3" s="6">
        <f>D3/B3</f>
        <v/>
      </c>
    </row>
    <row r="4">
      <c r="A4" s="4" t="n">
        <v>45809</v>
      </c>
      <c r="B4" s="5" t="n">
        <v>1998000</v>
      </c>
      <c r="C4" s="5" t="n">
        <v>1691000</v>
      </c>
      <c r="D4" s="5">
        <f>B4-C4</f>
        <v/>
      </c>
      <c r="E4" s="6">
        <f>D4/B4</f>
        <v/>
      </c>
    </row>
    <row r="5">
      <c r="A5" s="4" t="n">
        <v>45839</v>
      </c>
      <c r="B5" s="5" t="n">
        <v>1983000</v>
      </c>
      <c r="C5" s="5" t="n">
        <v>1468000</v>
      </c>
      <c r="D5" s="5">
        <f>B5-C5</f>
        <v/>
      </c>
      <c r="E5" s="6">
        <f>D5/B5</f>
        <v/>
      </c>
    </row>
    <row r="6">
      <c r="A6" s="4" t="n">
        <v>45870</v>
      </c>
      <c r="B6" s="5" t="n">
        <v>1956000</v>
      </c>
      <c r="C6" s="5" t="n">
        <v>1568000</v>
      </c>
      <c r="D6" s="5">
        <f>B6-C6</f>
        <v/>
      </c>
      <c r="E6" s="6">
        <f>D6/B6</f>
        <v/>
      </c>
    </row>
    <row r="7">
      <c r="A7" s="4" t="n">
        <v>45901</v>
      </c>
      <c r="B7" s="5" t="n">
        <v>2143000</v>
      </c>
      <c r="C7" s="5" t="n">
        <v>1599000</v>
      </c>
      <c r="D7" s="5">
        <f>B7-C7</f>
        <v/>
      </c>
      <c r="E7" s="6">
        <f>D7/B7</f>
        <v/>
      </c>
    </row>
    <row r="8">
      <c r="A8" s="4" t="n">
        <v>45931</v>
      </c>
      <c r="B8" s="5" t="n">
        <v>2140000</v>
      </c>
      <c r="C8" s="5" t="n">
        <v>1809000</v>
      </c>
      <c r="D8" s="5">
        <f>B8-C8</f>
        <v/>
      </c>
      <c r="E8" s="6">
        <f>D8/B8</f>
        <v/>
      </c>
    </row>
    <row r="9">
      <c r="A9" s="4" t="n">
        <v>45962</v>
      </c>
      <c r="B9" s="5" t="n">
        <v>2024000</v>
      </c>
      <c r="C9" s="5" t="n">
        <v>1501000</v>
      </c>
      <c r="D9" s="5">
        <f>B9-C9</f>
        <v/>
      </c>
      <c r="E9" s="6">
        <f>D9/B9</f>
        <v/>
      </c>
    </row>
    <row r="10">
      <c r="A10" s="4" t="n">
        <v>45992</v>
      </c>
      <c r="B10" s="5" t="n">
        <v>2097000</v>
      </c>
      <c r="C10" s="5" t="n">
        <v>1652000</v>
      </c>
      <c r="D10" s="5">
        <f>B10-C10</f>
        <v/>
      </c>
      <c r="E10" s="6">
        <f>D10/B10</f>
        <v/>
      </c>
    </row>
    <row r="11">
      <c r="A11" s="4" t="n">
        <v>46023</v>
      </c>
      <c r="B11" s="5" t="n">
        <v>2181000</v>
      </c>
      <c r="C11" s="5" t="n">
        <v>1749000</v>
      </c>
      <c r="D11" s="5">
        <f>B11-C11</f>
        <v/>
      </c>
      <c r="E11" s="6">
        <f>D11/B11</f>
        <v/>
      </c>
    </row>
    <row r="12">
      <c r="A12" s="4" t="n">
        <v>46054</v>
      </c>
      <c r="B12" s="5" t="n">
        <v>2272000</v>
      </c>
      <c r="C12" s="5" t="n">
        <v>1790000</v>
      </c>
      <c r="D12" s="5">
        <f>B12-C12</f>
        <v/>
      </c>
      <c r="E12" s="6">
        <f>D12/B12</f>
        <v/>
      </c>
    </row>
    <row r="13">
      <c r="A13" s="4" t="n">
        <v>46082</v>
      </c>
      <c r="B13" s="5" t="n">
        <v>2195000</v>
      </c>
      <c r="C13" s="5" t="n">
        <v>1766000</v>
      </c>
      <c r="D13" s="5">
        <f>B13-C13</f>
        <v/>
      </c>
      <c r="E13" s="6">
        <f>D13/B13</f>
        <v/>
      </c>
    </row>
    <row r="14">
      <c r="A14" s="7" t="inlineStr">
        <is>
          <t>FY 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6">
        <f>D14/B14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60" customWidth="1" min="7" max="7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Expenses</t>
        </is>
      </c>
      <c r="D1" s="3" t="inlineStr">
        <is>
          <t>Profit</t>
        </is>
      </c>
      <c r="E1" s="3" t="inlineStr">
        <is>
          <t>Profit margin</t>
        </is>
      </c>
      <c r="G1" s="7" t="inlineStr">
        <is>
          <t>Claude in Excel: ready</t>
        </is>
      </c>
    </row>
    <row r="2">
      <c r="A2" s="4" t="n">
        <v>45748</v>
      </c>
      <c r="B2" s="5" t="n">
        <v>1892000</v>
      </c>
      <c r="C2" s="5" t="n">
        <v>1514000</v>
      </c>
      <c r="D2" s="5">
        <f>B2-C2</f>
        <v/>
      </c>
      <c r="E2" s="6">
        <f>D2/B2</f>
        <v/>
      </c>
      <c r="G2" t="inlineStr">
        <is>
          <t>✓ Installed from Microsoft Marketplace (Home &gt; Add-ins)</t>
        </is>
      </c>
    </row>
    <row r="3">
      <c r="A3" s="4" t="n">
        <v>45778</v>
      </c>
      <c r="B3" s="5" t="n">
        <v>1939000</v>
      </c>
      <c r="C3" s="5" t="n">
        <v>1566000</v>
      </c>
      <c r="D3" s="5">
        <f>B3-C3</f>
        <v/>
      </c>
      <c r="E3" s="6">
        <f>D3/B3</f>
        <v/>
      </c>
      <c r="G3" t="inlineStr">
        <is>
          <t>✓ Signed in with a paid Claude plan (Pro, Max, Team or Enterprise)</t>
        </is>
      </c>
    </row>
    <row r="4">
      <c r="A4" s="4" t="n">
        <v>45809</v>
      </c>
      <c r="B4" s="5" t="n">
        <v>1998000</v>
      </c>
      <c r="C4" s="5" t="n">
        <v>1691000</v>
      </c>
      <c r="D4" s="5">
        <f>B4-C4</f>
        <v/>
      </c>
      <c r="E4" s="6">
        <f>D4/B4</f>
        <v/>
      </c>
      <c r="G4" t="inlineStr">
        <is>
          <t>✓ Open the pane: Control + Option + C on Mac</t>
        </is>
      </c>
    </row>
    <row r="5">
      <c r="A5" s="4" t="n">
        <v>45839</v>
      </c>
      <c r="B5" s="5" t="n">
        <v>1983000</v>
      </c>
      <c r="C5" s="5" t="n">
        <v>1468000</v>
      </c>
      <c r="D5" s="5">
        <f>B5-C5</f>
        <v/>
      </c>
      <c r="E5" s="6">
        <f>D5/B5</f>
        <v/>
      </c>
      <c r="G5" t="inlineStr">
        <is>
          <t>✓ Claude reads every sheet and cites cells like D2 or 'S20-03 Sales'!H8</t>
        </is>
      </c>
    </row>
    <row r="6">
      <c r="A6" s="4" t="n">
        <v>45870</v>
      </c>
      <c r="B6" s="5" t="n">
        <v>1956000</v>
      </c>
      <c r="C6" s="5" t="n">
        <v>1568000</v>
      </c>
      <c r="D6" s="5">
        <f>B6-C6</f>
        <v/>
      </c>
      <c r="E6" s="6">
        <f>D6/B6</f>
        <v/>
      </c>
      <c r="G6" t="inlineStr">
        <is>
          <t>✓ It asks before larger edits; you approve each one</t>
        </is>
      </c>
    </row>
    <row r="7">
      <c r="A7" s="4" t="n">
        <v>45901</v>
      </c>
      <c r="B7" s="5" t="n">
        <v>2143000</v>
      </c>
      <c r="C7" s="5" t="n">
        <v>1599000</v>
      </c>
      <c r="D7" s="5">
        <f>B7-C7</f>
        <v/>
      </c>
      <c r="E7" s="6">
        <f>D7/B7</f>
        <v/>
      </c>
    </row>
    <row r="8">
      <c r="A8" s="4" t="n">
        <v>45931</v>
      </c>
      <c r="B8" s="5" t="n">
        <v>2140000</v>
      </c>
      <c r="C8" s="5" t="n">
        <v>1809000</v>
      </c>
      <c r="D8" s="5">
        <f>B8-C8</f>
        <v/>
      </c>
      <c r="E8" s="6">
        <f>D8/B8</f>
        <v/>
      </c>
    </row>
    <row r="9">
      <c r="A9" s="4" t="n">
        <v>45962</v>
      </c>
      <c r="B9" s="5" t="n">
        <v>2024000</v>
      </c>
      <c r="C9" s="5" t="n">
        <v>1501000</v>
      </c>
      <c r="D9" s="5">
        <f>B9-C9</f>
        <v/>
      </c>
      <c r="E9" s="6">
        <f>D9/B9</f>
        <v/>
      </c>
    </row>
    <row r="10">
      <c r="A10" s="4" t="n">
        <v>45992</v>
      </c>
      <c r="B10" s="5" t="n">
        <v>2097000</v>
      </c>
      <c r="C10" s="5" t="n">
        <v>1652000</v>
      </c>
      <c r="D10" s="5">
        <f>B10-C10</f>
        <v/>
      </c>
      <c r="E10" s="6">
        <f>D10/B10</f>
        <v/>
      </c>
    </row>
    <row r="11">
      <c r="A11" s="4" t="n">
        <v>46023</v>
      </c>
      <c r="B11" s="5" t="n">
        <v>2181000</v>
      </c>
      <c r="C11" s="5" t="n">
        <v>1749000</v>
      </c>
      <c r="D11" s="5">
        <f>B11-C11</f>
        <v/>
      </c>
      <c r="E11" s="6">
        <f>D11/B11</f>
        <v/>
      </c>
    </row>
    <row r="12">
      <c r="A12" s="4" t="n">
        <v>46054</v>
      </c>
      <c r="B12" s="5" t="n">
        <v>2272000</v>
      </c>
      <c r="C12" s="5" t="n">
        <v>1790000</v>
      </c>
      <c r="D12" s="5">
        <f>B12-C12</f>
        <v/>
      </c>
      <c r="E12" s="6">
        <f>D12/B12</f>
        <v/>
      </c>
    </row>
    <row r="13">
      <c r="A13" s="4" t="n">
        <v>46082</v>
      </c>
      <c r="B13" s="5" t="n">
        <v>2195000</v>
      </c>
      <c r="C13" s="5" t="n">
        <v>1766000</v>
      </c>
      <c r="D13" s="5">
        <f>B13-C13</f>
        <v/>
      </c>
      <c r="E13" s="6">
        <f>D13/B13</f>
        <v/>
      </c>
    </row>
    <row r="14">
      <c r="A14" s="7" t="inlineStr">
        <is>
          <t>FY 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6">
        <f>D14/B14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3" t="inlineStr">
        <is>
          <t>Assumption</t>
        </is>
      </c>
      <c r="B1" s="3" t="inlineStr">
        <is>
          <t>Value</t>
        </is>
      </c>
      <c r="D1" s="2" t="inlineStr">
        <is>
          <t>Shree Ganesh Traders, Nagpur. Wholesale rice, oil and dal. FY 2025-26.</t>
        </is>
      </c>
    </row>
    <row r="2">
      <c r="A2" t="inlineStr">
        <is>
          <t>COGS % of revenue</t>
        </is>
      </c>
      <c r="B2" s="9" t="n">
        <v>0.78</v>
      </c>
    </row>
    <row r="3">
      <c r="A3" t="inlineStr">
        <is>
          <t>Monthly rent</t>
        </is>
      </c>
      <c r="B3" s="5" t="n">
        <v>85000</v>
      </c>
    </row>
    <row r="4">
      <c r="A4" t="inlineStr">
        <is>
          <t>Monthly salaries (Apr to Sep)</t>
        </is>
      </c>
      <c r="B4" s="5" t="n">
        <v>420000</v>
      </c>
    </row>
    <row r="5">
      <c r="A5" t="inlineStr">
        <is>
          <t>Salary increase from October</t>
        </is>
      </c>
      <c r="B5" s="9" t="n">
        <v>0.08</v>
      </c>
    </row>
    <row r="6">
      <c r="A6" t="inlineStr">
        <is>
          <t>Other expenses % of revenue</t>
        </is>
      </c>
      <c r="B6" s="9" t="n">
        <v>0.03</v>
      </c>
    </row>
    <row r="7">
      <c r="A7" t="inlineStr">
        <is>
          <t>Sales commission % of revenue</t>
        </is>
      </c>
      <c r="B7" s="6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Month</t>
        </is>
      </c>
      <c r="B1" s="3" t="inlineStr">
        <is>
          <t>Basmati rice 25kg (bags)</t>
        </is>
      </c>
      <c r="C1" s="3" t="inlineStr">
        <is>
          <t>Rice price</t>
        </is>
      </c>
      <c r="D1" s="3" t="inlineStr">
        <is>
          <t>Sunflower oil 15L (tins)</t>
        </is>
      </c>
      <c r="E1" s="3" t="inlineStr">
        <is>
          <t>Oil price</t>
        </is>
      </c>
      <c r="F1" s="3" t="inlineStr">
        <is>
          <t>Toor dal 30kg (bags)</t>
        </is>
      </c>
      <c r="G1" s="3" t="inlineStr">
        <is>
          <t>Dal price</t>
        </is>
      </c>
      <c r="H1" s="3" t="inlineStr">
        <is>
          <t>Revenue</t>
        </is>
      </c>
    </row>
    <row r="2">
      <c r="A2" s="4" t="n">
        <v>45748</v>
      </c>
      <c r="B2" t="n">
        <v>1528</v>
      </c>
      <c r="C2" s="5" t="n">
        <v>1850</v>
      </c>
      <c r="D2" t="n">
        <v>1082</v>
      </c>
      <c r="E2" s="5" t="n">
        <v>2190</v>
      </c>
      <c r="F2" t="n">
        <v>842</v>
      </c>
      <c r="G2" s="5" t="n">
        <v>3600</v>
      </c>
      <c r="H2" s="5">
        <f>B2*C2+D2*E2+F2*G2</f>
        <v/>
      </c>
    </row>
    <row r="3">
      <c r="A3" s="4" t="n">
        <v>45778</v>
      </c>
      <c r="B3" t="n">
        <v>1556</v>
      </c>
      <c r="C3" s="5" t="n">
        <v>1860</v>
      </c>
      <c r="D3" t="n">
        <v>972</v>
      </c>
      <c r="E3" s="5" t="n">
        <v>2190</v>
      </c>
      <c r="F3" t="n">
        <v>778</v>
      </c>
      <c r="G3" s="5" t="n">
        <v>3615</v>
      </c>
      <c r="H3" s="5">
        <f>B3*C3+D3*E3+F3*G3</f>
        <v/>
      </c>
    </row>
    <row r="4">
      <c r="A4" s="4" t="n">
        <v>45809</v>
      </c>
      <c r="B4" t="n">
        <v>1602</v>
      </c>
      <c r="C4" s="5" t="n">
        <v>1870</v>
      </c>
      <c r="D4" t="n">
        <v>1087</v>
      </c>
      <c r="E4" s="5" t="n">
        <v>2190</v>
      </c>
      <c r="F4" t="n">
        <v>725</v>
      </c>
      <c r="G4" s="5" t="n">
        <v>3630</v>
      </c>
      <c r="H4" s="5">
        <f>B4*C4+D4*E4+F4*G4</f>
        <v/>
      </c>
    </row>
    <row r="5">
      <c r="A5" s="4" t="n">
        <v>45839</v>
      </c>
      <c r="B5" t="n">
        <v>1542</v>
      </c>
      <c r="C5" s="5" t="n">
        <v>1880</v>
      </c>
      <c r="D5" t="n">
        <v>986</v>
      </c>
      <c r="E5" s="5" t="n">
        <v>2150</v>
      </c>
      <c r="F5" t="n">
        <v>774</v>
      </c>
      <c r="G5" s="5" t="n">
        <v>3645</v>
      </c>
      <c r="H5" s="5">
        <f>B5*C5+D5*E5+F5*G5</f>
        <v/>
      </c>
    </row>
    <row r="6">
      <c r="A6" s="4" t="n">
        <v>45870</v>
      </c>
      <c r="B6" t="n">
        <v>1698</v>
      </c>
      <c r="C6" s="5" t="n">
        <v>1890</v>
      </c>
      <c r="D6" t="n">
        <v>984</v>
      </c>
      <c r="E6" s="5" t="n">
        <v>2190</v>
      </c>
      <c r="F6" t="n">
        <v>798</v>
      </c>
      <c r="G6" s="5" t="n">
        <v>3660</v>
      </c>
      <c r="H6" s="5">
        <f>B6*C6+D6*E6+F6*G6</f>
        <v/>
      </c>
    </row>
    <row r="7">
      <c r="A7" s="4" t="n">
        <v>45901</v>
      </c>
      <c r="B7" t="n">
        <v>1541</v>
      </c>
      <c r="C7" s="5" t="n">
        <v>1900</v>
      </c>
      <c r="D7" t="n">
        <v>1029</v>
      </c>
      <c r="E7" s="5" t="n">
        <v>2190</v>
      </c>
      <c r="F7" t="n">
        <v>802</v>
      </c>
      <c r="G7" s="5" t="n">
        <v>3675</v>
      </c>
      <c r="H7" s="5">
        <f>B7*C7+D7*E7+F7*G7</f>
        <v/>
      </c>
    </row>
    <row r="8">
      <c r="A8" s="4" t="n">
        <v>45931</v>
      </c>
      <c r="B8" t="n">
        <v>2023</v>
      </c>
      <c r="C8" s="5" t="n">
        <v>1910</v>
      </c>
      <c r="D8" t="n">
        <v>1236</v>
      </c>
      <c r="E8" s="5" t="n">
        <v>2150</v>
      </c>
      <c r="F8" t="n">
        <v>895</v>
      </c>
      <c r="G8" s="5" t="n">
        <v>3690</v>
      </c>
      <c r="H8" s="5" t="n">
        <v>9786380</v>
      </c>
    </row>
    <row r="9">
      <c r="A9" s="4" t="n">
        <v>45962</v>
      </c>
      <c r="B9" t="n">
        <v>1991</v>
      </c>
      <c r="C9" s="5" t="n">
        <v>1920</v>
      </c>
      <c r="D9" t="n">
        <v>1333</v>
      </c>
      <c r="E9" s="5" t="n">
        <v>2190</v>
      </c>
      <c r="F9" t="n">
        <v>1021</v>
      </c>
      <c r="G9" s="5" t="n">
        <v>3705</v>
      </c>
      <c r="H9" s="5">
        <f>B9*C9+D9*E9+F9*G9</f>
        <v/>
      </c>
    </row>
    <row r="10">
      <c r="A10" s="4" t="n">
        <v>45992</v>
      </c>
      <c r="B10" t="n">
        <v>1586</v>
      </c>
      <c r="C10" s="5" t="n">
        <v>1930</v>
      </c>
      <c r="D10" t="n">
        <v>971</v>
      </c>
      <c r="E10" s="5" t="n">
        <v>2190</v>
      </c>
      <c r="F10" t="n">
        <v>808</v>
      </c>
      <c r="G10" s="5" t="n">
        <v>3720</v>
      </c>
      <c r="H10" s="5">
        <f>B10*C10+D10*E10+F10*G10</f>
        <v/>
      </c>
    </row>
    <row r="11">
      <c r="A11" s="4" t="n">
        <v>46023</v>
      </c>
      <c r="B11" t="n">
        <v>1518</v>
      </c>
      <c r="C11" s="5" t="n">
        <v>1940</v>
      </c>
      <c r="D11" t="n">
        <v>1029</v>
      </c>
      <c r="E11" s="5" t="n">
        <v>2170</v>
      </c>
      <c r="F11" t="n">
        <v>786</v>
      </c>
      <c r="G11" s="5" t="n">
        <v>3735</v>
      </c>
      <c r="H11" s="5">
        <f>B11*C11+D11*E11+F11*G11</f>
        <v/>
      </c>
    </row>
    <row r="12">
      <c r="A12" s="4" t="n">
        <v>46054</v>
      </c>
      <c r="B12" t="n">
        <v>1738</v>
      </c>
      <c r="C12" s="5" t="n">
        <v>1950</v>
      </c>
      <c r="D12" t="n">
        <v>1039</v>
      </c>
      <c r="E12" s="5" t="n">
        <v>2150</v>
      </c>
      <c r="F12" t="n">
        <v>700</v>
      </c>
      <c r="G12" s="5" t="n">
        <v>3750</v>
      </c>
      <c r="H12" s="5">
        <f>B12*C12+D12*E12+F12*G12</f>
        <v/>
      </c>
    </row>
    <row r="13">
      <c r="A13" s="4" t="n">
        <v>46082</v>
      </c>
      <c r="B13" t="n">
        <v>1716</v>
      </c>
      <c r="C13" s="5" t="n">
        <v>1960</v>
      </c>
      <c r="D13" t="n">
        <v>982</v>
      </c>
      <c r="E13" s="5" t="n">
        <v>2170</v>
      </c>
      <c r="F13" t="n">
        <v>766</v>
      </c>
      <c r="G13" s="5" t="n">
        <v>3765</v>
      </c>
      <c r="H13" s="5">
        <f>B13*C13+D13*E13+F13*G13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1" customWidth="1" min="4" max="4"/>
    <col width="13" customWidth="1" min="5" max="5"/>
    <col width="14" customWidth="1" min="6" max="6"/>
  </cols>
  <sheetData>
    <row r="1">
      <c r="A1" s="3" t="inlineStr">
        <is>
          <t>Month</t>
        </is>
      </c>
      <c r="B1" s="3" t="inlineStr">
        <is>
          <t>COGS</t>
        </is>
      </c>
      <c r="C1" s="3" t="inlineStr">
        <is>
          <t>Salaries</t>
        </is>
      </c>
      <c r="D1" s="3" t="inlineStr">
        <is>
          <t>Rent</t>
        </is>
      </c>
      <c r="E1" s="3" t="inlineStr">
        <is>
          <t>Commission</t>
        </is>
      </c>
      <c r="F1" s="3" t="inlineStr">
        <is>
          <t>Other expenses</t>
        </is>
      </c>
    </row>
    <row r="2">
      <c r="A2" s="4" t="n">
        <v>45748</v>
      </c>
      <c r="B2" s="5">
        <f>'S20-03 Sales'!H2*'S20-03 Inputs'!$B$2</f>
        <v/>
      </c>
      <c r="C2" s="5">
        <f>'S20-03 Inputs'!$B$4</f>
        <v/>
      </c>
      <c r="D2" s="5">
        <f>'S20-03 Inputs'!$B$3</f>
        <v/>
      </c>
      <c r="E2" s="5">
        <f>'S20-03 Sales'!H2*'S20-03 Inputs'!B7</f>
        <v/>
      </c>
      <c r="F2" s="5">
        <f>'S20-03 Sales'!H2*'S20-03 Inputs'!$B$6</f>
        <v/>
      </c>
    </row>
    <row r="3">
      <c r="A3" s="4" t="n">
        <v>45778</v>
      </c>
      <c r="B3" s="5">
        <f>'S20-03 Sales'!H3*'S20-03 Inputs'!$B$2</f>
        <v/>
      </c>
      <c r="C3" s="5">
        <f>'S20-03 Inputs'!$B$4</f>
        <v/>
      </c>
      <c r="D3" s="5">
        <f>'S20-03 Inputs'!$B$3</f>
        <v/>
      </c>
      <c r="E3" s="5">
        <f>'S20-03 Sales'!H3*'S20-03 Inputs'!B8</f>
        <v/>
      </c>
      <c r="F3" s="5">
        <f>'S20-03 Sales'!H3*'S20-03 Inputs'!$B$6</f>
        <v/>
      </c>
    </row>
    <row r="4">
      <c r="A4" s="4" t="n">
        <v>45809</v>
      </c>
      <c r="B4" s="5">
        <f>'S20-03 Sales'!H4*'S20-03 Inputs'!$B$2</f>
        <v/>
      </c>
      <c r="C4" s="5">
        <f>'S20-03 Inputs'!$B$4</f>
        <v/>
      </c>
      <c r="D4" s="5">
        <f>'S20-03 Inputs'!$B$3</f>
        <v/>
      </c>
      <c r="E4" s="5">
        <f>'S20-03 Sales'!H4*'S20-03 Inputs'!B9</f>
        <v/>
      </c>
      <c r="F4" s="5">
        <f>'S20-03 Sales'!H4*'S20-03 Inputs'!$B$6</f>
        <v/>
      </c>
    </row>
    <row r="5">
      <c r="A5" s="4" t="n">
        <v>45839</v>
      </c>
      <c r="B5" s="5">
        <f>'S20-03 Sales'!H5*'S20-03 Inputs'!$B$2</f>
        <v/>
      </c>
      <c r="C5" s="5">
        <f>'S20-03 Inputs'!$B$4</f>
        <v/>
      </c>
      <c r="D5" s="5">
        <f>'S20-03 Inputs'!$B$3</f>
        <v/>
      </c>
      <c r="E5" s="5">
        <f>'S20-03 Sales'!H5*'S20-03 Inputs'!B10</f>
        <v/>
      </c>
      <c r="F5" s="5">
        <f>'S20-03 Sales'!H5*'S20-03 Inputs'!$B$6</f>
        <v/>
      </c>
    </row>
    <row r="6">
      <c r="A6" s="4" t="n">
        <v>45870</v>
      </c>
      <c r="B6" s="5">
        <f>'S20-03 Sales'!H6*'S20-03 Inputs'!$B$2</f>
        <v/>
      </c>
      <c r="C6" s="5">
        <f>'S20-03 Inputs'!$B$4</f>
        <v/>
      </c>
      <c r="D6" s="5">
        <f>'S20-03 Inputs'!$B$3</f>
        <v/>
      </c>
      <c r="E6" s="5">
        <f>'S20-03 Sales'!H6*'S20-03 Inputs'!B11</f>
        <v/>
      </c>
      <c r="F6" s="5">
        <f>'S20-03 Sales'!H6*'S20-03 Inputs'!$B$6</f>
        <v/>
      </c>
    </row>
    <row r="7">
      <c r="A7" s="4" t="n">
        <v>45901</v>
      </c>
      <c r="B7" s="5">
        <f>'S20-03 Sales'!H7*'S20-03 Inputs'!$B$2</f>
        <v/>
      </c>
      <c r="C7" s="5">
        <f>'S20-03 Inputs'!$B$4</f>
        <v/>
      </c>
      <c r="D7" s="5">
        <f>'S20-03 Inputs'!$B$3</f>
        <v/>
      </c>
      <c r="E7" s="5">
        <f>'S20-03 Sales'!H7*'S20-03 Inputs'!B12</f>
        <v/>
      </c>
      <c r="F7" s="5">
        <f>'S20-03 Sales'!H7*'S20-03 Inputs'!$B$6</f>
        <v/>
      </c>
    </row>
    <row r="8">
      <c r="A8" s="4" t="n">
        <v>45931</v>
      </c>
      <c r="B8" s="5">
        <f>'S20-03 Sales'!H8*'S20-03 Inputs'!$B$2</f>
        <v/>
      </c>
      <c r="C8" s="5">
        <f>'S20-03 Inputs'!$B$4*(1+'S20-03 Inputs'!$B$5)</f>
        <v/>
      </c>
      <c r="D8" s="5">
        <f>'S20-03 Inputs'!$B$3</f>
        <v/>
      </c>
      <c r="E8" s="5">
        <f>'S20-03 Sales'!H8*'S20-03 Inputs'!B13</f>
        <v/>
      </c>
      <c r="F8" s="5">
        <f>'S20-03 Sales'!H8*'S20-03 Inputs'!$B$6</f>
        <v/>
      </c>
    </row>
    <row r="9">
      <c r="A9" s="4" t="n">
        <v>45962</v>
      </c>
      <c r="B9" s="5">
        <f>'S20-03 Sales'!H9*'S20-03 Inputs'!$B$2</f>
        <v/>
      </c>
      <c r="C9" s="5">
        <f>'S20-03 Inputs'!$B$4*(1+'S20-03 Inputs'!$B$5)</f>
        <v/>
      </c>
      <c r="D9" s="5">
        <f>'S20-03 Inputs'!$B$3</f>
        <v/>
      </c>
      <c r="E9" s="5">
        <f>'S20-03 Sales'!H9*'S20-03 Inputs'!B14</f>
        <v/>
      </c>
      <c r="F9" s="5">
        <f>'S20-03 Sales'!H9*'S20-03 Inputs'!$B$6</f>
        <v/>
      </c>
    </row>
    <row r="10">
      <c r="A10" s="4" t="n">
        <v>45992</v>
      </c>
      <c r="B10" s="5">
        <f>'S20-03 Sales'!H10*'S20-03 Inputs'!$B$2</f>
        <v/>
      </c>
      <c r="C10" s="5">
        <f>'S20-03 Inputs'!$B$4*(1+'S20-03 Inputs'!$B$5)</f>
        <v/>
      </c>
      <c r="D10" s="5">
        <f>'S20-03 Inputs'!$B$3</f>
        <v/>
      </c>
      <c r="E10" s="5">
        <f>'S20-03 Sales'!H10*'S20-03 Inputs'!B15</f>
        <v/>
      </c>
      <c r="F10" s="5">
        <f>'S20-03 Sales'!H10*'S20-03 Inputs'!$B$6</f>
        <v/>
      </c>
    </row>
    <row r="11">
      <c r="A11" s="4" t="n">
        <v>46023</v>
      </c>
      <c r="B11" s="5">
        <f>'S20-03 Sales'!H11*'S20-03 Inputs'!$B$2</f>
        <v/>
      </c>
      <c r="C11" s="5">
        <f>'S20-03 Inputs'!$B$4*(1+'S20-03 Inputs'!$B$5)</f>
        <v/>
      </c>
      <c r="D11" s="5">
        <f>'S20-03 Inputs'!$B$3</f>
        <v/>
      </c>
      <c r="E11" s="5">
        <f>'S20-03 Sales'!H11*'S20-03 Inputs'!B16</f>
        <v/>
      </c>
      <c r="F11" s="5">
        <f>'S20-03 Sales'!H11*'S20-03 Inputs'!$B$6</f>
        <v/>
      </c>
    </row>
    <row r="12">
      <c r="A12" s="4" t="n">
        <v>46054</v>
      </c>
      <c r="B12" s="5">
        <f>'S20-03 Sales'!H12*'S20-03 Inputs'!$B$2</f>
        <v/>
      </c>
      <c r="C12" s="5">
        <f>'S20-03 Inputs'!$B$4*(1+'S20-03 Inputs'!$B$5)</f>
        <v/>
      </c>
      <c r="D12" s="5">
        <f>'S20-03 Inputs'!$B$3</f>
        <v/>
      </c>
      <c r="E12" s="5">
        <f>'S20-03 Sales'!H12*'S20-03 Inputs'!B17</f>
        <v/>
      </c>
      <c r="F12" s="5">
        <f>'S20-03 Sales'!H12*'S20-03 Inputs'!$B$6</f>
        <v/>
      </c>
    </row>
    <row r="13">
      <c r="A13" s="4" t="n">
        <v>46082</v>
      </c>
      <c r="B13" s="5">
        <f>'S20-03 Sales'!H13*'S20-03 Inputs'!$B$2</f>
        <v/>
      </c>
      <c r="C13" s="5">
        <f>'S20-03 Inputs'!$B$4*(1+'S20-03 Inputs'!$B$5)</f>
        <v/>
      </c>
      <c r="D13" s="5">
        <f>'S20-03 Inputs'!$B$3</f>
        <v/>
      </c>
      <c r="E13" s="5">
        <f>'S20-03 Sales'!H13*'S20-03 Inputs'!B18</f>
        <v/>
      </c>
      <c r="F13" s="5">
        <f>'S20-03 Sales'!H13*'S20-03 Inputs'!$B$6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3" t="inlineStr">
        <is>
          <t>Line item</t>
        </is>
      </c>
      <c r="B1" s="3" t="inlineStr">
        <is>
          <t>Apr-25</t>
        </is>
      </c>
      <c r="C1" s="3" t="inlineStr">
        <is>
          <t>May-25</t>
        </is>
      </c>
      <c r="D1" s="3" t="inlineStr">
        <is>
          <t>Jun-25</t>
        </is>
      </c>
      <c r="E1" s="3" t="inlineStr">
        <is>
          <t>Jul-25</t>
        </is>
      </c>
      <c r="F1" s="3" t="inlineStr">
        <is>
          <t>Aug-25</t>
        </is>
      </c>
      <c r="G1" s="3" t="inlineStr">
        <is>
          <t>Sep-25</t>
        </is>
      </c>
      <c r="H1" s="3" t="inlineStr">
        <is>
          <t>Oct-25</t>
        </is>
      </c>
      <c r="I1" s="3" t="inlineStr">
        <is>
          <t>Nov-25</t>
        </is>
      </c>
      <c r="J1" s="3" t="inlineStr">
        <is>
          <t>Dec-25</t>
        </is>
      </c>
      <c r="K1" s="3" t="inlineStr">
        <is>
          <t>Jan-26</t>
        </is>
      </c>
      <c r="L1" s="3" t="inlineStr">
        <is>
          <t>Feb-26</t>
        </is>
      </c>
      <c r="M1" s="3" t="inlineStr">
        <is>
          <t>Mar-26</t>
        </is>
      </c>
      <c r="N1" s="3" t="inlineStr">
        <is>
          <t>FY total</t>
        </is>
      </c>
    </row>
    <row r="2">
      <c r="A2" s="10" t="inlineStr">
        <is>
          <t>Revenue</t>
        </is>
      </c>
      <c r="B2" s="5">
        <f>'S20-03 Sales'!H2</f>
        <v/>
      </c>
      <c r="C2" s="5">
        <f>'S20-03 Sales'!H3</f>
        <v/>
      </c>
      <c r="D2" s="5">
        <f>'S20-03 Sales'!H4</f>
        <v/>
      </c>
      <c r="E2" s="5">
        <f>'S20-03 Sales'!H5</f>
        <v/>
      </c>
      <c r="F2" s="5">
        <f>'S20-03 Sales'!H6</f>
        <v/>
      </c>
      <c r="G2" s="5">
        <f>'S20-03 Sales'!H7</f>
        <v/>
      </c>
      <c r="H2" s="5">
        <f>'S20-03 Sales'!H8</f>
        <v/>
      </c>
      <c r="I2" s="5">
        <f>'S20-03 Sales'!H9</f>
        <v/>
      </c>
      <c r="J2" s="5">
        <f>'S20-03 Sales'!H10</f>
        <v/>
      </c>
      <c r="K2" s="5">
        <f>'S20-03 Sales'!H11</f>
        <v/>
      </c>
      <c r="L2" s="5">
        <f>'S20-03 Sales'!H12</f>
        <v/>
      </c>
      <c r="M2" s="5">
        <f>'S20-03 Sales'!H13</f>
        <v/>
      </c>
      <c r="N2" s="5">
        <f>SUM(B2:M2)</f>
        <v/>
      </c>
    </row>
    <row r="3">
      <c r="A3" s="10" t="inlineStr">
        <is>
          <t>COGS</t>
        </is>
      </c>
      <c r="B3" s="5">
        <f>'S20-03 Costs'!B2</f>
        <v/>
      </c>
      <c r="C3" s="5">
        <f>'S20-03 Costs'!B3</f>
        <v/>
      </c>
      <c r="D3" s="5">
        <f>'S20-03 Costs'!B4</f>
        <v/>
      </c>
      <c r="E3" s="5">
        <f>'S20-03 Costs'!B5</f>
        <v/>
      </c>
      <c r="F3" s="5">
        <f>'S20-03 Costs'!B6</f>
        <v/>
      </c>
      <c r="G3" s="5">
        <f>'S20-03 Costs'!B7</f>
        <v/>
      </c>
      <c r="H3" s="5">
        <f>'S20-03 Costs'!B8</f>
        <v/>
      </c>
      <c r="I3" s="5">
        <f>'S20-03 Costs'!B9</f>
        <v/>
      </c>
      <c r="J3" s="5">
        <f>'S20-03 Costs'!B10</f>
        <v/>
      </c>
      <c r="K3" s="5">
        <f>'S20-03 Costs'!B11</f>
        <v/>
      </c>
      <c r="L3" s="5">
        <f>'S20-03 Costs'!B12</f>
        <v/>
      </c>
      <c r="M3" s="5">
        <f>'S20-03 Costs'!B13</f>
        <v/>
      </c>
      <c r="N3" s="5">
        <f>SUM(B3:M3)</f>
        <v/>
      </c>
    </row>
    <row r="4">
      <c r="A4" s="7" t="inlineStr">
        <is>
          <t>Gross profit</t>
        </is>
      </c>
      <c r="B4" s="5">
        <f>B2-B3</f>
        <v/>
      </c>
      <c r="C4" s="5">
        <f>C2-C3</f>
        <v/>
      </c>
      <c r="D4" s="5">
        <f>D2-D3</f>
        <v/>
      </c>
      <c r="E4" s="5">
        <f>E2-E3</f>
        <v/>
      </c>
      <c r="F4" s="5">
        <f>F2-F3</f>
        <v/>
      </c>
      <c r="G4" s="5">
        <f>G2-G3</f>
        <v/>
      </c>
      <c r="H4" s="5">
        <f>H2-H3</f>
        <v/>
      </c>
      <c r="I4" s="5">
        <f>I2-I3</f>
        <v/>
      </c>
      <c r="J4" s="5">
        <f>J2-J3</f>
        <v/>
      </c>
      <c r="K4" s="5">
        <f>K2-K3</f>
        <v/>
      </c>
      <c r="L4" s="5">
        <f>L2-L3</f>
        <v/>
      </c>
      <c r="M4" s="5">
        <f>M2-M3</f>
        <v/>
      </c>
      <c r="N4" s="5">
        <f>SUM(B4:M4)</f>
        <v/>
      </c>
    </row>
    <row r="5">
      <c r="A5" s="10" t="inlineStr">
        <is>
          <t>Gross margin %</t>
        </is>
      </c>
      <c r="B5" s="6">
        <f>B4/B2</f>
        <v/>
      </c>
      <c r="C5" s="6">
        <f>C4/C2</f>
        <v/>
      </c>
      <c r="D5" s="6">
        <f>D4/D2</f>
        <v/>
      </c>
      <c r="E5" s="6">
        <f>E4/E2</f>
        <v/>
      </c>
      <c r="F5" s="6">
        <f>F4/F2</f>
        <v/>
      </c>
      <c r="G5" s="6">
        <f>G4/G2</f>
        <v/>
      </c>
      <c r="H5" s="6">
        <f>H4/H2</f>
        <v/>
      </c>
      <c r="I5" s="6">
        <f>I4/I2</f>
        <v/>
      </c>
      <c r="J5" s="6">
        <f>J4/J2</f>
        <v/>
      </c>
      <c r="K5" s="6">
        <f>K4/K2</f>
        <v/>
      </c>
      <c r="L5" s="6">
        <f>L4/L2</f>
        <v/>
      </c>
      <c r="M5" s="6">
        <f>M4/M2</f>
        <v/>
      </c>
      <c r="N5" s="6">
        <f>N4/N2</f>
        <v/>
      </c>
    </row>
    <row r="6">
      <c r="A6" s="10" t="inlineStr">
        <is>
          <t>Salaries</t>
        </is>
      </c>
      <c r="B6" s="5">
        <f>'S20-03 Costs'!C2</f>
        <v/>
      </c>
      <c r="C6" s="5">
        <f>'S20-03 Costs'!C3</f>
        <v/>
      </c>
      <c r="D6" s="5">
        <f>'S20-03 Costs'!C4</f>
        <v/>
      </c>
      <c r="E6" s="5">
        <f>'S20-03 Costs'!C5</f>
        <v/>
      </c>
      <c r="F6" s="5">
        <f>'S20-03 Costs'!C6</f>
        <v/>
      </c>
      <c r="G6" s="5">
        <f>'S20-03 Costs'!C7</f>
        <v/>
      </c>
      <c r="H6" s="5">
        <f>'S20-03 Costs'!C8</f>
        <v/>
      </c>
      <c r="I6" s="5">
        <f>'S20-03 Costs'!C9</f>
        <v/>
      </c>
      <c r="J6" s="5">
        <f>'S20-03 Costs'!C10</f>
        <v/>
      </c>
      <c r="K6" s="5">
        <f>'S20-03 Costs'!C11</f>
        <v/>
      </c>
      <c r="L6" s="5">
        <f>'S20-03 Costs'!C12</f>
        <v/>
      </c>
      <c r="M6" s="5">
        <f>'S20-03 Costs'!C13</f>
        <v/>
      </c>
      <c r="N6" s="5">
        <f>SUM(B6:M6)</f>
        <v/>
      </c>
    </row>
    <row r="7">
      <c r="A7" s="10" t="inlineStr">
        <is>
          <t>Rent</t>
        </is>
      </c>
      <c r="B7" s="5">
        <f>'S20-03 Costs'!D2</f>
        <v/>
      </c>
      <c r="C7" s="5">
        <f>'S20-03 Costs'!D3</f>
        <v/>
      </c>
      <c r="D7" s="5">
        <f>'S20-03 Costs'!D4</f>
        <v/>
      </c>
      <c r="E7" s="5">
        <f>'S20-03 Costs'!D5</f>
        <v/>
      </c>
      <c r="F7" s="5">
        <f>'S20-03 Costs'!D6</f>
        <v/>
      </c>
      <c r="G7" s="5">
        <f>'S20-03 Costs'!D7</f>
        <v/>
      </c>
      <c r="H7" s="5">
        <f>'S20-03 Costs'!D8</f>
        <v/>
      </c>
      <c r="I7" s="5">
        <f>'S20-03 Costs'!D9</f>
        <v/>
      </c>
      <c r="J7" s="5">
        <f>'S20-03 Costs'!D10</f>
        <v/>
      </c>
      <c r="K7" s="5">
        <f>'S20-03 Costs'!D11</f>
        <v/>
      </c>
      <c r="L7" s="5">
        <f>'S20-03 Costs'!D12</f>
        <v/>
      </c>
      <c r="M7" s="5">
        <f>'S20-03 Costs'!D13</f>
        <v/>
      </c>
      <c r="N7" s="5">
        <f>SUM(B7:M7)</f>
        <v/>
      </c>
    </row>
    <row r="8">
      <c r="A8" s="10" t="inlineStr">
        <is>
          <t>Commission</t>
        </is>
      </c>
      <c r="B8" s="5">
        <f>'S20-03 Costs'!E2</f>
        <v/>
      </c>
      <c r="C8" s="5">
        <f>'S20-03 Costs'!E3</f>
        <v/>
      </c>
      <c r="D8" s="5">
        <f>'S20-03 Costs'!E4</f>
        <v/>
      </c>
      <c r="E8" s="5">
        <f>'S20-03 Costs'!E5</f>
        <v/>
      </c>
      <c r="F8" s="5">
        <f>'S20-03 Costs'!E6</f>
        <v/>
      </c>
      <c r="G8" s="5">
        <f>'S20-03 Costs'!E7</f>
        <v/>
      </c>
      <c r="H8" s="5">
        <f>'S20-03 Costs'!E8</f>
        <v/>
      </c>
      <c r="I8" s="5">
        <f>'S20-03 Costs'!E9</f>
        <v/>
      </c>
      <c r="J8" s="5">
        <f>'S20-03 Costs'!E10</f>
        <v/>
      </c>
      <c r="K8" s="5">
        <f>'S20-03 Costs'!E11</f>
        <v/>
      </c>
      <c r="L8" s="5">
        <f>'S20-03 Costs'!E12</f>
        <v/>
      </c>
      <c r="M8" s="5">
        <f>'S20-03 Costs'!E13</f>
        <v/>
      </c>
      <c r="N8" s="5">
        <f>SUM(B8:M8)</f>
        <v/>
      </c>
    </row>
    <row r="9">
      <c r="A9" s="10" t="inlineStr">
        <is>
          <t>Other expenses</t>
        </is>
      </c>
      <c r="B9" s="5">
        <f>'S20-03 Costs'!F2</f>
        <v/>
      </c>
      <c r="C9" s="5">
        <f>'S20-03 Costs'!F3</f>
        <v/>
      </c>
      <c r="D9" s="5">
        <f>'S20-03 Costs'!F4</f>
        <v/>
      </c>
      <c r="E9" s="5">
        <f>'S20-03 Costs'!#REF!</f>
        <v/>
      </c>
      <c r="F9" s="5">
        <f>'S20-03 Costs'!F6</f>
        <v/>
      </c>
      <c r="G9" s="5">
        <f>'S20-03 Costs'!F7</f>
        <v/>
      </c>
      <c r="H9" s="5">
        <f>'S20-03 Costs'!F8</f>
        <v/>
      </c>
      <c r="I9" s="5">
        <f>'S20-03 Costs'!F9</f>
        <v/>
      </c>
      <c r="J9" s="5">
        <f>'S20-03 Costs'!F10</f>
        <v/>
      </c>
      <c r="K9" s="5">
        <f>'S20-03 Costs'!F11</f>
        <v/>
      </c>
      <c r="L9" s="5">
        <f>'S20-03 Costs'!F12</f>
        <v/>
      </c>
      <c r="M9" s="5">
        <f>'S20-03 Costs'!F13</f>
        <v/>
      </c>
      <c r="N9" s="5">
        <f>SUM(B9:M9)</f>
        <v/>
      </c>
    </row>
    <row r="10">
      <c r="A10" s="10" t="inlineStr">
        <is>
          <t>Total operating expenses</t>
        </is>
      </c>
      <c r="B10" s="5">
        <f>SUM(B6:B9)</f>
        <v/>
      </c>
      <c r="C10" s="5">
        <f>SUM(C6:C9)</f>
        <v/>
      </c>
      <c r="D10" s="5">
        <f>SUM(D6:D9)</f>
        <v/>
      </c>
      <c r="E10" s="5">
        <f>SUM(E6:E9)</f>
        <v/>
      </c>
      <c r="F10" s="5">
        <f>SUM(F6:F9)</f>
        <v/>
      </c>
      <c r="G10" s="5">
        <f>SUM(G6:G9)</f>
        <v/>
      </c>
      <c r="H10" s="5">
        <f>SUM(H6:H9)</f>
        <v/>
      </c>
      <c r="I10" s="5">
        <f>SUM(I6:I9)</f>
        <v/>
      </c>
      <c r="J10" s="5">
        <f>SUM(J6:J9)</f>
        <v/>
      </c>
      <c r="K10" s="5">
        <f>SUM(K6:K9)</f>
        <v/>
      </c>
      <c r="L10" s="5">
        <f>SUM(L6:L9)</f>
        <v/>
      </c>
      <c r="M10" s="5">
        <f>SUM(M6:M9)</f>
        <v/>
      </c>
      <c r="N10" s="5">
        <f>SUM(B10:M10)</f>
        <v/>
      </c>
    </row>
    <row r="11">
      <c r="A11" s="7" t="inlineStr">
        <is>
          <t>EBITDA</t>
        </is>
      </c>
      <c r="B11" s="5">
        <f>B4-B10</f>
        <v/>
      </c>
      <c r="C11" s="5">
        <f>C4-C10</f>
        <v/>
      </c>
      <c r="D11" s="5">
        <f>D4-D10</f>
        <v/>
      </c>
      <c r="E11" s="5">
        <f>E4-E10</f>
        <v/>
      </c>
      <c r="F11" s="5">
        <f>F4-F10</f>
        <v/>
      </c>
      <c r="G11" s="5">
        <f>G4-G10</f>
        <v/>
      </c>
      <c r="H11" s="5">
        <f>H4-H10</f>
        <v/>
      </c>
      <c r="I11" s="5">
        <f>I4-I10</f>
        <v/>
      </c>
      <c r="J11" s="5">
        <f>J4-J10</f>
        <v/>
      </c>
      <c r="K11" s="5">
        <f>K4-K10</f>
        <v/>
      </c>
      <c r="L11" s="5">
        <f>L4-L10</f>
        <v/>
      </c>
      <c r="M11" s="5">
        <f>M4-M10</f>
        <v/>
      </c>
      <c r="N11" s="5">
        <f>SUM(B11:L11)</f>
        <v/>
      </c>
    </row>
    <row r="12">
      <c r="A12" s="10" t="inlineStr">
        <is>
          <t>EBITDA margin %</t>
        </is>
      </c>
      <c r="B12" s="6">
        <f>B11/B2</f>
        <v/>
      </c>
      <c r="C12" s="6">
        <f>C11/C2</f>
        <v/>
      </c>
      <c r="D12" s="6">
        <f>D11/D2</f>
        <v/>
      </c>
      <c r="E12" s="6">
        <f>E11/E2</f>
        <v/>
      </c>
      <c r="F12" s="6">
        <f>F11/F2</f>
        <v/>
      </c>
      <c r="G12" s="6">
        <f>G11/G2</f>
        <v/>
      </c>
      <c r="H12" s="6">
        <f>H11/H2</f>
        <v/>
      </c>
      <c r="I12" s="6">
        <f>I11/I2</f>
        <v/>
      </c>
      <c r="J12" s="6">
        <f>J11/J2</f>
        <v/>
      </c>
      <c r="K12" s="6">
        <f>K11/K2</f>
        <v/>
      </c>
      <c r="L12" s="6">
        <f>L11/L2</f>
        <v/>
      </c>
      <c r="M12" s="6">
        <f>M11/M2</f>
        <v/>
      </c>
      <c r="N12" s="6">
        <f>N11/N2</f>
        <v/>
      </c>
    </row>
    <row r="15">
      <c r="A15" s="7" t="inlineStr">
        <is>
          <t>Hand check: revenue from the Sales sheet</t>
        </is>
      </c>
      <c r="B15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0" customWidth="1" min="4" max="4"/>
    <col width="22" customWidth="1" min="5" max="5"/>
  </cols>
  <sheetData>
    <row r="1">
      <c r="A1" s="12" t="inlineStr">
        <is>
          <t>How the inherited workbook fits together (map written with Claude, checked by hand)</t>
        </is>
      </c>
    </row>
    <row r="3">
      <c r="A3" s="3" t="inlineStr">
        <is>
          <t>Step</t>
        </is>
      </c>
      <c r="B3" s="3" t="inlineStr">
        <is>
          <t>Sheet</t>
        </is>
      </c>
      <c r="C3" s="3" t="inlineStr">
        <is>
          <t>What it holds</t>
        </is>
      </c>
      <c r="D3" s="3" t="inlineStr">
        <is>
          <t>Feeds into</t>
        </is>
      </c>
      <c r="E3" s="3" t="inlineStr">
        <is>
          <t>Key cells</t>
        </is>
      </c>
    </row>
    <row r="4">
      <c r="A4" s="13" t="inlineStr">
        <is>
          <t>1</t>
        </is>
      </c>
      <c r="B4" s="13" t="inlineStr">
        <is>
          <t>S20-03 Inputs</t>
        </is>
      </c>
      <c r="C4" s="13" t="inlineStr">
        <is>
          <t>Assumptions: COGS %, rent, salaries, increment, other %, commission %</t>
        </is>
      </c>
      <c r="D4" s="13" t="inlineStr">
        <is>
          <t>S20-03 Costs</t>
        </is>
      </c>
      <c r="E4" s="13" t="inlineStr">
        <is>
          <t>B2:B7</t>
        </is>
      </c>
    </row>
    <row r="5">
      <c r="A5" s="13" t="inlineStr">
        <is>
          <t>2</t>
        </is>
      </c>
      <c r="B5" s="13" t="inlineStr">
        <is>
          <t>S20-03 Sales</t>
        </is>
      </c>
      <c r="C5" s="13" t="inlineStr">
        <is>
          <t>Units x price for rice, oil and dal by month</t>
        </is>
      </c>
      <c r="D5" s="13" t="inlineStr">
        <is>
          <t>S20-03 Costs, S20-03</t>
        </is>
      </c>
      <c r="E5" s="13" t="inlineStr">
        <is>
          <t>H2:H13 = Revenue</t>
        </is>
      </c>
    </row>
    <row r="6">
      <c r="A6" s="13" t="inlineStr">
        <is>
          <t>3</t>
        </is>
      </c>
      <c r="B6" s="13" t="inlineStr">
        <is>
          <t>S20-03 Costs</t>
        </is>
      </c>
      <c r="C6" s="13" t="inlineStr">
        <is>
          <t>COGS, salaries, rent, commission, other expenses by month</t>
        </is>
      </c>
      <c r="D6" s="13" t="inlineStr">
        <is>
          <t>S20-03</t>
        </is>
      </c>
      <c r="E6" s="13" t="inlineStr">
        <is>
          <t>B2:F13</t>
        </is>
      </c>
    </row>
    <row r="7">
      <c r="A7" s="13" t="inlineStr">
        <is>
          <t>4</t>
        </is>
      </c>
      <c r="B7" s="13" t="inlineStr">
        <is>
          <t>S20-03</t>
        </is>
      </c>
      <c r="C7" s="13" t="inlineStr">
        <is>
          <t>Monthly P&amp;L summary and FY totals</t>
        </is>
      </c>
      <c r="D7" s="13" t="inlineStr">
        <is>
          <t>Reports</t>
        </is>
      </c>
      <c r="E7" s="13" t="inlineStr">
        <is>
          <t>N2 Revenue, N11 EBITDA</t>
        </is>
      </c>
    </row>
    <row r="8">
      <c r="A8" s="13" t="inlineStr"/>
      <c r="B8" s="13" t="inlineStr"/>
      <c r="C8" s="13" t="inlineStr"/>
      <c r="D8" s="13" t="inlineStr"/>
      <c r="E8" s="13" t="inlineStr"/>
    </row>
    <row r="9">
      <c r="A9" s="13" t="inlineStr">
        <is>
          <t>!</t>
        </is>
      </c>
      <c r="B9" s="13" t="inlineStr">
        <is>
          <t>Spotted on the way</t>
        </is>
      </c>
      <c r="C9" s="13" t="inlineStr">
        <is>
          <t>H8 in Sales is a typed number; Costs E3:E13 commission is 0; summary E9 is #REF!; N11 misses March</t>
        </is>
      </c>
      <c r="D9" s="13" t="inlineStr">
        <is>
          <t>Fix in S20-04</t>
        </is>
      </c>
      <c r="E9" s="13" t="inlineStr"/>
    </row>
    <row r="12">
      <c r="A12" s="7" t="inlineStr">
        <is>
          <t>Flow:  Inputs  →  Sales  →  Costs  →  Summary (S20-03)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3" t="inlineStr">
        <is>
          <t>Assumption</t>
        </is>
      </c>
      <c r="B1" s="3" t="inlineStr">
        <is>
          <t>Value</t>
        </is>
      </c>
      <c r="D1" s="2" t="inlineStr">
        <is>
          <t>Shree Ganesh Traders, Nagpur. Wholesale rice, oil and dal. FY 2025-26.</t>
        </is>
      </c>
    </row>
    <row r="2">
      <c r="A2" t="inlineStr">
        <is>
          <t>COGS % of revenue</t>
        </is>
      </c>
      <c r="B2" s="9" t="n">
        <v>0.78</v>
      </c>
    </row>
    <row r="3">
      <c r="A3" t="inlineStr">
        <is>
          <t>Monthly rent</t>
        </is>
      </c>
      <c r="B3" s="5" t="n">
        <v>85000</v>
      </c>
    </row>
    <row r="4">
      <c r="A4" t="inlineStr">
        <is>
          <t>Monthly salaries (Apr to Sep)</t>
        </is>
      </c>
      <c r="B4" s="5" t="n">
        <v>420000</v>
      </c>
    </row>
    <row r="5">
      <c r="A5" t="inlineStr">
        <is>
          <t>Salary increase from October</t>
        </is>
      </c>
      <c r="B5" s="9" t="n">
        <v>0.08</v>
      </c>
    </row>
    <row r="6">
      <c r="A6" t="inlineStr">
        <is>
          <t>Other expenses % of revenue</t>
        </is>
      </c>
      <c r="B6" s="9" t="n">
        <v>0.03</v>
      </c>
    </row>
    <row r="7">
      <c r="A7" t="inlineStr">
        <is>
          <t>Sales commission % of revenue</t>
        </is>
      </c>
      <c r="B7" s="6" t="n">
        <v>0.025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Month</t>
        </is>
      </c>
      <c r="B1" s="3" t="inlineStr">
        <is>
          <t>Basmati rice 25kg (bags)</t>
        </is>
      </c>
      <c r="C1" s="3" t="inlineStr">
        <is>
          <t>Rice price</t>
        </is>
      </c>
      <c r="D1" s="3" t="inlineStr">
        <is>
          <t>Sunflower oil 15L (tins)</t>
        </is>
      </c>
      <c r="E1" s="3" t="inlineStr">
        <is>
          <t>Oil price</t>
        </is>
      </c>
      <c r="F1" s="3" t="inlineStr">
        <is>
          <t>Toor dal 30kg (bags)</t>
        </is>
      </c>
      <c r="G1" s="3" t="inlineStr">
        <is>
          <t>Dal price</t>
        </is>
      </c>
      <c r="H1" s="3" t="inlineStr">
        <is>
          <t>Revenue</t>
        </is>
      </c>
    </row>
    <row r="2">
      <c r="A2" s="4" t="n">
        <v>45748</v>
      </c>
      <c r="B2" t="n">
        <v>1528</v>
      </c>
      <c r="C2" s="5" t="n">
        <v>1850</v>
      </c>
      <c r="D2" t="n">
        <v>1082</v>
      </c>
      <c r="E2" s="5" t="n">
        <v>2190</v>
      </c>
      <c r="F2" t="n">
        <v>842</v>
      </c>
      <c r="G2" s="5" t="n">
        <v>3600</v>
      </c>
      <c r="H2" s="5">
        <f>B2*C2+D2*E2+F2*G2</f>
        <v/>
      </c>
    </row>
    <row r="3">
      <c r="A3" s="4" t="n">
        <v>45778</v>
      </c>
      <c r="B3" t="n">
        <v>1556</v>
      </c>
      <c r="C3" s="5" t="n">
        <v>1860</v>
      </c>
      <c r="D3" t="n">
        <v>972</v>
      </c>
      <c r="E3" s="5" t="n">
        <v>2190</v>
      </c>
      <c r="F3" t="n">
        <v>778</v>
      </c>
      <c r="G3" s="5" t="n">
        <v>3615</v>
      </c>
      <c r="H3" s="5">
        <f>B3*C3+D3*E3+F3*G3</f>
        <v/>
      </c>
    </row>
    <row r="4">
      <c r="A4" s="4" t="n">
        <v>45809</v>
      </c>
      <c r="B4" t="n">
        <v>1602</v>
      </c>
      <c r="C4" s="5" t="n">
        <v>1870</v>
      </c>
      <c r="D4" t="n">
        <v>1087</v>
      </c>
      <c r="E4" s="5" t="n">
        <v>2190</v>
      </c>
      <c r="F4" t="n">
        <v>725</v>
      </c>
      <c r="G4" s="5" t="n">
        <v>3630</v>
      </c>
      <c r="H4" s="5">
        <f>B4*C4+D4*E4+F4*G4</f>
        <v/>
      </c>
    </row>
    <row r="5">
      <c r="A5" s="4" t="n">
        <v>45839</v>
      </c>
      <c r="B5" t="n">
        <v>1542</v>
      </c>
      <c r="C5" s="5" t="n">
        <v>1880</v>
      </c>
      <c r="D5" t="n">
        <v>986</v>
      </c>
      <c r="E5" s="5" t="n">
        <v>2150</v>
      </c>
      <c r="F5" t="n">
        <v>774</v>
      </c>
      <c r="G5" s="5" t="n">
        <v>3645</v>
      </c>
      <c r="H5" s="5">
        <f>B5*C5+D5*E5+F5*G5</f>
        <v/>
      </c>
    </row>
    <row r="6">
      <c r="A6" s="4" t="n">
        <v>45870</v>
      </c>
      <c r="B6" t="n">
        <v>1698</v>
      </c>
      <c r="C6" s="5" t="n">
        <v>1890</v>
      </c>
      <c r="D6" t="n">
        <v>984</v>
      </c>
      <c r="E6" s="5" t="n">
        <v>2190</v>
      </c>
      <c r="F6" t="n">
        <v>798</v>
      </c>
      <c r="G6" s="5" t="n">
        <v>3660</v>
      </c>
      <c r="H6" s="5">
        <f>B6*C6+D6*E6+F6*G6</f>
        <v/>
      </c>
    </row>
    <row r="7">
      <c r="A7" s="4" t="n">
        <v>45901</v>
      </c>
      <c r="B7" t="n">
        <v>1541</v>
      </c>
      <c r="C7" s="5" t="n">
        <v>1900</v>
      </c>
      <c r="D7" t="n">
        <v>1029</v>
      </c>
      <c r="E7" s="5" t="n">
        <v>2190</v>
      </c>
      <c r="F7" t="n">
        <v>802</v>
      </c>
      <c r="G7" s="5" t="n">
        <v>3675</v>
      </c>
      <c r="H7" s="5">
        <f>B7*C7+D7*E7+F7*G7</f>
        <v/>
      </c>
    </row>
    <row r="8">
      <c r="A8" s="4" t="n">
        <v>45931</v>
      </c>
      <c r="B8" t="n">
        <v>2023</v>
      </c>
      <c r="C8" s="5" t="n">
        <v>1910</v>
      </c>
      <c r="D8" t="n">
        <v>1236</v>
      </c>
      <c r="E8" s="5" t="n">
        <v>2150</v>
      </c>
      <c r="F8" t="n">
        <v>895</v>
      </c>
      <c r="G8" s="5" t="n">
        <v>3690</v>
      </c>
      <c r="H8" s="5" t="n">
        <v>9786380</v>
      </c>
    </row>
    <row r="9">
      <c r="A9" s="4" t="n">
        <v>45962</v>
      </c>
      <c r="B9" t="n">
        <v>1991</v>
      </c>
      <c r="C9" s="5" t="n">
        <v>1920</v>
      </c>
      <c r="D9" t="n">
        <v>1333</v>
      </c>
      <c r="E9" s="5" t="n">
        <v>2190</v>
      </c>
      <c r="F9" t="n">
        <v>1021</v>
      </c>
      <c r="G9" s="5" t="n">
        <v>3705</v>
      </c>
      <c r="H9" s="5">
        <f>B9*C9+D9*E9+F9*G9</f>
        <v/>
      </c>
    </row>
    <row r="10">
      <c r="A10" s="4" t="n">
        <v>45992</v>
      </c>
      <c r="B10" t="n">
        <v>1586</v>
      </c>
      <c r="C10" s="5" t="n">
        <v>1930</v>
      </c>
      <c r="D10" t="n">
        <v>971</v>
      </c>
      <c r="E10" s="5" t="n">
        <v>2190</v>
      </c>
      <c r="F10" t="n">
        <v>808</v>
      </c>
      <c r="G10" s="5" t="n">
        <v>3720</v>
      </c>
      <c r="H10" s="5">
        <f>B10*C10+D10*E10+F10*G10</f>
        <v/>
      </c>
    </row>
    <row r="11">
      <c r="A11" s="4" t="n">
        <v>46023</v>
      </c>
      <c r="B11" t="n">
        <v>1518</v>
      </c>
      <c r="C11" s="5" t="n">
        <v>1940</v>
      </c>
      <c r="D11" t="n">
        <v>1029</v>
      </c>
      <c r="E11" s="5" t="n">
        <v>2170</v>
      </c>
      <c r="F11" t="n">
        <v>786</v>
      </c>
      <c r="G11" s="5" t="n">
        <v>3735</v>
      </c>
      <c r="H11" s="5">
        <f>B11*C11+D11*E11+F11*G11</f>
        <v/>
      </c>
    </row>
    <row r="12">
      <c r="A12" s="4" t="n">
        <v>46054</v>
      </c>
      <c r="B12" t="n">
        <v>1738</v>
      </c>
      <c r="C12" s="5" t="n">
        <v>1950</v>
      </c>
      <c r="D12" t="n">
        <v>1039</v>
      </c>
      <c r="E12" s="5" t="n">
        <v>2150</v>
      </c>
      <c r="F12" t="n">
        <v>700</v>
      </c>
      <c r="G12" s="5" t="n">
        <v>3750</v>
      </c>
      <c r="H12" s="5">
        <f>B12*C12+D12*E12+F12*G12</f>
        <v/>
      </c>
    </row>
    <row r="13">
      <c r="A13" s="4" t="n">
        <v>46082</v>
      </c>
      <c r="B13" t="n">
        <v>1716</v>
      </c>
      <c r="C13" s="5" t="n">
        <v>1960</v>
      </c>
      <c r="D13" t="n">
        <v>982</v>
      </c>
      <c r="E13" s="5" t="n">
        <v>2170</v>
      </c>
      <c r="F13" t="n">
        <v>766</v>
      </c>
      <c r="G13" s="5" t="n">
        <v>3765</v>
      </c>
      <c r="H13" s="5">
        <f>B13*C13+D13*E13+F13*G13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1" customWidth="1" min="4" max="4"/>
    <col width="13" customWidth="1" min="5" max="5"/>
    <col width="14" customWidth="1" min="6" max="6"/>
  </cols>
  <sheetData>
    <row r="1">
      <c r="A1" s="3" t="inlineStr">
        <is>
          <t>Month</t>
        </is>
      </c>
      <c r="B1" s="3" t="inlineStr">
        <is>
          <t>COGS</t>
        </is>
      </c>
      <c r="C1" s="3" t="inlineStr">
        <is>
          <t>Salaries</t>
        </is>
      </c>
      <c r="D1" s="3" t="inlineStr">
        <is>
          <t>Rent</t>
        </is>
      </c>
      <c r="E1" s="3" t="inlineStr">
        <is>
          <t>Commission</t>
        </is>
      </c>
      <c r="F1" s="3" t="inlineStr">
        <is>
          <t>Other expenses</t>
        </is>
      </c>
    </row>
    <row r="2">
      <c r="A2" s="4" t="n">
        <v>45748</v>
      </c>
      <c r="B2" s="5">
        <f>'S20-04 Sales'!H2*'S20-04 Inputs'!$B$2</f>
        <v/>
      </c>
      <c r="C2" s="5">
        <f>'S20-04 Inputs'!$B$4</f>
        <v/>
      </c>
      <c r="D2" s="5">
        <f>'S20-04 Inputs'!$B$3</f>
        <v/>
      </c>
      <c r="E2" s="5">
        <f>'S20-04 Sales'!H2*'S20-04 Inputs'!B7</f>
        <v/>
      </c>
      <c r="F2" s="5">
        <f>'S20-04 Sales'!H2*'S20-04 Inputs'!$B$6</f>
        <v/>
      </c>
    </row>
    <row r="3">
      <c r="A3" s="4" t="n">
        <v>45778</v>
      </c>
      <c r="B3" s="5">
        <f>'S20-04 Sales'!H3*'S20-04 Inputs'!$B$2</f>
        <v/>
      </c>
      <c r="C3" s="5">
        <f>'S20-04 Inputs'!$B$4</f>
        <v/>
      </c>
      <c r="D3" s="5">
        <f>'S20-04 Inputs'!$B$3</f>
        <v/>
      </c>
      <c r="E3" s="5">
        <f>'S20-04 Sales'!H3*'S20-04 Inputs'!B8</f>
        <v/>
      </c>
      <c r="F3" s="5">
        <f>'S20-04 Sales'!H3*'S20-04 Inputs'!$B$6</f>
        <v/>
      </c>
    </row>
    <row r="4">
      <c r="A4" s="4" t="n">
        <v>45809</v>
      </c>
      <c r="B4" s="5">
        <f>'S20-04 Sales'!H4*'S20-04 Inputs'!$B$2</f>
        <v/>
      </c>
      <c r="C4" s="5">
        <f>'S20-04 Inputs'!$B$4</f>
        <v/>
      </c>
      <c r="D4" s="5">
        <f>'S20-04 Inputs'!$B$3</f>
        <v/>
      </c>
      <c r="E4" s="5">
        <f>'S20-04 Sales'!H4*'S20-04 Inputs'!B9</f>
        <v/>
      </c>
      <c r="F4" s="5">
        <f>'S20-04 Sales'!H4*'S20-04 Inputs'!$B$6</f>
        <v/>
      </c>
    </row>
    <row r="5">
      <c r="A5" s="4" t="n">
        <v>45839</v>
      </c>
      <c r="B5" s="5">
        <f>'S20-04 Sales'!H5*'S20-04 Inputs'!$B$2</f>
        <v/>
      </c>
      <c r="C5" s="5">
        <f>'S20-04 Inputs'!$B$4</f>
        <v/>
      </c>
      <c r="D5" s="5">
        <f>'S20-04 Inputs'!$B$3</f>
        <v/>
      </c>
      <c r="E5" s="5">
        <f>'S20-04 Sales'!H5*'S20-04 Inputs'!B10</f>
        <v/>
      </c>
      <c r="F5" s="5">
        <f>'S20-04 Sales'!H5*'S20-04 Inputs'!$B$6</f>
        <v/>
      </c>
    </row>
    <row r="6">
      <c r="A6" s="4" t="n">
        <v>45870</v>
      </c>
      <c r="B6" s="5">
        <f>'S20-04 Sales'!H6*'S20-04 Inputs'!$B$2</f>
        <v/>
      </c>
      <c r="C6" s="5">
        <f>'S20-04 Inputs'!$B$4</f>
        <v/>
      </c>
      <c r="D6" s="5">
        <f>'S20-04 Inputs'!$B$3</f>
        <v/>
      </c>
      <c r="E6" s="5">
        <f>'S20-04 Sales'!H6*'S20-04 Inputs'!B11</f>
        <v/>
      </c>
      <c r="F6" s="5">
        <f>'S20-04 Sales'!H6*'S20-04 Inputs'!$B$6</f>
        <v/>
      </c>
    </row>
    <row r="7">
      <c r="A7" s="4" t="n">
        <v>45901</v>
      </c>
      <c r="B7" s="5">
        <f>'S20-04 Sales'!H7*'S20-04 Inputs'!$B$2</f>
        <v/>
      </c>
      <c r="C7" s="5">
        <f>'S20-04 Inputs'!$B$4</f>
        <v/>
      </c>
      <c r="D7" s="5">
        <f>'S20-04 Inputs'!$B$3</f>
        <v/>
      </c>
      <c r="E7" s="5">
        <f>'S20-04 Sales'!H7*'S20-04 Inputs'!B12</f>
        <v/>
      </c>
      <c r="F7" s="5">
        <f>'S20-04 Sales'!H7*'S20-04 Inputs'!$B$6</f>
        <v/>
      </c>
    </row>
    <row r="8">
      <c r="A8" s="4" t="n">
        <v>45931</v>
      </c>
      <c r="B8" s="5">
        <f>'S20-04 Sales'!H8*'S20-04 Inputs'!$B$2</f>
        <v/>
      </c>
      <c r="C8" s="5">
        <f>'S20-04 Inputs'!$B$4*(1+'S20-04 Inputs'!$B$5)</f>
        <v/>
      </c>
      <c r="D8" s="5">
        <f>'S20-04 Inputs'!$B$3</f>
        <v/>
      </c>
      <c r="E8" s="5">
        <f>'S20-04 Sales'!H8*'S20-04 Inputs'!B13</f>
        <v/>
      </c>
      <c r="F8" s="5">
        <f>'S20-04 Sales'!H8*'S20-04 Inputs'!$B$6</f>
        <v/>
      </c>
    </row>
    <row r="9">
      <c r="A9" s="4" t="n">
        <v>45962</v>
      </c>
      <c r="B9" s="5">
        <f>'S20-04 Sales'!H9*'S20-04 Inputs'!$B$2</f>
        <v/>
      </c>
      <c r="C9" s="5">
        <f>'S20-04 Inputs'!$B$4*(1+'S20-04 Inputs'!$B$5)</f>
        <v/>
      </c>
      <c r="D9" s="5">
        <f>'S20-04 Inputs'!$B$3</f>
        <v/>
      </c>
      <c r="E9" s="5">
        <f>'S20-04 Sales'!H9*'S20-04 Inputs'!B14</f>
        <v/>
      </c>
      <c r="F9" s="5">
        <f>'S20-04 Sales'!H9*'S20-04 Inputs'!$B$6</f>
        <v/>
      </c>
    </row>
    <row r="10">
      <c r="A10" s="4" t="n">
        <v>45992</v>
      </c>
      <c r="B10" s="5">
        <f>'S20-04 Sales'!H10*'S20-04 Inputs'!$B$2</f>
        <v/>
      </c>
      <c r="C10" s="5">
        <f>'S20-04 Inputs'!$B$4*(1+'S20-04 Inputs'!$B$5)</f>
        <v/>
      </c>
      <c r="D10" s="5">
        <f>'S20-04 Inputs'!$B$3</f>
        <v/>
      </c>
      <c r="E10" s="5">
        <f>'S20-04 Sales'!H10*'S20-04 Inputs'!B15</f>
        <v/>
      </c>
      <c r="F10" s="5">
        <f>'S20-04 Sales'!H10*'S20-04 Inputs'!$B$6</f>
        <v/>
      </c>
    </row>
    <row r="11">
      <c r="A11" s="4" t="n">
        <v>46023</v>
      </c>
      <c r="B11" s="5">
        <f>'S20-04 Sales'!H11*'S20-04 Inputs'!$B$2</f>
        <v/>
      </c>
      <c r="C11" s="5">
        <f>'S20-04 Inputs'!$B$4*(1+'S20-04 Inputs'!$B$5)</f>
        <v/>
      </c>
      <c r="D11" s="5">
        <f>'S20-04 Inputs'!$B$3</f>
        <v/>
      </c>
      <c r="E11" s="5">
        <f>'S20-04 Sales'!H11*'S20-04 Inputs'!B16</f>
        <v/>
      </c>
      <c r="F11" s="5">
        <f>'S20-04 Sales'!H11*'S20-04 Inputs'!$B$6</f>
        <v/>
      </c>
    </row>
    <row r="12">
      <c r="A12" s="4" t="n">
        <v>46054</v>
      </c>
      <c r="B12" s="5">
        <f>'S20-04 Sales'!H12*'S20-04 Inputs'!$B$2</f>
        <v/>
      </c>
      <c r="C12" s="5">
        <f>'S20-04 Inputs'!$B$4*(1+'S20-04 Inputs'!$B$5)</f>
        <v/>
      </c>
      <c r="D12" s="5">
        <f>'S20-04 Inputs'!$B$3</f>
        <v/>
      </c>
      <c r="E12" s="5">
        <f>'S20-04 Sales'!H12*'S20-04 Inputs'!B17</f>
        <v/>
      </c>
      <c r="F12" s="5">
        <f>'S20-04 Sales'!H12*'S20-04 Inputs'!$B$6</f>
        <v/>
      </c>
    </row>
    <row r="13">
      <c r="A13" s="4" t="n">
        <v>46082</v>
      </c>
      <c r="B13" s="5">
        <f>'S20-04 Sales'!H13*'S20-04 Inputs'!$B$2</f>
        <v/>
      </c>
      <c r="C13" s="5">
        <f>'S20-04 Inputs'!$B$4*(1+'S20-04 Inputs'!$B$5)</f>
        <v/>
      </c>
      <c r="D13" s="5">
        <f>'S20-04 Inputs'!$B$3</f>
        <v/>
      </c>
      <c r="E13" s="5">
        <f>'S20-04 Sales'!H13*'S20-04 Inputs'!B18</f>
        <v/>
      </c>
      <c r="F13" s="5">
        <f>'S20-04 Sales'!H13*'S20-04 Inputs'!$B$6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3" t="inlineStr">
        <is>
          <t>Line item</t>
        </is>
      </c>
      <c r="B1" s="3" t="inlineStr">
        <is>
          <t>Apr-25</t>
        </is>
      </c>
      <c r="C1" s="3" t="inlineStr">
        <is>
          <t>May-25</t>
        </is>
      </c>
      <c r="D1" s="3" t="inlineStr">
        <is>
          <t>Jun-25</t>
        </is>
      </c>
      <c r="E1" s="3" t="inlineStr">
        <is>
          <t>Jul-25</t>
        </is>
      </c>
      <c r="F1" s="3" t="inlineStr">
        <is>
          <t>Aug-25</t>
        </is>
      </c>
      <c r="G1" s="3" t="inlineStr">
        <is>
          <t>Sep-25</t>
        </is>
      </c>
      <c r="H1" s="3" t="inlineStr">
        <is>
          <t>Oct-25</t>
        </is>
      </c>
      <c r="I1" s="3" t="inlineStr">
        <is>
          <t>Nov-25</t>
        </is>
      </c>
      <c r="J1" s="3" t="inlineStr">
        <is>
          <t>Dec-25</t>
        </is>
      </c>
      <c r="K1" s="3" t="inlineStr">
        <is>
          <t>Jan-26</t>
        </is>
      </c>
      <c r="L1" s="3" t="inlineStr">
        <is>
          <t>Feb-26</t>
        </is>
      </c>
      <c r="M1" s="3" t="inlineStr">
        <is>
          <t>Mar-26</t>
        </is>
      </c>
      <c r="N1" s="3" t="inlineStr">
        <is>
          <t>FY total</t>
        </is>
      </c>
    </row>
    <row r="2">
      <c r="A2" s="10" t="inlineStr">
        <is>
          <t>Revenue</t>
        </is>
      </c>
      <c r="B2" s="5">
        <f>'S20-04 Sales'!H2</f>
        <v/>
      </c>
      <c r="C2" s="5">
        <f>'S20-04 Sales'!H3</f>
        <v/>
      </c>
      <c r="D2" s="5">
        <f>'S20-04 Sales'!H4</f>
        <v/>
      </c>
      <c r="E2" s="5">
        <f>'S20-04 Sales'!H5</f>
        <v/>
      </c>
      <c r="F2" s="5">
        <f>'S20-04 Sales'!H6</f>
        <v/>
      </c>
      <c r="G2" s="5">
        <f>'S20-04 Sales'!H7</f>
        <v/>
      </c>
      <c r="H2" s="5">
        <f>'S20-04 Sales'!H8</f>
        <v/>
      </c>
      <c r="I2" s="5">
        <f>'S20-04 Sales'!H9</f>
        <v/>
      </c>
      <c r="J2" s="5">
        <f>'S20-04 Sales'!H10</f>
        <v/>
      </c>
      <c r="K2" s="5">
        <f>'S20-04 Sales'!H11</f>
        <v/>
      </c>
      <c r="L2" s="5">
        <f>'S20-04 Sales'!H12</f>
        <v/>
      </c>
      <c r="M2" s="5">
        <f>'S20-04 Sales'!H13</f>
        <v/>
      </c>
      <c r="N2" s="5">
        <f>SUM(B2:M2)</f>
        <v/>
      </c>
    </row>
    <row r="3">
      <c r="A3" s="10" t="inlineStr">
        <is>
          <t>COGS</t>
        </is>
      </c>
      <c r="B3" s="5">
        <f>'S20-04 Costs'!B2</f>
        <v/>
      </c>
      <c r="C3" s="5">
        <f>'S20-04 Costs'!B3</f>
        <v/>
      </c>
      <c r="D3" s="5">
        <f>'S20-04 Costs'!B4</f>
        <v/>
      </c>
      <c r="E3" s="5">
        <f>'S20-04 Costs'!B5</f>
        <v/>
      </c>
      <c r="F3" s="5">
        <f>'S20-04 Costs'!B6</f>
        <v/>
      </c>
      <c r="G3" s="5">
        <f>'S20-04 Costs'!B7</f>
        <v/>
      </c>
      <c r="H3" s="5">
        <f>'S20-04 Costs'!B8</f>
        <v/>
      </c>
      <c r="I3" s="5">
        <f>'S20-04 Costs'!B9</f>
        <v/>
      </c>
      <c r="J3" s="5">
        <f>'S20-04 Costs'!B10</f>
        <v/>
      </c>
      <c r="K3" s="5">
        <f>'S20-04 Costs'!B11</f>
        <v/>
      </c>
      <c r="L3" s="5">
        <f>'S20-04 Costs'!B12</f>
        <v/>
      </c>
      <c r="M3" s="5">
        <f>'S20-04 Costs'!B13</f>
        <v/>
      </c>
      <c r="N3" s="5">
        <f>SUM(B3:M3)</f>
        <v/>
      </c>
    </row>
    <row r="4">
      <c r="A4" s="7" t="inlineStr">
        <is>
          <t>Gross profit</t>
        </is>
      </c>
      <c r="B4" s="5">
        <f>B2-B3</f>
        <v/>
      </c>
      <c r="C4" s="5">
        <f>C2-C3</f>
        <v/>
      </c>
      <c r="D4" s="5">
        <f>D2-D3</f>
        <v/>
      </c>
      <c r="E4" s="5">
        <f>E2-E3</f>
        <v/>
      </c>
      <c r="F4" s="5">
        <f>F2-F3</f>
        <v/>
      </c>
      <c r="G4" s="5">
        <f>G2-G3</f>
        <v/>
      </c>
      <c r="H4" s="5">
        <f>H2-H3</f>
        <v/>
      </c>
      <c r="I4" s="5">
        <f>I2-I3</f>
        <v/>
      </c>
      <c r="J4" s="5">
        <f>J2-J3</f>
        <v/>
      </c>
      <c r="K4" s="5">
        <f>K2-K3</f>
        <v/>
      </c>
      <c r="L4" s="5">
        <f>L2-L3</f>
        <v/>
      </c>
      <c r="M4" s="5">
        <f>M2-M3</f>
        <v/>
      </c>
      <c r="N4" s="5">
        <f>SUM(B4:M4)</f>
        <v/>
      </c>
    </row>
    <row r="5">
      <c r="A5" s="10" t="inlineStr">
        <is>
          <t>Gross margin %</t>
        </is>
      </c>
      <c r="B5" s="6">
        <f>B4/B2</f>
        <v/>
      </c>
      <c r="C5" s="6">
        <f>C4/C2</f>
        <v/>
      </c>
      <c r="D5" s="6">
        <f>D4/D2</f>
        <v/>
      </c>
      <c r="E5" s="6">
        <f>E4/E2</f>
        <v/>
      </c>
      <c r="F5" s="6">
        <f>F4/F2</f>
        <v/>
      </c>
      <c r="G5" s="6">
        <f>G4/G2</f>
        <v/>
      </c>
      <c r="H5" s="6">
        <f>H4/H2</f>
        <v/>
      </c>
      <c r="I5" s="6">
        <f>I4/I2</f>
        <v/>
      </c>
      <c r="J5" s="6">
        <f>J4/J2</f>
        <v/>
      </c>
      <c r="K5" s="6">
        <f>K4/K2</f>
        <v/>
      </c>
      <c r="L5" s="6">
        <f>L4/L2</f>
        <v/>
      </c>
      <c r="M5" s="6">
        <f>M4/M2</f>
        <v/>
      </c>
      <c r="N5" s="6">
        <f>N4/N2</f>
        <v/>
      </c>
    </row>
    <row r="6">
      <c r="A6" s="10" t="inlineStr">
        <is>
          <t>Salaries</t>
        </is>
      </c>
      <c r="B6" s="5">
        <f>'S20-04 Costs'!C2</f>
        <v/>
      </c>
      <c r="C6" s="5">
        <f>'S20-04 Costs'!C3</f>
        <v/>
      </c>
      <c r="D6" s="5">
        <f>'S20-04 Costs'!C4</f>
        <v/>
      </c>
      <c r="E6" s="5">
        <f>'S20-04 Costs'!C5</f>
        <v/>
      </c>
      <c r="F6" s="5">
        <f>'S20-04 Costs'!C6</f>
        <v/>
      </c>
      <c r="G6" s="5">
        <f>'S20-04 Costs'!C7</f>
        <v/>
      </c>
      <c r="H6" s="5">
        <f>'S20-04 Costs'!C8</f>
        <v/>
      </c>
      <c r="I6" s="5">
        <f>'S20-04 Costs'!C9</f>
        <v/>
      </c>
      <c r="J6" s="5">
        <f>'S20-04 Costs'!C10</f>
        <v/>
      </c>
      <c r="K6" s="5">
        <f>'S20-04 Costs'!C11</f>
        <v/>
      </c>
      <c r="L6" s="5">
        <f>'S20-04 Costs'!C12</f>
        <v/>
      </c>
      <c r="M6" s="5">
        <f>'S20-04 Costs'!C13</f>
        <v/>
      </c>
      <c r="N6" s="5">
        <f>SUM(B6:M6)</f>
        <v/>
      </c>
    </row>
    <row r="7">
      <c r="A7" s="10" t="inlineStr">
        <is>
          <t>Rent</t>
        </is>
      </c>
      <c r="B7" s="5">
        <f>'S20-04 Costs'!D2</f>
        <v/>
      </c>
      <c r="C7" s="5">
        <f>'S20-04 Costs'!D3</f>
        <v/>
      </c>
      <c r="D7" s="5">
        <f>'S20-04 Costs'!D4</f>
        <v/>
      </c>
      <c r="E7" s="5">
        <f>'S20-04 Costs'!D5</f>
        <v/>
      </c>
      <c r="F7" s="5">
        <f>'S20-04 Costs'!D6</f>
        <v/>
      </c>
      <c r="G7" s="5">
        <f>'S20-04 Costs'!D7</f>
        <v/>
      </c>
      <c r="H7" s="5">
        <f>'S20-04 Costs'!D8</f>
        <v/>
      </c>
      <c r="I7" s="5">
        <f>'S20-04 Costs'!D9</f>
        <v/>
      </c>
      <c r="J7" s="5">
        <f>'S20-04 Costs'!D10</f>
        <v/>
      </c>
      <c r="K7" s="5">
        <f>'S20-04 Costs'!D11</f>
        <v/>
      </c>
      <c r="L7" s="5">
        <f>'S20-04 Costs'!D12</f>
        <v/>
      </c>
      <c r="M7" s="5">
        <f>'S20-04 Costs'!D13</f>
        <v/>
      </c>
      <c r="N7" s="5">
        <f>SUM(B7:M7)</f>
        <v/>
      </c>
    </row>
    <row r="8">
      <c r="A8" s="10" t="inlineStr">
        <is>
          <t>Commission</t>
        </is>
      </c>
      <c r="B8" s="5">
        <f>'S20-04 Costs'!E2</f>
        <v/>
      </c>
      <c r="C8" s="5">
        <f>'S20-04 Costs'!E3</f>
        <v/>
      </c>
      <c r="D8" s="5">
        <f>'S20-04 Costs'!E4</f>
        <v/>
      </c>
      <c r="E8" s="5">
        <f>'S20-04 Costs'!E5</f>
        <v/>
      </c>
      <c r="F8" s="5">
        <f>'S20-04 Costs'!E6</f>
        <v/>
      </c>
      <c r="G8" s="5">
        <f>'S20-04 Costs'!E7</f>
        <v/>
      </c>
      <c r="H8" s="5">
        <f>'S20-04 Costs'!E8</f>
        <v/>
      </c>
      <c r="I8" s="5">
        <f>'S20-04 Costs'!E9</f>
        <v/>
      </c>
      <c r="J8" s="5">
        <f>'S20-04 Costs'!E10</f>
        <v/>
      </c>
      <c r="K8" s="5">
        <f>'S20-04 Costs'!E11</f>
        <v/>
      </c>
      <c r="L8" s="5">
        <f>'S20-04 Costs'!E12</f>
        <v/>
      </c>
      <c r="M8" s="5">
        <f>'S20-04 Costs'!E13</f>
        <v/>
      </c>
      <c r="N8" s="5">
        <f>SUM(B8:M8)</f>
        <v/>
      </c>
    </row>
    <row r="9">
      <c r="A9" s="10" t="inlineStr">
        <is>
          <t>Other expenses</t>
        </is>
      </c>
      <c r="B9" s="5">
        <f>'S20-04 Costs'!F2</f>
        <v/>
      </c>
      <c r="C9" s="5">
        <f>'S20-04 Costs'!F3</f>
        <v/>
      </c>
      <c r="D9" s="5">
        <f>'S20-04 Costs'!F4</f>
        <v/>
      </c>
      <c r="E9" s="5">
        <f>'S20-04 Costs'!#REF!</f>
        <v/>
      </c>
      <c r="F9" s="5">
        <f>'S20-04 Costs'!F6</f>
        <v/>
      </c>
      <c r="G9" s="5">
        <f>'S20-04 Costs'!F7</f>
        <v/>
      </c>
      <c r="H9" s="5">
        <f>'S20-04 Costs'!F8</f>
        <v/>
      </c>
      <c r="I9" s="5">
        <f>'S20-04 Costs'!F9</f>
        <v/>
      </c>
      <c r="J9" s="5">
        <f>'S20-04 Costs'!F10</f>
        <v/>
      </c>
      <c r="K9" s="5">
        <f>'S20-04 Costs'!F11</f>
        <v/>
      </c>
      <c r="L9" s="5">
        <f>'S20-04 Costs'!F12</f>
        <v/>
      </c>
      <c r="M9" s="5">
        <f>'S20-04 Costs'!F13</f>
        <v/>
      </c>
      <c r="N9" s="5">
        <f>SUM(B9:M9)</f>
        <v/>
      </c>
    </row>
    <row r="10">
      <c r="A10" s="10" t="inlineStr">
        <is>
          <t>Total operating expenses</t>
        </is>
      </c>
      <c r="B10" s="5">
        <f>SUM(B6:B9)</f>
        <v/>
      </c>
      <c r="C10" s="5">
        <f>SUM(C6:C9)</f>
        <v/>
      </c>
      <c r="D10" s="5">
        <f>SUM(D6:D9)</f>
        <v/>
      </c>
      <c r="E10" s="5">
        <f>SUM(E6:E9)</f>
        <v/>
      </c>
      <c r="F10" s="5">
        <f>SUM(F6:F9)</f>
        <v/>
      </c>
      <c r="G10" s="5">
        <f>SUM(G6:G9)</f>
        <v/>
      </c>
      <c r="H10" s="5">
        <f>SUM(H6:H9)</f>
        <v/>
      </c>
      <c r="I10" s="5">
        <f>SUM(I6:I9)</f>
        <v/>
      </c>
      <c r="J10" s="5">
        <f>SUM(J6:J9)</f>
        <v/>
      </c>
      <c r="K10" s="5">
        <f>SUM(K6:K9)</f>
        <v/>
      </c>
      <c r="L10" s="5">
        <f>SUM(L6:L9)</f>
        <v/>
      </c>
      <c r="M10" s="5">
        <f>SUM(M6:M9)</f>
        <v/>
      </c>
      <c r="N10" s="5">
        <f>SUM(B10:M10)</f>
        <v/>
      </c>
    </row>
    <row r="11">
      <c r="A11" s="7" t="inlineStr">
        <is>
          <t>EBITDA</t>
        </is>
      </c>
      <c r="B11" s="5">
        <f>B4-B10</f>
        <v/>
      </c>
      <c r="C11" s="5">
        <f>C4-C10</f>
        <v/>
      </c>
      <c r="D11" s="5">
        <f>D4-D10</f>
        <v/>
      </c>
      <c r="E11" s="5">
        <f>E4-E10</f>
        <v/>
      </c>
      <c r="F11" s="5">
        <f>F4-F10</f>
        <v/>
      </c>
      <c r="G11" s="5">
        <f>G4-G10</f>
        <v/>
      </c>
      <c r="H11" s="5">
        <f>H4-H10</f>
        <v/>
      </c>
      <c r="I11" s="5">
        <f>I4-I10</f>
        <v/>
      </c>
      <c r="J11" s="5">
        <f>J4-J10</f>
        <v/>
      </c>
      <c r="K11" s="5">
        <f>K4-K10</f>
        <v/>
      </c>
      <c r="L11" s="5">
        <f>L4-L10</f>
        <v/>
      </c>
      <c r="M11" s="5">
        <f>M4-M10</f>
        <v/>
      </c>
      <c r="N11" s="5">
        <f>SUM(B11:L11)</f>
        <v/>
      </c>
    </row>
    <row r="12">
      <c r="A12" s="10" t="inlineStr">
        <is>
          <t>EBITDA margin %</t>
        </is>
      </c>
      <c r="B12" s="6">
        <f>B11/B2</f>
        <v/>
      </c>
      <c r="C12" s="6">
        <f>C11/C2</f>
        <v/>
      </c>
      <c r="D12" s="6">
        <f>D11/D2</f>
        <v/>
      </c>
      <c r="E12" s="6">
        <f>E11/E2</f>
        <v/>
      </c>
      <c r="F12" s="6">
        <f>F11/F2</f>
        <v/>
      </c>
      <c r="G12" s="6">
        <f>G11/G2</f>
        <v/>
      </c>
      <c r="H12" s="6">
        <f>H11/H2</f>
        <v/>
      </c>
      <c r="I12" s="6">
        <f>I11/I2</f>
        <v/>
      </c>
      <c r="J12" s="6">
        <f>J11/J2</f>
        <v/>
      </c>
      <c r="K12" s="6">
        <f>K11/K2</f>
        <v/>
      </c>
      <c r="L12" s="6">
        <f>L11/L2</f>
        <v/>
      </c>
      <c r="M12" s="6">
        <f>M11/M2</f>
        <v/>
      </c>
      <c r="N12" s="6">
        <f>N11/N2</f>
        <v/>
      </c>
    </row>
    <row r="15">
      <c r="A15" s="7" t="inlineStr">
        <is>
          <t>Hand check: FY revenue (sum of Sales H2:H13)</t>
        </is>
      </c>
      <c r="B15" s="1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36" customWidth="1" min="4" max="4"/>
    <col width="40" customWidth="1" min="5" max="5"/>
  </cols>
  <sheetData>
    <row r="1">
      <c r="A1" s="12" t="inlineStr">
        <is>
          <t>Fix log: four problems found by Claude, each fix approved and checked</t>
        </is>
      </c>
    </row>
    <row r="3">
      <c r="A3" s="3" t="inlineStr">
        <is>
          <t>#</t>
        </is>
      </c>
      <c r="B3" s="3" t="inlineStr">
        <is>
          <t>Cell</t>
        </is>
      </c>
      <c r="C3" s="3" t="inlineStr">
        <is>
          <t>Problem</t>
        </is>
      </c>
      <c r="D3" s="3" t="inlineStr">
        <is>
          <t>Before</t>
        </is>
      </c>
      <c r="E3" s="3" t="inlineStr">
        <is>
          <t>After</t>
        </is>
      </c>
    </row>
    <row r="4">
      <c r="A4" s="13" t="inlineStr">
        <is>
          <t>1</t>
        </is>
      </c>
      <c r="B4" s="13" t="inlineStr">
        <is>
          <t>'S20-04'!E9</t>
        </is>
      </c>
      <c r="C4" s="13" t="inlineStr">
        <is>
          <t>#REF! error in July other expenses</t>
        </is>
      </c>
      <c r="D4" s="13">
        <f>'S20-04 Costs'!#REF!</f>
        <v/>
      </c>
      <c r="E4" s="13">
        <f>'S20-04 Costs'!F5</f>
        <v/>
      </c>
    </row>
    <row r="5">
      <c r="A5" s="13" t="inlineStr">
        <is>
          <t>2</t>
        </is>
      </c>
      <c r="B5" s="13" t="inlineStr">
        <is>
          <t>'S20-04'!N11</t>
        </is>
      </c>
      <c r="C5" s="13" t="inlineStr">
        <is>
          <t>FY EBITDA misses March</t>
        </is>
      </c>
      <c r="D5" s="13">
        <f>SUM(B11:L11)</f>
        <v/>
      </c>
      <c r="E5" s="13">
        <f>SUM(B11:M11)</f>
        <v/>
      </c>
    </row>
    <row r="6">
      <c r="A6" s="13" t="inlineStr">
        <is>
          <t>3</t>
        </is>
      </c>
      <c r="B6" s="13" t="inlineStr">
        <is>
          <t>'S20-04 Sales'!H8</t>
        </is>
      </c>
      <c r="C6" s="13" t="inlineStr">
        <is>
          <t>October revenue typed as a stale number</t>
        </is>
      </c>
      <c r="D6" s="13" t="inlineStr">
        <is>
          <t>a typed number</t>
        </is>
      </c>
      <c r="E6" s="13">
        <f>B8*C8+D8*E8+F8*G8</f>
        <v/>
      </c>
    </row>
    <row r="7">
      <c r="A7" s="13" t="inlineStr">
        <is>
          <t>4</t>
        </is>
      </c>
      <c r="B7" s="13" t="inlineStr">
        <is>
          <t>'S20-04 Costs'!E2:E13</t>
        </is>
      </c>
      <c r="C7" s="13" t="inlineStr">
        <is>
          <t>Commission reference drifts to blank cells (no $)</t>
        </is>
      </c>
      <c r="D7" s="13">
        <f>'S20-04 Sales'!H3*'S20-04 Inputs'!B8</f>
        <v/>
      </c>
      <c r="E7" s="13">
        <f>'S20-04 Sales'!H3*'S20-04 Inputs'!$B$7</f>
        <v/>
      </c>
    </row>
    <row r="10">
      <c r="A10" s="7" t="inlineStr">
        <is>
          <t>Correct FY revenue</t>
        </is>
      </c>
      <c r="B10" s="5" t="n">
        <v>101606325</v>
      </c>
    </row>
    <row r="11">
      <c r="A11" s="7" t="inlineStr">
        <is>
          <t>Correct FY EBITDA</t>
        </is>
      </c>
      <c r="B11" s="5" t="n">
        <v>10503443.625</v>
      </c>
    </row>
    <row r="13">
      <c r="A13" s="2" t="inlineStr">
        <is>
          <t>Values above are what 'S20-04'!N2 and N11 show after all four fixes.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4" customWidth="1" min="4" max="4"/>
    <col width="13" customWidth="1" min="5" max="5"/>
    <col width="19" customWidth="1" min="6" max="6"/>
    <col width="24" customWidth="1" min="8" max="8"/>
    <col width="10" customWidth="1" min="9" max="9"/>
  </cols>
  <sheetData>
    <row r="1">
      <c r="A1" s="3" t="inlineStr">
        <is>
          <t>Customer name</t>
        </is>
      </c>
      <c r="B1" s="3" t="inlineStr">
        <is>
          <t>Phone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Onboarded on</t>
        </is>
      </c>
      <c r="F1" s="3" t="inlineStr">
        <is>
          <t>GSTIN</t>
        </is>
      </c>
      <c r="H1" s="7" t="inlineStr">
        <is>
          <t>Hand check</t>
        </is>
      </c>
    </row>
    <row r="2">
      <c r="A2" t="inlineStr">
        <is>
          <t xml:space="preserve">  sharma electricals </t>
        </is>
      </c>
      <c r="B2" t="inlineStr">
        <is>
          <t>98220 45671</t>
        </is>
      </c>
      <c r="C2" t="inlineStr">
        <is>
          <t>Pune</t>
        </is>
      </c>
      <c r="D2" t="inlineStr">
        <is>
          <t>MH</t>
        </is>
      </c>
      <c r="E2" t="inlineStr">
        <is>
          <t>03/04/2026</t>
        </is>
      </c>
      <c r="F2" t="inlineStr">
        <is>
          <t>27aaqfs1234k1z5</t>
        </is>
      </c>
      <c r="H2" t="inlineStr">
        <is>
          <t>Rows in original</t>
        </is>
      </c>
      <c r="I2" s="14" t="n"/>
    </row>
    <row r="3">
      <c r="A3" t="inlineStr">
        <is>
          <t>KAVERI TRADERS</t>
        </is>
      </c>
      <c r="B3" t="inlineStr">
        <is>
          <t>+91-9845012345</t>
        </is>
      </c>
      <c r="C3" t="inlineStr">
        <is>
          <t>Bengaluru</t>
        </is>
      </c>
      <c r="D3" t="inlineStr">
        <is>
          <t>Karnataka</t>
        </is>
      </c>
      <c r="E3" t="inlineStr">
        <is>
          <t>2026-04-07</t>
        </is>
      </c>
      <c r="F3" t="inlineStr">
        <is>
          <t>29AAFFK7390P1Z8</t>
        </is>
      </c>
      <c r="H3" t="inlineStr">
        <is>
          <t>Rows in S20-05 Clean</t>
        </is>
      </c>
      <c r="I3" s="14" t="n"/>
    </row>
    <row r="4">
      <c r="A4" t="inlineStr">
        <is>
          <t>om sai distributors</t>
        </is>
      </c>
      <c r="B4" t="inlineStr">
        <is>
          <t>09876543210</t>
        </is>
      </c>
      <c r="C4" t="inlineStr">
        <is>
          <t>Nashik</t>
        </is>
      </c>
      <c r="D4" t="inlineStr">
        <is>
          <t>Maharastra</t>
        </is>
      </c>
      <c r="E4" t="inlineStr">
        <is>
          <t>12 Apr 2026</t>
        </is>
      </c>
      <c r="F4" t="inlineStr">
        <is>
          <t>27ABMPO2245Q1ZK</t>
        </is>
      </c>
    </row>
    <row r="5">
      <c r="A5" t="inlineStr">
        <is>
          <t>Ganga Retail Pvt. Ltd.</t>
        </is>
      </c>
      <c r="B5" t="inlineStr">
        <is>
          <t>9415 123 456</t>
        </is>
      </c>
      <c r="C5" t="inlineStr">
        <is>
          <t>Lucknow</t>
        </is>
      </c>
      <c r="D5" t="inlineStr">
        <is>
          <t>U.P.</t>
        </is>
      </c>
      <c r="E5" t="inlineStr">
        <is>
          <t>15.04.2026</t>
        </is>
      </c>
      <c r="F5" t="inlineStr">
        <is>
          <t>09AACCG8812L1Z2</t>
        </is>
      </c>
    </row>
    <row r="6">
      <c r="A6" t="inlineStr">
        <is>
          <t>lakshmi agencies</t>
        </is>
      </c>
      <c r="B6" t="inlineStr">
        <is>
          <t>044-2345 6789</t>
        </is>
      </c>
      <c r="C6" t="inlineStr">
        <is>
          <t>Chennai</t>
        </is>
      </c>
      <c r="D6" t="inlineStr">
        <is>
          <t>Tamilnadu</t>
        </is>
      </c>
      <c r="E6" t="inlineStr">
        <is>
          <t>Apr 18, 2026</t>
        </is>
      </c>
      <c r="F6" t="inlineStr">
        <is>
          <t>33AAEFL5521M1Z9</t>
        </is>
      </c>
    </row>
    <row r="7">
      <c r="A7" t="inlineStr">
        <is>
          <t>NAVKAR SUPPLIES</t>
        </is>
      </c>
      <c r="B7" t="inlineStr">
        <is>
          <t>+91 99250 11223</t>
        </is>
      </c>
      <c r="C7" t="inlineStr">
        <is>
          <t>Surat</t>
        </is>
      </c>
      <c r="D7" t="inlineStr">
        <is>
          <t>GJ</t>
        </is>
      </c>
      <c r="E7" t="inlineStr">
        <is>
          <t>21-04-26</t>
        </is>
      </c>
      <c r="F7" t="inlineStr">
        <is>
          <t>24AAJFN3307B1Z4</t>
        </is>
      </c>
    </row>
    <row r="8">
      <c r="A8" t="inlineStr">
        <is>
          <t>Royal Book House</t>
        </is>
      </c>
      <c r="B8" t="inlineStr">
        <is>
          <t>9811198111</t>
        </is>
      </c>
      <c r="C8" t="inlineStr">
        <is>
          <t>New Delhi</t>
        </is>
      </c>
      <c r="D8" t="inlineStr">
        <is>
          <t>Delhi NCR</t>
        </is>
      </c>
      <c r="E8" t="inlineStr">
        <is>
          <t>02/05/2026</t>
        </is>
      </c>
      <c r="F8" t="inlineStr">
        <is>
          <t>07AAHFR6610C1Z7</t>
        </is>
      </c>
    </row>
    <row r="9">
      <c r="A9" t="inlineStr">
        <is>
          <t>mahalaxmi mart</t>
        </is>
      </c>
      <c r="B9" t="inlineStr">
        <is>
          <t>8888 777 666</t>
        </is>
      </c>
      <c r="C9" t="inlineStr">
        <is>
          <t>Kolhapur</t>
        </is>
      </c>
      <c r="D9" t="inlineStr">
        <is>
          <t>maharashtra</t>
        </is>
      </c>
      <c r="E9" t="inlineStr">
        <is>
          <t>2026-05-06</t>
        </is>
      </c>
      <c r="F9" t="inlineStr">
        <is>
          <t>27aamfm4410d1z3</t>
        </is>
      </c>
    </row>
    <row r="10">
      <c r="A10" t="inlineStr">
        <is>
          <t>Sri Venkateswara Traders</t>
        </is>
      </c>
      <c r="B10" t="inlineStr">
        <is>
          <t>+91-9440098765</t>
        </is>
      </c>
      <c r="C10" t="inlineStr">
        <is>
          <t>Vijayawada</t>
        </is>
      </c>
      <c r="D10" t="inlineStr">
        <is>
          <t>AP</t>
        </is>
      </c>
      <c r="E10" t="inlineStr">
        <is>
          <t>9 May 2026</t>
        </is>
      </c>
      <c r="F10" t="inlineStr">
        <is>
          <t>37AAKFS9902E1Z6</t>
        </is>
      </c>
    </row>
    <row r="11">
      <c r="A11" t="inlineStr">
        <is>
          <t>Bharat Steel Traders</t>
        </is>
      </c>
      <c r="B11" t="inlineStr">
        <is>
          <t>079 2656 1234</t>
        </is>
      </c>
      <c r="C11" t="inlineStr">
        <is>
          <t>Ahmedabad</t>
        </is>
      </c>
      <c r="D11" t="inlineStr">
        <is>
          <t xml:space="preserve">Gujarat </t>
        </is>
      </c>
      <c r="E11" t="inlineStr">
        <is>
          <t>13.05.2026</t>
        </is>
      </c>
      <c r="F11" t="inlineStr">
        <is>
          <t>24AACFB6612R1Z1</t>
        </is>
      </c>
    </row>
    <row r="12">
      <c r="A12" t="inlineStr">
        <is>
          <t>KALINGA HARDWARE</t>
        </is>
      </c>
      <c r="B12" t="inlineStr">
        <is>
          <t>9437012345</t>
        </is>
      </c>
      <c r="C12" t="inlineStr">
        <is>
          <t>Bhubaneswar</t>
        </is>
      </c>
      <c r="D12" t="inlineStr">
        <is>
          <t>Orissa</t>
        </is>
      </c>
      <c r="E12" t="inlineStr">
        <is>
          <t>May 16, 2026</t>
        </is>
      </c>
      <c r="F12" t="inlineStr">
        <is>
          <t>21AAGFK1108F1Z0</t>
        </is>
      </c>
    </row>
    <row r="13">
      <c r="A13" t="inlineStr">
        <is>
          <t>gupta electricals</t>
        </is>
      </c>
      <c r="B13" t="inlineStr">
        <is>
          <t>+91 9810 555 444</t>
        </is>
      </c>
      <c r="C13" t="inlineStr">
        <is>
          <t>Gurgaon</t>
        </is>
      </c>
      <c r="D13" t="inlineStr">
        <is>
          <t>HR</t>
        </is>
      </c>
      <c r="E13" t="inlineStr">
        <is>
          <t>20-05-26</t>
        </is>
      </c>
      <c r="F13" t="inlineStr">
        <is>
          <t>06AFKPG3381L1Z6</t>
        </is>
      </c>
    </row>
    <row r="14">
      <c r="A14" t="inlineStr">
        <is>
          <t>Malabar Spices Co</t>
        </is>
      </c>
      <c r="B14" t="inlineStr">
        <is>
          <t>0484 2401234</t>
        </is>
      </c>
      <c r="C14" t="inlineStr">
        <is>
          <t>Kochi</t>
        </is>
      </c>
      <c r="D14" t="inlineStr">
        <is>
          <t>KL</t>
        </is>
      </c>
      <c r="E14" t="inlineStr">
        <is>
          <t>01/06/2026</t>
        </is>
      </c>
      <c r="F14" t="inlineStr">
        <is>
          <t>32AAHFM7703G1Z5</t>
        </is>
      </c>
    </row>
    <row r="15">
      <c r="A15" t="inlineStr">
        <is>
          <t>PONDY TEXTILES</t>
        </is>
      </c>
      <c r="B15" t="inlineStr">
        <is>
          <t>9443322110</t>
        </is>
      </c>
      <c r="C15" t="inlineStr">
        <is>
          <t>Puducherry</t>
        </is>
      </c>
      <c r="D15" t="inlineStr">
        <is>
          <t>Pondicherry</t>
        </is>
      </c>
      <c r="E15" t="inlineStr">
        <is>
          <t>2026-06-04</t>
        </is>
      </c>
      <c r="F15" t="inlineStr">
        <is>
          <t>34AAIFP2290H1Z3</t>
        </is>
      </c>
    </row>
    <row r="16">
      <c r="A16" t="inlineStr">
        <is>
          <t>Deccan Agro Foods</t>
        </is>
      </c>
      <c r="B16" t="inlineStr">
        <is>
          <t>+91-9849012345</t>
        </is>
      </c>
      <c r="C16" t="inlineStr">
        <is>
          <t>Hyderabad</t>
        </is>
      </c>
      <c r="D16" t="inlineStr">
        <is>
          <t>Telengana</t>
        </is>
      </c>
      <c r="E16" t="inlineStr">
        <is>
          <t>8 Jun 2026</t>
        </is>
      </c>
      <c r="F16" t="inlineStr">
        <is>
          <t>36AAJFD4456J1Z1</t>
        </is>
      </c>
    </row>
    <row r="17">
      <c r="A17" t="inlineStr">
        <is>
          <t>bengal sweets house</t>
        </is>
      </c>
      <c r="B17" t="inlineStr">
        <is>
          <t>033 2219 8877</t>
        </is>
      </c>
      <c r="C17" t="inlineStr">
        <is>
          <t>Kolkata</t>
        </is>
      </c>
      <c r="D17" t="inlineStr">
        <is>
          <t>W.B.</t>
        </is>
      </c>
      <c r="E17" t="inlineStr">
        <is>
          <t>11.06.2026</t>
        </is>
      </c>
      <c r="F17" t="inlineStr">
        <is>
          <t>19AAKFB8834K1Z8</t>
        </is>
      </c>
    </row>
    <row r="18">
      <c r="A18" t="inlineStr">
        <is>
          <t>Rajputana Handicrafts</t>
        </is>
      </c>
      <c r="B18" t="inlineStr">
        <is>
          <t>9829011122</t>
        </is>
      </c>
      <c r="C18" t="inlineStr">
        <is>
          <t>Jaipur</t>
        </is>
      </c>
      <c r="D18" t="inlineStr">
        <is>
          <t>RJ</t>
        </is>
      </c>
      <c r="E18" t="inlineStr">
        <is>
          <t>Jun 14, 2026</t>
        </is>
      </c>
      <c r="F18" t="inlineStr">
        <is>
          <t>08AALFR5567L1Z2</t>
        </is>
      </c>
    </row>
    <row r="19">
      <c r="A19" t="inlineStr">
        <is>
          <t xml:space="preserve">  Patil Agro Centre</t>
        </is>
      </c>
      <c r="B19" t="inlineStr">
        <is>
          <t>+91 94220 33445</t>
        </is>
      </c>
      <c r="C19" t="inlineStr">
        <is>
          <t>Satara</t>
        </is>
      </c>
      <c r="D19" t="inlineStr">
        <is>
          <t>MAHARASHTRA</t>
        </is>
      </c>
      <c r="E19" t="inlineStr">
        <is>
          <t>18-06-26</t>
        </is>
      </c>
      <c r="F19" t="inlineStr">
        <is>
          <t>27AAMFP6678M1Z7</t>
        </is>
      </c>
    </row>
    <row r="20">
      <c r="A20" t="inlineStr">
        <is>
          <t>indore namkeen bhandar</t>
        </is>
      </c>
      <c r="B20" t="inlineStr">
        <is>
          <t>0731-2534567</t>
        </is>
      </c>
      <c r="C20" t="inlineStr">
        <is>
          <t>Indore</t>
        </is>
      </c>
      <c r="D20" t="inlineStr">
        <is>
          <t>MP</t>
        </is>
      </c>
      <c r="E20" t="inlineStr">
        <is>
          <t>22/06/2026</t>
        </is>
      </c>
      <c r="F20" t="inlineStr">
        <is>
          <t>23AANFI7789N1Z5</t>
        </is>
      </c>
    </row>
    <row r="21">
      <c r="A21" t="inlineStr">
        <is>
          <t>Coastal Marine Exports</t>
        </is>
      </c>
      <c r="B21" t="inlineStr">
        <is>
          <t>9845 67 8901</t>
        </is>
      </c>
      <c r="C21" t="inlineStr">
        <is>
          <t>Mangaluru</t>
        </is>
      </c>
      <c r="D21" t="inlineStr">
        <is>
          <t>KA</t>
        </is>
      </c>
      <c r="E21" t="inlineStr">
        <is>
          <t>2026-06-25</t>
        </is>
      </c>
      <c r="F21" t="inlineStr">
        <is>
          <t>29AAOFC8890P1Z0</t>
        </is>
      </c>
    </row>
    <row r="22">
      <c r="A22" t="inlineStr">
        <is>
          <t>Shree Balaji Stores</t>
        </is>
      </c>
      <c r="B22" t="inlineStr">
        <is>
          <t>+91 98250 67890</t>
        </is>
      </c>
      <c r="C22" t="inlineStr">
        <is>
          <t>Vadodara</t>
        </is>
      </c>
      <c r="D22" t="inlineStr">
        <is>
          <t>Gujrat</t>
        </is>
      </c>
      <c r="E22" t="inlineStr">
        <is>
          <t>29 Jun 2026</t>
        </is>
      </c>
      <c r="F22" t="inlineStr">
        <is>
          <t>24AAPFS9901Q1Z4</t>
        </is>
      </c>
    </row>
    <row r="23">
      <c r="A23" t="inlineStr">
        <is>
          <t>Himalayan Organics</t>
        </is>
      </c>
      <c r="B23" t="inlineStr">
        <is>
          <t>0135 2711 222</t>
        </is>
      </c>
      <c r="C23" t="inlineStr">
        <is>
          <t>Dehradun</t>
        </is>
      </c>
      <c r="D23" t="inlineStr">
        <is>
          <t>UK</t>
        </is>
      </c>
      <c r="E23" t="inlineStr">
        <is>
          <t>02.07.2026</t>
        </is>
      </c>
      <c r="F23" t="inlineStr">
        <is>
          <t>05AAQFH1012R1Z9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6" customWidth="1" min="4" max="4"/>
    <col width="13" customWidth="1" min="5" max="5"/>
    <col width="18" customWidth="1" min="6" max="6"/>
    <col width="52" customWidth="1" min="7" max="7"/>
  </cols>
  <sheetData>
    <row r="1">
      <c r="A1" s="3" t="inlineStr">
        <is>
          <t>Customer name</t>
        </is>
      </c>
      <c r="B1" s="3" t="inlineStr">
        <is>
          <t>Phone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Onboarded on</t>
        </is>
      </c>
      <c r="F1" s="3" t="inlineStr">
        <is>
          <t>GSTIN</t>
        </is>
      </c>
      <c r="G1" s="3" t="inlineStr">
        <is>
          <t>Changes</t>
        </is>
      </c>
      <c r="I1" s="2" t="inlineStr">
        <is>
          <t>Original sheet S20-05 left unchanged; this is the cleaned copy with an audit trail in column G.</t>
        </is>
      </c>
    </row>
    <row r="2">
      <c r="A2" t="inlineStr">
        <is>
          <t>Sharma Electricals</t>
        </is>
      </c>
      <c r="B2" s="15" t="inlineStr">
        <is>
          <t>9822045671</t>
        </is>
      </c>
      <c r="C2" t="inlineStr">
        <is>
          <t>Pune</t>
        </is>
      </c>
      <c r="D2" t="inlineStr">
        <is>
          <t>Maharashtra</t>
        </is>
      </c>
      <c r="E2" s="16" t="n">
        <v>46115</v>
      </c>
      <c r="F2" t="inlineStr">
        <is>
          <t>27AAQFS1234K1Z5</t>
        </is>
      </c>
      <c r="G2" t="inlineStr">
        <is>
          <t>name case/spaces; phone to digits; state MH → Maharashtra; date to real date; GSTIN upper case</t>
        </is>
      </c>
    </row>
    <row r="3">
      <c r="A3" t="inlineStr">
        <is>
          <t>Kaveri Traders</t>
        </is>
      </c>
      <c r="B3" s="15" t="inlineStr">
        <is>
          <t>9845012345</t>
        </is>
      </c>
      <c r="C3" t="inlineStr">
        <is>
          <t>Bengaluru</t>
        </is>
      </c>
      <c r="D3" t="inlineStr">
        <is>
          <t>Karnataka</t>
        </is>
      </c>
      <c r="E3" s="16" t="n">
        <v>46119</v>
      </c>
      <c r="F3" t="inlineStr">
        <is>
          <t>29AAFFK7390P1Z8</t>
        </is>
      </c>
      <c r="G3" t="inlineStr">
        <is>
          <t>name case/spaces; phone to digits; date to real date</t>
        </is>
      </c>
    </row>
    <row r="4">
      <c r="A4" t="inlineStr">
        <is>
          <t>Om Sai Distributors</t>
        </is>
      </c>
      <c r="B4" s="15" t="inlineStr">
        <is>
          <t>9876543210</t>
        </is>
      </c>
      <c r="C4" t="inlineStr">
        <is>
          <t>Nashik</t>
        </is>
      </c>
      <c r="D4" t="inlineStr">
        <is>
          <t>Maharashtra</t>
        </is>
      </c>
      <c r="E4" s="16" t="n">
        <v>46124</v>
      </c>
      <c r="F4" t="inlineStr">
        <is>
          <t>27ABMPO2245Q1ZK</t>
        </is>
      </c>
      <c r="G4" t="inlineStr">
        <is>
          <t>name case/spaces; phone to digits; state Maharastra → Maharashtra; date to real date</t>
        </is>
      </c>
    </row>
    <row r="5">
      <c r="A5" t="inlineStr">
        <is>
          <t>Ganga Retail Pvt. Ltd.</t>
        </is>
      </c>
      <c r="B5" s="15" t="inlineStr">
        <is>
          <t>9415123456</t>
        </is>
      </c>
      <c r="C5" t="inlineStr">
        <is>
          <t>Lucknow</t>
        </is>
      </c>
      <c r="D5" t="inlineStr">
        <is>
          <t>Uttar Pradesh</t>
        </is>
      </c>
      <c r="E5" s="16" t="n">
        <v>46127</v>
      </c>
      <c r="F5" t="inlineStr">
        <is>
          <t>09AACCG8812L1Z2</t>
        </is>
      </c>
      <c r="G5" t="inlineStr">
        <is>
          <t>phone to digits; state U.P. → Uttar Pradesh; date to real date</t>
        </is>
      </c>
    </row>
    <row r="6">
      <c r="A6" t="inlineStr">
        <is>
          <t>Lakshmi Agencies</t>
        </is>
      </c>
      <c r="B6" s="15" t="inlineStr">
        <is>
          <t>04423456789</t>
        </is>
      </c>
      <c r="C6" t="inlineStr">
        <is>
          <t>Chennai</t>
        </is>
      </c>
      <c r="D6" t="inlineStr">
        <is>
          <t>Tamil Nadu</t>
        </is>
      </c>
      <c r="E6" s="16" t="n">
        <v>46130</v>
      </c>
      <c r="F6" t="inlineStr">
        <is>
          <t>33AAEFL5521M1Z9</t>
        </is>
      </c>
      <c r="G6" t="inlineStr">
        <is>
          <t>name case/spaces; phone to digits; state Tamilnadu → Tamil Nadu; date to real date</t>
        </is>
      </c>
    </row>
    <row r="7">
      <c r="A7" t="inlineStr">
        <is>
          <t>Navkar Supplies</t>
        </is>
      </c>
      <c r="B7" s="15" t="inlineStr">
        <is>
          <t>9925011223</t>
        </is>
      </c>
      <c r="C7" t="inlineStr">
        <is>
          <t>Surat</t>
        </is>
      </c>
      <c r="D7" t="inlineStr">
        <is>
          <t>Gujarat</t>
        </is>
      </c>
      <c r="E7" s="16" t="n">
        <v>46133</v>
      </c>
      <c r="F7" t="inlineStr">
        <is>
          <t>24AAJFN3307B1Z4</t>
        </is>
      </c>
      <c r="G7" t="inlineStr">
        <is>
          <t>name case/spaces; phone to digits; state GJ → Gujarat; date to real date</t>
        </is>
      </c>
    </row>
    <row r="8">
      <c r="A8" t="inlineStr">
        <is>
          <t>Royal Book House</t>
        </is>
      </c>
      <c r="B8" s="15" t="inlineStr">
        <is>
          <t>9811198111</t>
        </is>
      </c>
      <c r="C8" t="inlineStr">
        <is>
          <t>New Delhi</t>
        </is>
      </c>
      <c r="D8" t="inlineStr">
        <is>
          <t>Delhi</t>
        </is>
      </c>
      <c r="E8" s="16" t="n">
        <v>46144</v>
      </c>
      <c r="F8" t="inlineStr">
        <is>
          <t>07AAHFR6610C1Z7</t>
        </is>
      </c>
      <c r="G8" t="inlineStr">
        <is>
          <t>state Delhi NCR → Delhi; date to real date</t>
        </is>
      </c>
    </row>
    <row r="9">
      <c r="A9" t="inlineStr">
        <is>
          <t>Mahalaxmi Mart</t>
        </is>
      </c>
      <c r="B9" s="15" t="inlineStr">
        <is>
          <t>8888777666</t>
        </is>
      </c>
      <c r="C9" t="inlineStr">
        <is>
          <t>Kolhapur</t>
        </is>
      </c>
      <c r="D9" t="inlineStr">
        <is>
          <t>Maharashtra</t>
        </is>
      </c>
      <c r="E9" s="16" t="n">
        <v>46148</v>
      </c>
      <c r="F9" t="inlineStr">
        <is>
          <t>27AAMFM4410D1Z3</t>
        </is>
      </c>
      <c r="G9" t="inlineStr">
        <is>
          <t>name case/spaces; phone to digits; state maharashtra → Maharashtra; date to real date; GSTIN upper case</t>
        </is>
      </c>
    </row>
    <row r="10">
      <c r="A10" t="inlineStr">
        <is>
          <t>Sri Venkateswara Traders</t>
        </is>
      </c>
      <c r="B10" s="15" t="inlineStr">
        <is>
          <t>9440098765</t>
        </is>
      </c>
      <c r="C10" t="inlineStr">
        <is>
          <t>Vijayawada</t>
        </is>
      </c>
      <c r="D10" t="inlineStr">
        <is>
          <t>Andhra Pradesh</t>
        </is>
      </c>
      <c r="E10" s="16" t="n">
        <v>46151</v>
      </c>
      <c r="F10" t="inlineStr">
        <is>
          <t>37AAKFS9902E1Z6</t>
        </is>
      </c>
      <c r="G10" t="inlineStr">
        <is>
          <t>phone to digits; state AP → Andhra Pradesh; date to real date</t>
        </is>
      </c>
    </row>
    <row r="11">
      <c r="A11" t="inlineStr">
        <is>
          <t>Bharat Steel Traders</t>
        </is>
      </c>
      <c r="B11" s="15" t="inlineStr">
        <is>
          <t>07926561234</t>
        </is>
      </c>
      <c r="C11" t="inlineStr">
        <is>
          <t>Ahmedabad</t>
        </is>
      </c>
      <c r="D11" t="inlineStr">
        <is>
          <t>Gujarat</t>
        </is>
      </c>
      <c r="E11" s="16" t="n">
        <v>46155</v>
      </c>
      <c r="F11" t="inlineStr">
        <is>
          <t>24AACFB6612R1Z1</t>
        </is>
      </c>
      <c r="G11" t="inlineStr">
        <is>
          <t>phone to digits; state Gujarat → Gujarat; date to real date</t>
        </is>
      </c>
    </row>
    <row r="12">
      <c r="A12" t="inlineStr">
        <is>
          <t>Kalinga Hardware</t>
        </is>
      </c>
      <c r="B12" s="15" t="inlineStr">
        <is>
          <t>9437012345</t>
        </is>
      </c>
      <c r="C12" t="inlineStr">
        <is>
          <t>Bhubaneswar</t>
        </is>
      </c>
      <c r="D12" t="inlineStr">
        <is>
          <t>Odisha</t>
        </is>
      </c>
      <c r="E12" s="16" t="n">
        <v>46158</v>
      </c>
      <c r="F12" t="inlineStr">
        <is>
          <t>21AAGFK1108F1Z0</t>
        </is>
      </c>
      <c r="G12" t="inlineStr">
        <is>
          <t>name case/spaces; state Orissa → Odisha; date to real date</t>
        </is>
      </c>
    </row>
    <row r="13">
      <c r="A13" t="inlineStr">
        <is>
          <t>Gupta Electricals</t>
        </is>
      </c>
      <c r="B13" s="15" t="inlineStr">
        <is>
          <t>9810555444</t>
        </is>
      </c>
      <c r="C13" t="inlineStr">
        <is>
          <t>Gurgaon</t>
        </is>
      </c>
      <c r="D13" t="inlineStr">
        <is>
          <t>Haryana</t>
        </is>
      </c>
      <c r="E13" s="16" t="n">
        <v>46162</v>
      </c>
      <c r="F13" t="inlineStr">
        <is>
          <t>06AFKPG3381L1Z6</t>
        </is>
      </c>
      <c r="G13" t="inlineStr">
        <is>
          <t>name case/spaces; phone to digits; state HR → Haryana; date to real date</t>
        </is>
      </c>
    </row>
    <row r="14">
      <c r="A14" t="inlineStr">
        <is>
          <t>Malabar Spices Co</t>
        </is>
      </c>
      <c r="B14" s="15" t="inlineStr">
        <is>
          <t>04842401234</t>
        </is>
      </c>
      <c r="C14" t="inlineStr">
        <is>
          <t>Kochi</t>
        </is>
      </c>
      <c r="D14" t="inlineStr">
        <is>
          <t>Kerala</t>
        </is>
      </c>
      <c r="E14" s="16" t="n">
        <v>46174</v>
      </c>
      <c r="F14" t="inlineStr">
        <is>
          <t>32AAHFM7703G1Z5</t>
        </is>
      </c>
      <c r="G14" t="inlineStr">
        <is>
          <t>phone to digits; state KL → Kerala; date to real date</t>
        </is>
      </c>
    </row>
    <row r="15">
      <c r="A15" t="inlineStr">
        <is>
          <t>Pondy Textiles</t>
        </is>
      </c>
      <c r="B15" s="15" t="inlineStr">
        <is>
          <t>9443322110</t>
        </is>
      </c>
      <c r="C15" t="inlineStr">
        <is>
          <t>Puducherry</t>
        </is>
      </c>
      <c r="D15" t="inlineStr">
        <is>
          <t>Puducherry</t>
        </is>
      </c>
      <c r="E15" s="16" t="n">
        <v>46177</v>
      </c>
      <c r="F15" t="inlineStr">
        <is>
          <t>34AAIFP2290H1Z3</t>
        </is>
      </c>
      <c r="G15" t="inlineStr">
        <is>
          <t>name case/spaces; state Pondicherry → Puducherry; date to real date</t>
        </is>
      </c>
    </row>
    <row r="16">
      <c r="A16" t="inlineStr">
        <is>
          <t>Deccan Agro Foods</t>
        </is>
      </c>
      <c r="B16" s="15" t="inlineStr">
        <is>
          <t>9849012345</t>
        </is>
      </c>
      <c r="C16" t="inlineStr">
        <is>
          <t>Hyderabad</t>
        </is>
      </c>
      <c r="D16" t="inlineStr">
        <is>
          <t>Telangana</t>
        </is>
      </c>
      <c r="E16" s="16" t="n">
        <v>46181</v>
      </c>
      <c r="F16" t="inlineStr">
        <is>
          <t>36AAJFD4456J1Z1</t>
        </is>
      </c>
      <c r="G16" t="inlineStr">
        <is>
          <t>phone to digits; state Telengana → Telangana; date to real date</t>
        </is>
      </c>
    </row>
    <row r="17">
      <c r="A17" t="inlineStr">
        <is>
          <t>Bengal Sweets House</t>
        </is>
      </c>
      <c r="B17" s="15" t="inlineStr">
        <is>
          <t>03322198877</t>
        </is>
      </c>
      <c r="C17" t="inlineStr">
        <is>
          <t>Kolkata</t>
        </is>
      </c>
      <c r="D17" t="inlineStr">
        <is>
          <t>West Bengal</t>
        </is>
      </c>
      <c r="E17" s="16" t="n">
        <v>46184</v>
      </c>
      <c r="F17" t="inlineStr">
        <is>
          <t>19AAKFB8834K1Z8</t>
        </is>
      </c>
      <c r="G17" t="inlineStr">
        <is>
          <t>name case/spaces; phone to digits; state W.B. → West Bengal; date to real date</t>
        </is>
      </c>
    </row>
    <row r="18">
      <c r="A18" t="inlineStr">
        <is>
          <t>Rajputana Handicrafts</t>
        </is>
      </c>
      <c r="B18" s="15" t="inlineStr">
        <is>
          <t>9829011122</t>
        </is>
      </c>
      <c r="C18" t="inlineStr">
        <is>
          <t>Jaipur</t>
        </is>
      </c>
      <c r="D18" t="inlineStr">
        <is>
          <t>Rajasthan</t>
        </is>
      </c>
      <c r="E18" s="16" t="n">
        <v>46187</v>
      </c>
      <c r="F18" t="inlineStr">
        <is>
          <t>08AALFR5567L1Z2</t>
        </is>
      </c>
      <c r="G18" t="inlineStr">
        <is>
          <t>state RJ → Rajasthan; date to real date</t>
        </is>
      </c>
    </row>
    <row r="19">
      <c r="A19" t="inlineStr">
        <is>
          <t>Patil Agro Centre</t>
        </is>
      </c>
      <c r="B19" s="15" t="inlineStr">
        <is>
          <t>9422033445</t>
        </is>
      </c>
      <c r="C19" t="inlineStr">
        <is>
          <t>Satara</t>
        </is>
      </c>
      <c r="D19" t="inlineStr">
        <is>
          <t>Maharashtra</t>
        </is>
      </c>
      <c r="E19" s="16" t="n">
        <v>46191</v>
      </c>
      <c r="F19" t="inlineStr">
        <is>
          <t>27AAMFP6678M1Z7</t>
        </is>
      </c>
      <c r="G19" t="inlineStr">
        <is>
          <t>name case/spaces; phone to digits; state MAHARASHTRA → Maharashtra; date to real date</t>
        </is>
      </c>
    </row>
    <row r="20">
      <c r="A20" t="inlineStr">
        <is>
          <t>Indore Namkeen Bhandar</t>
        </is>
      </c>
      <c r="B20" s="15" t="inlineStr">
        <is>
          <t>07312534567</t>
        </is>
      </c>
      <c r="C20" t="inlineStr">
        <is>
          <t>Indore</t>
        </is>
      </c>
      <c r="D20" t="inlineStr">
        <is>
          <t>Madhya Pradesh</t>
        </is>
      </c>
      <c r="E20" s="16" t="n">
        <v>46195</v>
      </c>
      <c r="F20" t="inlineStr">
        <is>
          <t>23AANFI7789N1Z5</t>
        </is>
      </c>
      <c r="G20" t="inlineStr">
        <is>
          <t>name case/spaces; phone to digits; state MP → Madhya Pradesh; date to real date</t>
        </is>
      </c>
    </row>
    <row r="21">
      <c r="A21" t="inlineStr">
        <is>
          <t>Coastal Marine Exports</t>
        </is>
      </c>
      <c r="B21" s="15" t="inlineStr">
        <is>
          <t>9845678901</t>
        </is>
      </c>
      <c r="C21" t="inlineStr">
        <is>
          <t>Mangaluru</t>
        </is>
      </c>
      <c r="D21" t="inlineStr">
        <is>
          <t>Karnataka</t>
        </is>
      </c>
      <c r="E21" s="16" t="n">
        <v>46198</v>
      </c>
      <c r="F21" t="inlineStr">
        <is>
          <t>29AAOFC8890P1Z0</t>
        </is>
      </c>
      <c r="G21" t="inlineStr">
        <is>
          <t>phone to digits; state KA → Karnataka; date to real date</t>
        </is>
      </c>
    </row>
    <row r="22">
      <c r="A22" t="inlineStr">
        <is>
          <t>Shree Balaji Stores</t>
        </is>
      </c>
      <c r="B22" s="15" t="inlineStr">
        <is>
          <t>9825067890</t>
        </is>
      </c>
      <c r="C22" t="inlineStr">
        <is>
          <t>Vadodara</t>
        </is>
      </c>
      <c r="D22" t="inlineStr">
        <is>
          <t>Gujarat</t>
        </is>
      </c>
      <c r="E22" s="16" t="n">
        <v>46202</v>
      </c>
      <c r="F22" t="inlineStr">
        <is>
          <t>24AAPFS9901Q1Z4</t>
        </is>
      </c>
      <c r="G22" t="inlineStr">
        <is>
          <t>phone to digits; state Gujrat → Gujarat; date to real date</t>
        </is>
      </c>
    </row>
    <row r="23">
      <c r="A23" t="inlineStr">
        <is>
          <t>Himalayan Organics</t>
        </is>
      </c>
      <c r="B23" s="15" t="inlineStr">
        <is>
          <t>01352711222</t>
        </is>
      </c>
      <c r="C23" t="inlineStr">
        <is>
          <t>Dehradun</t>
        </is>
      </c>
      <c r="D23" t="inlineStr">
        <is>
          <t>Uttarakhand</t>
        </is>
      </c>
      <c r="E23" s="16" t="n">
        <v>46205</v>
      </c>
      <c r="F23" t="inlineStr">
        <is>
          <t>05AAQFH1012R1Z9</t>
        </is>
      </c>
      <c r="G23" t="inlineStr">
        <is>
          <t>phone to digits; state UK → Uttarakhand; date to real 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Brief: FY 2026-27 monthly budget for Tandoor Tales, a cloud kitchen in Pune</t>
        </is>
      </c>
    </row>
    <row r="2">
      <c r="A2" t="inlineStr">
        <is>
          <t>Orders per day in April 2026: 180</t>
        </is>
      </c>
    </row>
    <row r="3">
      <c r="A3" t="inlineStr">
        <is>
          <t>Orders grow 3% every month after April</t>
        </is>
      </c>
    </row>
    <row r="4">
      <c r="A4" t="inlineStr">
        <is>
          <t>Average order value: ₹420</t>
        </is>
      </c>
    </row>
    <row r="5">
      <c r="A5" t="inlineStr">
        <is>
          <t>Days per month: 30</t>
        </is>
      </c>
    </row>
    <row r="6">
      <c r="A6" t="inlineStr">
        <is>
          <t>Food cost: 32% of revenue</t>
        </is>
      </c>
    </row>
    <row r="7">
      <c r="A7" t="inlineStr">
        <is>
          <t>Delivery platform commission: 22% of revenue</t>
        </is>
      </c>
    </row>
    <row r="8">
      <c r="A8" t="inlineStr">
        <is>
          <t>Kitchen rent: ₹1,20,000 per month</t>
        </is>
      </c>
    </row>
    <row r="9">
      <c r="A9" t="inlineStr">
        <is>
          <t>Staff salaries: ₹3,80,000 per month</t>
        </is>
      </c>
    </row>
    <row r="10">
      <c r="A10" t="inlineStr">
        <is>
          <t>Marketing: 5% of revenue</t>
        </is>
      </c>
    </row>
    <row r="11">
      <c r="A11" t="inlineStr">
        <is>
          <t>Show monthly EBITDA (revenue minus all costs above) and the FY total</t>
        </is>
      </c>
    </row>
    <row r="13">
      <c r="A13" s="7" t="inlineStr">
        <is>
          <t>Hand check: April revenue = 180 orders x 30 days x ₹420</t>
        </is>
      </c>
    </row>
    <row r="14">
      <c r="A14" s="1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2" t="inlineStr">
        <is>
          <t>Tandoor Tales cloud kitchen, Pune: FY 2026-27 budget (built by Claude from the brief, checked)</t>
        </is>
      </c>
    </row>
    <row r="2">
      <c r="A2" s="7" t="inlineStr">
        <is>
          <t>Inputs</t>
        </is>
      </c>
    </row>
    <row r="3">
      <c r="A3" t="inlineStr">
        <is>
          <t>Orders per day (April)</t>
        </is>
      </c>
      <c r="B3" s="18" t="n">
        <v>180</v>
      </c>
    </row>
    <row r="4">
      <c r="A4" t="inlineStr">
        <is>
          <t>Monthly growth in orders</t>
        </is>
      </c>
      <c r="B4" s="19" t="n">
        <v>0.03</v>
      </c>
    </row>
    <row r="5">
      <c r="A5" t="inlineStr">
        <is>
          <t>Average order value</t>
        </is>
      </c>
      <c r="B5" s="11" t="n">
        <v>420</v>
      </c>
    </row>
    <row r="6">
      <c r="A6" t="inlineStr">
        <is>
          <t>Days per month</t>
        </is>
      </c>
      <c r="B6" s="18" t="n">
        <v>30</v>
      </c>
    </row>
    <row r="7">
      <c r="A7" t="inlineStr">
        <is>
          <t>Food cost % of revenue</t>
        </is>
      </c>
      <c r="B7" s="20" t="n">
        <v>0.32</v>
      </c>
    </row>
    <row r="8">
      <c r="A8" t="inlineStr">
        <is>
          <t>Platform commission % of revenue</t>
        </is>
      </c>
      <c r="B8" s="20" t="n">
        <v>0.22</v>
      </c>
    </row>
    <row r="9">
      <c r="A9" t="inlineStr">
        <is>
          <t>Kitchen rent per month</t>
        </is>
      </c>
      <c r="B9" s="11" t="n">
        <v>120000</v>
      </c>
    </row>
    <row r="10">
      <c r="A10" t="inlineStr">
        <is>
          <t>Staff salaries per month</t>
        </is>
      </c>
      <c r="B10" s="11" t="n">
        <v>380000</v>
      </c>
    </row>
    <row r="11">
      <c r="A11" t="inlineStr">
        <is>
          <t>Marketing % of revenue</t>
        </is>
      </c>
      <c r="B11" s="20" t="n">
        <v>0.05</v>
      </c>
    </row>
    <row r="13">
      <c r="A13" s="3" t="inlineStr">
        <is>
          <t>Line item</t>
        </is>
      </c>
      <c r="B13" s="3" t="inlineStr">
        <is>
          <t>Apr-26</t>
        </is>
      </c>
      <c r="C13" s="3" t="inlineStr">
        <is>
          <t>May-26</t>
        </is>
      </c>
      <c r="D13" s="3" t="inlineStr">
        <is>
          <t>Jun-26</t>
        </is>
      </c>
      <c r="E13" s="3" t="inlineStr">
        <is>
          <t>Jul-26</t>
        </is>
      </c>
      <c r="F13" s="3" t="inlineStr">
        <is>
          <t>Aug-26</t>
        </is>
      </c>
      <c r="G13" s="3" t="inlineStr">
        <is>
          <t>Sep-26</t>
        </is>
      </c>
      <c r="H13" s="3" t="inlineStr">
        <is>
          <t>Oct-26</t>
        </is>
      </c>
      <c r="I13" s="3" t="inlineStr">
        <is>
          <t>Nov-26</t>
        </is>
      </c>
      <c r="J13" s="3" t="inlineStr">
        <is>
          <t>Dec-26</t>
        </is>
      </c>
      <c r="K13" s="3" t="inlineStr">
        <is>
          <t>Jan-27</t>
        </is>
      </c>
      <c r="L13" s="3" t="inlineStr">
        <is>
          <t>Feb-27</t>
        </is>
      </c>
      <c r="M13" s="3" t="inlineStr">
        <is>
          <t>Mar-27</t>
        </is>
      </c>
      <c r="N13" s="3" t="inlineStr">
        <is>
          <t>FY total</t>
        </is>
      </c>
    </row>
    <row r="14">
      <c r="A14" s="10" t="inlineStr">
        <is>
          <t>Orders per day</t>
        </is>
      </c>
      <c r="B14" s="21">
        <f>$B$3</f>
        <v/>
      </c>
      <c r="C14" s="21">
        <f>B14*(1+$B$4)</f>
        <v/>
      </c>
      <c r="D14" s="21">
        <f>C14*(1+$B$4)</f>
        <v/>
      </c>
      <c r="E14" s="21">
        <f>D14*(1+$B$4)</f>
        <v/>
      </c>
      <c r="F14" s="21">
        <f>E14*(1+$B$4)</f>
        <v/>
      </c>
      <c r="G14" s="21">
        <f>F14*(1+$B$4)</f>
        <v/>
      </c>
      <c r="H14" s="21">
        <f>G14*(1+$B$4)</f>
        <v/>
      </c>
      <c r="I14" s="21">
        <f>H14*(1+$B$4)</f>
        <v/>
      </c>
      <c r="J14" s="21">
        <f>I14*(1+$B$4)</f>
        <v/>
      </c>
      <c r="K14" s="21">
        <f>J14*(1+$B$4)</f>
        <v/>
      </c>
      <c r="L14" s="21">
        <f>K14*(1+$B$4)</f>
        <v/>
      </c>
      <c r="M14" s="21">
        <f>L14*(1+$B$4)</f>
        <v/>
      </c>
      <c r="N14" s="21">
        <f>AVERAGE(B14:M14)</f>
        <v/>
      </c>
    </row>
    <row r="15">
      <c r="A15" s="10" t="inlineStr">
        <is>
          <t>Orders in month</t>
        </is>
      </c>
      <c r="B15" s="21">
        <f>B14*$B$6</f>
        <v/>
      </c>
      <c r="C15" s="21">
        <f>C14*$B$6</f>
        <v/>
      </c>
      <c r="D15" s="21">
        <f>D14*$B$6</f>
        <v/>
      </c>
      <c r="E15" s="21">
        <f>E14*$B$6</f>
        <v/>
      </c>
      <c r="F15" s="21">
        <f>F14*$B$6</f>
        <v/>
      </c>
      <c r="G15" s="21">
        <f>G14*$B$6</f>
        <v/>
      </c>
      <c r="H15" s="21">
        <f>H14*$B$6</f>
        <v/>
      </c>
      <c r="I15" s="21">
        <f>I14*$B$6</f>
        <v/>
      </c>
      <c r="J15" s="21">
        <f>J14*$B$6</f>
        <v/>
      </c>
      <c r="K15" s="21">
        <f>K14*$B$6</f>
        <v/>
      </c>
      <c r="L15" s="21">
        <f>L14*$B$6</f>
        <v/>
      </c>
      <c r="M15" s="21">
        <f>M14*$B$6</f>
        <v/>
      </c>
      <c r="N15" s="21">
        <f>SUM(B15:M15)</f>
        <v/>
      </c>
    </row>
    <row r="16">
      <c r="A16" s="7" t="inlineStr">
        <is>
          <t>Revenue</t>
        </is>
      </c>
      <c r="B16" s="5">
        <f>B15*$B$5</f>
        <v/>
      </c>
      <c r="C16" s="5">
        <f>C15*$B$5</f>
        <v/>
      </c>
      <c r="D16" s="5">
        <f>D15*$B$5</f>
        <v/>
      </c>
      <c r="E16" s="5">
        <f>E15*$B$5</f>
        <v/>
      </c>
      <c r="F16" s="5">
        <f>F15*$B$5</f>
        <v/>
      </c>
      <c r="G16" s="5">
        <f>G15*$B$5</f>
        <v/>
      </c>
      <c r="H16" s="5">
        <f>H15*$B$5</f>
        <v/>
      </c>
      <c r="I16" s="5">
        <f>I15*$B$5</f>
        <v/>
      </c>
      <c r="J16" s="5">
        <f>J15*$B$5</f>
        <v/>
      </c>
      <c r="K16" s="5">
        <f>K15*$B$5</f>
        <v/>
      </c>
      <c r="L16" s="5">
        <f>L15*$B$5</f>
        <v/>
      </c>
      <c r="M16" s="5">
        <f>M15*$B$5</f>
        <v/>
      </c>
      <c r="N16" s="5">
        <f>SUM(B16:M16)</f>
        <v/>
      </c>
    </row>
    <row r="17">
      <c r="A17" s="10" t="inlineStr">
        <is>
          <t>Food cost</t>
        </is>
      </c>
      <c r="B17" s="5">
        <f>B16*$B$7</f>
        <v/>
      </c>
      <c r="C17" s="5">
        <f>C16*$B$7</f>
        <v/>
      </c>
      <c r="D17" s="5">
        <f>D16*$B$7</f>
        <v/>
      </c>
      <c r="E17" s="5">
        <f>E16*$B$7</f>
        <v/>
      </c>
      <c r="F17" s="5">
        <f>F16*$B$7</f>
        <v/>
      </c>
      <c r="G17" s="5">
        <f>G16*$B$7</f>
        <v/>
      </c>
      <c r="H17" s="5">
        <f>H16*$B$7</f>
        <v/>
      </c>
      <c r="I17" s="5">
        <f>I16*$B$7</f>
        <v/>
      </c>
      <c r="J17" s="5">
        <f>J16*$B$7</f>
        <v/>
      </c>
      <c r="K17" s="5">
        <f>K16*$B$7</f>
        <v/>
      </c>
      <c r="L17" s="5">
        <f>L16*$B$7</f>
        <v/>
      </c>
      <c r="M17" s="5">
        <f>M16*$B$7</f>
        <v/>
      </c>
      <c r="N17" s="5">
        <f>SUM(B17:M17)</f>
        <v/>
      </c>
    </row>
    <row r="18">
      <c r="A18" s="10" t="inlineStr">
        <is>
          <t>Platform commission</t>
        </is>
      </c>
      <c r="B18" s="5">
        <f>B16*$B$8</f>
        <v/>
      </c>
      <c r="C18" s="5">
        <f>C16*$B$8</f>
        <v/>
      </c>
      <c r="D18" s="5">
        <f>D16*$B$8</f>
        <v/>
      </c>
      <c r="E18" s="5">
        <f>E16*$B$8</f>
        <v/>
      </c>
      <c r="F18" s="5">
        <f>F16*$B$8</f>
        <v/>
      </c>
      <c r="G18" s="5">
        <f>G16*$B$8</f>
        <v/>
      </c>
      <c r="H18" s="5">
        <f>H16*$B$8</f>
        <v/>
      </c>
      <c r="I18" s="5">
        <f>I16*$B$8</f>
        <v/>
      </c>
      <c r="J18" s="5">
        <f>J16*$B$8</f>
        <v/>
      </c>
      <c r="K18" s="5">
        <f>K16*$B$8</f>
        <v/>
      </c>
      <c r="L18" s="5">
        <f>L16*$B$8</f>
        <v/>
      </c>
      <c r="M18" s="5">
        <f>M16*$B$8</f>
        <v/>
      </c>
      <c r="N18" s="5">
        <f>SUM(B18:M18)</f>
        <v/>
      </c>
    </row>
    <row r="19">
      <c r="A19" s="10" t="inlineStr">
        <is>
          <t>Contribution</t>
        </is>
      </c>
      <c r="B19" s="5">
        <f>B16-B17-B18</f>
        <v/>
      </c>
      <c r="C19" s="5">
        <f>C16-C17-C18</f>
        <v/>
      </c>
      <c r="D19" s="5">
        <f>D16-D17-D18</f>
        <v/>
      </c>
      <c r="E19" s="5">
        <f>E16-E17-E18</f>
        <v/>
      </c>
      <c r="F19" s="5">
        <f>F16-F17-F18</f>
        <v/>
      </c>
      <c r="G19" s="5">
        <f>G16-G17-G18</f>
        <v/>
      </c>
      <c r="H19" s="5">
        <f>H16-H17-H18</f>
        <v/>
      </c>
      <c r="I19" s="5">
        <f>I16-I17-I18</f>
        <v/>
      </c>
      <c r="J19" s="5">
        <f>J16-J17-J18</f>
        <v/>
      </c>
      <c r="K19" s="5">
        <f>K16-K17-K18</f>
        <v/>
      </c>
      <c r="L19" s="5">
        <f>L16-L17-L18</f>
        <v/>
      </c>
      <c r="M19" s="5">
        <f>M16-M17-M18</f>
        <v/>
      </c>
      <c r="N19" s="5">
        <f>SUM(B19:M19)</f>
        <v/>
      </c>
    </row>
    <row r="20">
      <c r="A20" s="10" t="inlineStr">
        <is>
          <t>Kitchen rent</t>
        </is>
      </c>
      <c r="B20" s="5">
        <f>$B$9</f>
        <v/>
      </c>
      <c r="C20" s="5">
        <f>$B$9</f>
        <v/>
      </c>
      <c r="D20" s="5">
        <f>$B$9</f>
        <v/>
      </c>
      <c r="E20" s="5">
        <f>$B$9</f>
        <v/>
      </c>
      <c r="F20" s="5">
        <f>$B$9</f>
        <v/>
      </c>
      <c r="G20" s="5">
        <f>$B$9</f>
        <v/>
      </c>
      <c r="H20" s="5">
        <f>$B$9</f>
        <v/>
      </c>
      <c r="I20" s="5">
        <f>$B$9</f>
        <v/>
      </c>
      <c r="J20" s="5">
        <f>$B$9</f>
        <v/>
      </c>
      <c r="K20" s="5">
        <f>$B$9</f>
        <v/>
      </c>
      <c r="L20" s="5">
        <f>$B$9</f>
        <v/>
      </c>
      <c r="M20" s="5">
        <f>$B$9</f>
        <v/>
      </c>
      <c r="N20" s="5">
        <f>SUM(B20:M20)</f>
        <v/>
      </c>
    </row>
    <row r="21">
      <c r="A21" s="10" t="inlineStr">
        <is>
          <t>Staff salaries</t>
        </is>
      </c>
      <c r="B21" s="5">
        <f>$B$10</f>
        <v/>
      </c>
      <c r="C21" s="5">
        <f>$B$10</f>
        <v/>
      </c>
      <c r="D21" s="5">
        <f>$B$10</f>
        <v/>
      </c>
      <c r="E21" s="5">
        <f>$B$10</f>
        <v/>
      </c>
      <c r="F21" s="5">
        <f>$B$10</f>
        <v/>
      </c>
      <c r="G21" s="5">
        <f>$B$10</f>
        <v/>
      </c>
      <c r="H21" s="5">
        <f>$B$10</f>
        <v/>
      </c>
      <c r="I21" s="5">
        <f>$B$10</f>
        <v/>
      </c>
      <c r="J21" s="5">
        <f>$B$10</f>
        <v/>
      </c>
      <c r="K21" s="5">
        <f>$B$10</f>
        <v/>
      </c>
      <c r="L21" s="5">
        <f>$B$10</f>
        <v/>
      </c>
      <c r="M21" s="5">
        <f>$B$10</f>
        <v/>
      </c>
      <c r="N21" s="5">
        <f>SUM(B21:M21)</f>
        <v/>
      </c>
    </row>
    <row r="22">
      <c r="A22" s="10" t="inlineStr">
        <is>
          <t>Marketing</t>
        </is>
      </c>
      <c r="B22" s="5">
        <f>B16*$B$11</f>
        <v/>
      </c>
      <c r="C22" s="5">
        <f>C16*$B$11</f>
        <v/>
      </c>
      <c r="D22" s="5">
        <f>D16*$B$11</f>
        <v/>
      </c>
      <c r="E22" s="5">
        <f>E16*$B$11</f>
        <v/>
      </c>
      <c r="F22" s="5">
        <f>F16*$B$11</f>
        <v/>
      </c>
      <c r="G22" s="5">
        <f>G16*$B$11</f>
        <v/>
      </c>
      <c r="H22" s="5">
        <f>H16*$B$11</f>
        <v/>
      </c>
      <c r="I22" s="5">
        <f>I16*$B$11</f>
        <v/>
      </c>
      <c r="J22" s="5">
        <f>J16*$B$11</f>
        <v/>
      </c>
      <c r="K22" s="5">
        <f>K16*$B$11</f>
        <v/>
      </c>
      <c r="L22" s="5">
        <f>L16*$B$11</f>
        <v/>
      </c>
      <c r="M22" s="5">
        <f>M16*$B$11</f>
        <v/>
      </c>
      <c r="N22" s="5">
        <f>SUM(B22:M22)</f>
        <v/>
      </c>
    </row>
    <row r="23">
      <c r="A23" s="7" t="inlineStr">
        <is>
          <t>EBITDA</t>
        </is>
      </c>
      <c r="B23" s="5">
        <f>B19-B20-B21-B22</f>
        <v/>
      </c>
      <c r="C23" s="5">
        <f>C19-C20-C21-C22</f>
        <v/>
      </c>
      <c r="D23" s="5">
        <f>D19-D20-D21-D22</f>
        <v/>
      </c>
      <c r="E23" s="5">
        <f>E19-E20-E21-E22</f>
        <v/>
      </c>
      <c r="F23" s="5">
        <f>F19-F20-F21-F22</f>
        <v/>
      </c>
      <c r="G23" s="5">
        <f>G19-G20-G21-G22</f>
        <v/>
      </c>
      <c r="H23" s="5">
        <f>H19-H20-H21-H22</f>
        <v/>
      </c>
      <c r="I23" s="5">
        <f>I19-I20-I21-I22</f>
        <v/>
      </c>
      <c r="J23" s="5">
        <f>J19-J20-J21-J22</f>
        <v/>
      </c>
      <c r="K23" s="5">
        <f>K19-K20-K21-K22</f>
        <v/>
      </c>
      <c r="L23" s="5">
        <f>L19-L20-L21-L22</f>
        <v/>
      </c>
      <c r="M23" s="5">
        <f>M19-M20-M21-M22</f>
        <v/>
      </c>
      <c r="N23" s="5">
        <f>SUM(B23:M23)</f>
        <v/>
      </c>
    </row>
    <row r="24">
      <c r="A24" s="10" t="inlineStr">
        <is>
          <t>EBITDA margin %</t>
        </is>
      </c>
      <c r="B24" s="6">
        <f>B23/B16</f>
        <v/>
      </c>
      <c r="C24" s="6">
        <f>C23/C16</f>
        <v/>
      </c>
      <c r="D24" s="6">
        <f>D23/D16</f>
        <v/>
      </c>
      <c r="E24" s="6">
        <f>E23/E16</f>
        <v/>
      </c>
      <c r="F24" s="6">
        <f>F23/F16</f>
        <v/>
      </c>
      <c r="G24" s="6">
        <f>G23/G16</f>
        <v/>
      </c>
      <c r="H24" s="6">
        <f>H23/H16</f>
        <v/>
      </c>
      <c r="I24" s="6">
        <f>I23/I16</f>
        <v/>
      </c>
      <c r="J24" s="6">
        <f>J23/J16</f>
        <v/>
      </c>
      <c r="K24" s="6">
        <f>K23/K16</f>
        <v/>
      </c>
      <c r="L24" s="6">
        <f>L23/L16</f>
        <v/>
      </c>
      <c r="M24" s="6">
        <f>M23/M16</f>
        <v/>
      </c>
      <c r="N24" s="6">
        <f>N23/N16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2" t="inlineStr">
        <is>
          <t>Tandoor Tales cloud kitchen, Pune: FY 2026-27 budget</t>
        </is>
      </c>
    </row>
    <row r="2">
      <c r="A2" s="7" t="inlineStr">
        <is>
          <t>Inputs</t>
        </is>
      </c>
    </row>
    <row r="3">
      <c r="A3" t="inlineStr">
        <is>
          <t>Orders per day (April)</t>
        </is>
      </c>
      <c r="B3" s="18" t="n">
        <v>180</v>
      </c>
    </row>
    <row r="4">
      <c r="A4" t="inlineStr">
        <is>
          <t>Monthly growth in orders</t>
        </is>
      </c>
      <c r="B4" s="19" t="n">
        <v>0.03</v>
      </c>
    </row>
    <row r="5">
      <c r="A5" t="inlineStr">
        <is>
          <t>Average order value</t>
        </is>
      </c>
      <c r="B5" s="11" t="n">
        <v>420</v>
      </c>
    </row>
    <row r="6">
      <c r="A6" t="inlineStr">
        <is>
          <t>Days per month</t>
        </is>
      </c>
      <c r="B6" s="18" t="n">
        <v>30</v>
      </c>
    </row>
    <row r="7">
      <c r="A7" t="inlineStr">
        <is>
          <t>Food cost % of revenue</t>
        </is>
      </c>
      <c r="B7" s="20" t="n">
        <v>0.32</v>
      </c>
    </row>
    <row r="8">
      <c r="A8" t="inlineStr">
        <is>
          <t>Platform commission % of revenue</t>
        </is>
      </c>
      <c r="B8" s="20" t="n">
        <v>0.22</v>
      </c>
    </row>
    <row r="9">
      <c r="A9" t="inlineStr">
        <is>
          <t>Kitchen rent per month</t>
        </is>
      </c>
      <c r="B9" s="11" t="n">
        <v>120000</v>
      </c>
    </row>
    <row r="10">
      <c r="A10" t="inlineStr">
        <is>
          <t>Staff salaries per month</t>
        </is>
      </c>
      <c r="B10" s="11" t="n">
        <v>380000</v>
      </c>
    </row>
    <row r="11">
      <c r="A11" t="inlineStr">
        <is>
          <t>Marketing % of revenue</t>
        </is>
      </c>
      <c r="B11" s="20" t="n">
        <v>0.05</v>
      </c>
    </row>
    <row r="13">
      <c r="A13" s="3" t="inlineStr">
        <is>
          <t>Line item</t>
        </is>
      </c>
      <c r="B13" s="3" t="inlineStr">
        <is>
          <t>Apr-26</t>
        </is>
      </c>
      <c r="C13" s="3" t="inlineStr">
        <is>
          <t>May-26</t>
        </is>
      </c>
      <c r="D13" s="3" t="inlineStr">
        <is>
          <t>Jun-26</t>
        </is>
      </c>
      <c r="E13" s="3" t="inlineStr">
        <is>
          <t>Jul-26</t>
        </is>
      </c>
      <c r="F13" s="3" t="inlineStr">
        <is>
          <t>Aug-26</t>
        </is>
      </c>
      <c r="G13" s="3" t="inlineStr">
        <is>
          <t>Sep-26</t>
        </is>
      </c>
      <c r="H13" s="3" t="inlineStr">
        <is>
          <t>Oct-26</t>
        </is>
      </c>
      <c r="I13" s="3" t="inlineStr">
        <is>
          <t>Nov-26</t>
        </is>
      </c>
      <c r="J13" s="3" t="inlineStr">
        <is>
          <t>Dec-26</t>
        </is>
      </c>
      <c r="K13" s="3" t="inlineStr">
        <is>
          <t>Jan-27</t>
        </is>
      </c>
      <c r="L13" s="3" t="inlineStr">
        <is>
          <t>Feb-27</t>
        </is>
      </c>
      <c r="M13" s="3" t="inlineStr">
        <is>
          <t>Mar-27</t>
        </is>
      </c>
      <c r="N13" s="3" t="inlineStr">
        <is>
          <t>FY total</t>
        </is>
      </c>
    </row>
    <row r="14">
      <c r="A14" s="10" t="inlineStr">
        <is>
          <t>Orders per day</t>
        </is>
      </c>
      <c r="B14" s="21">
        <f>$B$3</f>
        <v/>
      </c>
      <c r="C14" s="21">
        <f>B14*(1+$B$4)</f>
        <v/>
      </c>
      <c r="D14" s="21">
        <f>C14*(1+$B$4)</f>
        <v/>
      </c>
      <c r="E14" s="21">
        <f>D14*(1+$B$4)</f>
        <v/>
      </c>
      <c r="F14" s="21">
        <f>E14*(1+$B$4)</f>
        <v/>
      </c>
      <c r="G14" s="21">
        <f>F14*(1+$B$4)</f>
        <v/>
      </c>
      <c r="H14" s="21">
        <f>G14*(1+$B$4)</f>
        <v/>
      </c>
      <c r="I14" s="21">
        <f>H14*(1+$B$4)</f>
        <v/>
      </c>
      <c r="J14" s="21">
        <f>I14*(1+$B$4)</f>
        <v/>
      </c>
      <c r="K14" s="21">
        <f>J14*(1+$B$4)</f>
        <v/>
      </c>
      <c r="L14" s="21">
        <f>K14*(1+$B$4)</f>
        <v/>
      </c>
      <c r="M14" s="21">
        <f>L14*(1+$B$4)</f>
        <v/>
      </c>
      <c r="N14" s="21">
        <f>AVERAGE(B14:M14)</f>
        <v/>
      </c>
    </row>
    <row r="15">
      <c r="A15" s="10" t="inlineStr">
        <is>
          <t>Orders in month</t>
        </is>
      </c>
      <c r="B15" s="21">
        <f>B14*$B$6</f>
        <v/>
      </c>
      <c r="C15" s="21">
        <f>C14*$B$6</f>
        <v/>
      </c>
      <c r="D15" s="21">
        <f>D14*$B$6</f>
        <v/>
      </c>
      <c r="E15" s="21">
        <f>E14*$B$6</f>
        <v/>
      </c>
      <c r="F15" s="21">
        <f>F14*$B$6</f>
        <v/>
      </c>
      <c r="G15" s="21">
        <f>G14*$B$6</f>
        <v/>
      </c>
      <c r="H15" s="21">
        <f>H14*$B$6</f>
        <v/>
      </c>
      <c r="I15" s="21">
        <f>I14*$B$6</f>
        <v/>
      </c>
      <c r="J15" s="21">
        <f>J14*$B$6</f>
        <v/>
      </c>
      <c r="K15" s="21">
        <f>K14*$B$6</f>
        <v/>
      </c>
      <c r="L15" s="21">
        <f>L14*$B$6</f>
        <v/>
      </c>
      <c r="M15" s="21">
        <f>M14*$B$6</f>
        <v/>
      </c>
      <c r="N15" s="21">
        <f>SUM(B15:M15)</f>
        <v/>
      </c>
    </row>
    <row r="16">
      <c r="A16" s="7" t="inlineStr">
        <is>
          <t>Revenue</t>
        </is>
      </c>
      <c r="B16" s="5">
        <f>B15*$B$5</f>
        <v/>
      </c>
      <c r="C16" s="5">
        <f>C15*$B$5</f>
        <v/>
      </c>
      <c r="D16" s="5">
        <f>D15*$B$5</f>
        <v/>
      </c>
      <c r="E16" s="5">
        <f>E15*$B$5</f>
        <v/>
      </c>
      <c r="F16" s="5">
        <f>F15*$B$5</f>
        <v/>
      </c>
      <c r="G16" s="5">
        <f>G15*$B$5</f>
        <v/>
      </c>
      <c r="H16" s="5">
        <f>H15*$B$5</f>
        <v/>
      </c>
      <c r="I16" s="5">
        <f>I15*$B$5</f>
        <v/>
      </c>
      <c r="J16" s="5">
        <f>J15*$B$5</f>
        <v/>
      </c>
      <c r="K16" s="5">
        <f>K15*$B$5</f>
        <v/>
      </c>
      <c r="L16" s="5">
        <f>L15*$B$5</f>
        <v/>
      </c>
      <c r="M16" s="5">
        <f>M15*$B$5</f>
        <v/>
      </c>
      <c r="N16" s="5">
        <f>SUM(B16:M16)</f>
        <v/>
      </c>
    </row>
    <row r="17">
      <c r="A17" s="10" t="inlineStr">
        <is>
          <t>Food cost</t>
        </is>
      </c>
      <c r="B17" s="5">
        <f>B16*$B$7</f>
        <v/>
      </c>
      <c r="C17" s="5">
        <f>C16*$B$7</f>
        <v/>
      </c>
      <c r="D17" s="5">
        <f>D16*$B$7</f>
        <v/>
      </c>
      <c r="E17" s="5">
        <f>E16*$B$7</f>
        <v/>
      </c>
      <c r="F17" s="5">
        <f>F16*$B$7</f>
        <v/>
      </c>
      <c r="G17" s="5">
        <f>G16*$B$7</f>
        <v/>
      </c>
      <c r="H17" s="5">
        <f>H16*$B$7</f>
        <v/>
      </c>
      <c r="I17" s="5">
        <f>I16*$B$7</f>
        <v/>
      </c>
      <c r="J17" s="5">
        <f>J16*$B$7</f>
        <v/>
      </c>
      <c r="K17" s="5">
        <f>K16*$B$7</f>
        <v/>
      </c>
      <c r="L17" s="5">
        <f>L16*$B$7</f>
        <v/>
      </c>
      <c r="M17" s="5">
        <f>M16*$B$7</f>
        <v/>
      </c>
      <c r="N17" s="5">
        <f>SUM(B17:M17)</f>
        <v/>
      </c>
    </row>
    <row r="18">
      <c r="A18" s="10" t="inlineStr">
        <is>
          <t>Platform commission</t>
        </is>
      </c>
      <c r="B18" s="5">
        <f>B16*$B$8</f>
        <v/>
      </c>
      <c r="C18" s="5">
        <f>C16*$B$8</f>
        <v/>
      </c>
      <c r="D18" s="5">
        <f>D16*$B$8</f>
        <v/>
      </c>
      <c r="E18" s="5">
        <f>E16*$B$8</f>
        <v/>
      </c>
      <c r="F18" s="5">
        <f>F16*$B$8</f>
        <v/>
      </c>
      <c r="G18" s="5">
        <f>G16*$B$8</f>
        <v/>
      </c>
      <c r="H18" s="5">
        <f>H16*$B$8</f>
        <v/>
      </c>
      <c r="I18" s="5">
        <f>I16*$B$8</f>
        <v/>
      </c>
      <c r="J18" s="5">
        <f>J16*$B$8</f>
        <v/>
      </c>
      <c r="K18" s="5">
        <f>K16*$B$8</f>
        <v/>
      </c>
      <c r="L18" s="5">
        <f>L16*$B$8</f>
        <v/>
      </c>
      <c r="M18" s="5">
        <f>M16*$B$8</f>
        <v/>
      </c>
      <c r="N18" s="5">
        <f>SUM(B18:M18)</f>
        <v/>
      </c>
    </row>
    <row r="19">
      <c r="A19" s="10" t="inlineStr">
        <is>
          <t>Contribution</t>
        </is>
      </c>
      <c r="B19" s="5">
        <f>B16-B17-B18</f>
        <v/>
      </c>
      <c r="C19" s="5">
        <f>C16-C17-C18</f>
        <v/>
      </c>
      <c r="D19" s="5">
        <f>D16-D17-D18</f>
        <v/>
      </c>
      <c r="E19" s="5">
        <f>E16-E17-E18</f>
        <v/>
      </c>
      <c r="F19" s="5">
        <f>F16-F17-F18</f>
        <v/>
      </c>
      <c r="G19" s="5">
        <f>G16-G17-G18</f>
        <v/>
      </c>
      <c r="H19" s="5">
        <f>H16-H17-H18</f>
        <v/>
      </c>
      <c r="I19" s="5">
        <f>I16-I17-I18</f>
        <v/>
      </c>
      <c r="J19" s="5">
        <f>J16-J17-J18</f>
        <v/>
      </c>
      <c r="K19" s="5">
        <f>K16-K17-K18</f>
        <v/>
      </c>
      <c r="L19" s="5">
        <f>L16-L17-L18</f>
        <v/>
      </c>
      <c r="M19" s="5">
        <f>M16-M17-M18</f>
        <v/>
      </c>
      <c r="N19" s="5">
        <f>SUM(B19:M19)</f>
        <v/>
      </c>
    </row>
    <row r="20">
      <c r="A20" s="10" t="inlineStr">
        <is>
          <t>Kitchen rent</t>
        </is>
      </c>
      <c r="B20" s="5">
        <f>$B$9</f>
        <v/>
      </c>
      <c r="C20" s="5">
        <f>$B$9</f>
        <v/>
      </c>
      <c r="D20" s="5">
        <f>$B$9</f>
        <v/>
      </c>
      <c r="E20" s="5">
        <f>$B$9</f>
        <v/>
      </c>
      <c r="F20" s="5">
        <f>$B$9</f>
        <v/>
      </c>
      <c r="G20" s="5">
        <f>$B$9</f>
        <v/>
      </c>
      <c r="H20" s="5">
        <f>$B$9</f>
        <v/>
      </c>
      <c r="I20" s="5">
        <f>$B$9</f>
        <v/>
      </c>
      <c r="J20" s="5">
        <f>$B$9</f>
        <v/>
      </c>
      <c r="K20" s="5">
        <f>$B$9</f>
        <v/>
      </c>
      <c r="L20" s="5">
        <f>$B$9</f>
        <v/>
      </c>
      <c r="M20" s="5">
        <f>$B$9</f>
        <v/>
      </c>
      <c r="N20" s="5">
        <f>SUM(B20:M20)</f>
        <v/>
      </c>
    </row>
    <row r="21">
      <c r="A21" s="10" t="inlineStr">
        <is>
          <t>Staff salaries</t>
        </is>
      </c>
      <c r="B21" s="5">
        <f>$B$10</f>
        <v/>
      </c>
      <c r="C21" s="5">
        <f>$B$10</f>
        <v/>
      </c>
      <c r="D21" s="5">
        <f>$B$10</f>
        <v/>
      </c>
      <c r="E21" s="5">
        <f>$B$10</f>
        <v/>
      </c>
      <c r="F21" s="5">
        <f>$B$10</f>
        <v/>
      </c>
      <c r="G21" s="5">
        <f>$B$10</f>
        <v/>
      </c>
      <c r="H21" s="5">
        <f>$B$10</f>
        <v/>
      </c>
      <c r="I21" s="5">
        <f>$B$10</f>
        <v/>
      </c>
      <c r="J21" s="5">
        <f>$B$10</f>
        <v/>
      </c>
      <c r="K21" s="5">
        <f>$B$10</f>
        <v/>
      </c>
      <c r="L21" s="5">
        <f>$B$10</f>
        <v/>
      </c>
      <c r="M21" s="5">
        <f>$B$10</f>
        <v/>
      </c>
      <c r="N21" s="5">
        <f>SUM(B21:M21)</f>
        <v/>
      </c>
    </row>
    <row r="22">
      <c r="A22" s="10" t="inlineStr">
        <is>
          <t>Marketing</t>
        </is>
      </c>
      <c r="B22" s="5">
        <f>B16*$B$11</f>
        <v/>
      </c>
      <c r="C22" s="5">
        <f>C16*$B$11</f>
        <v/>
      </c>
      <c r="D22" s="5">
        <f>D16*$B$11</f>
        <v/>
      </c>
      <c r="E22" s="5">
        <f>E16*$B$11</f>
        <v/>
      </c>
      <c r="F22" s="5">
        <f>F16*$B$11</f>
        <v/>
      </c>
      <c r="G22" s="5">
        <f>G16*$B$11</f>
        <v/>
      </c>
      <c r="H22" s="5">
        <f>H16*$B$11</f>
        <v/>
      </c>
      <c r="I22" s="5">
        <f>I16*$B$11</f>
        <v/>
      </c>
      <c r="J22" s="5">
        <f>J16*$B$11</f>
        <v/>
      </c>
      <c r="K22" s="5">
        <f>K16*$B$11</f>
        <v/>
      </c>
      <c r="L22" s="5">
        <f>L16*$B$11</f>
        <v/>
      </c>
      <c r="M22" s="5">
        <f>M16*$B$11</f>
        <v/>
      </c>
      <c r="N22" s="5">
        <f>SUM(B22:M22)</f>
        <v/>
      </c>
    </row>
    <row r="23">
      <c r="A23" s="7" t="inlineStr">
        <is>
          <t>EBITDA</t>
        </is>
      </c>
      <c r="B23" s="5">
        <f>B19-B20-B21-B22</f>
        <v/>
      </c>
      <c r="C23" s="5">
        <f>C19-C20-C21-C22</f>
        <v/>
      </c>
      <c r="D23" s="5">
        <f>D19-D20-D21-D22</f>
        <v/>
      </c>
      <c r="E23" s="5">
        <f>E19-E20-E21-E22</f>
        <v/>
      </c>
      <c r="F23" s="5">
        <f>F19-F20-F21-F22</f>
        <v/>
      </c>
      <c r="G23" s="5">
        <f>G19-G20-G21-G22</f>
        <v/>
      </c>
      <c r="H23" s="5">
        <f>H19-H20-H21-H22</f>
        <v/>
      </c>
      <c r="I23" s="5">
        <f>I19-I20-I21-I22</f>
        <v/>
      </c>
      <c r="J23" s="5">
        <f>J19-J20-J21-J22</f>
        <v/>
      </c>
      <c r="K23" s="5">
        <f>K19-K20-K21-K22</f>
        <v/>
      </c>
      <c r="L23" s="5">
        <f>L19-L20-L21-L22</f>
        <v/>
      </c>
      <c r="M23" s="5">
        <f>M19-M20-M21-M22</f>
        <v/>
      </c>
      <c r="N23" s="5">
        <f>SUM(B23:M23)</f>
        <v/>
      </c>
    </row>
    <row r="24">
      <c r="A24" s="10" t="inlineStr">
        <is>
          <t>EBITDA margin %</t>
        </is>
      </c>
      <c r="B24" s="6">
        <f>B23/B16</f>
        <v/>
      </c>
      <c r="C24" s="6">
        <f>C23/C16</f>
        <v/>
      </c>
      <c r="D24" s="6">
        <f>D23/D16</f>
        <v/>
      </c>
      <c r="E24" s="6">
        <f>E23/E16</f>
        <v/>
      </c>
      <c r="F24" s="6">
        <f>F23/F16</f>
        <v/>
      </c>
      <c r="G24" s="6">
        <f>G23/G16</f>
        <v/>
      </c>
      <c r="H24" s="6">
        <f>H23/H16</f>
        <v/>
      </c>
      <c r="I24" s="6">
        <f>I23/I16</f>
        <v/>
      </c>
      <c r="J24" s="6">
        <f>J23/J16</f>
        <v/>
      </c>
      <c r="K24" s="6">
        <f>K23/K16</f>
        <v/>
      </c>
      <c r="L24" s="6">
        <f>L23/L16</f>
        <v/>
      </c>
      <c r="M24" s="6">
        <f>M23/M16</f>
        <v/>
      </c>
      <c r="N24" s="6">
        <f>N23/N16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28" customWidth="1" min="16" max="16"/>
    <col width="9" customWidth="1" min="17" max="17"/>
    <col width="9" customWidth="1" min="18" max="18"/>
    <col width="9" customWidth="1" min="19" max="19"/>
  </cols>
  <sheetData>
    <row r="1">
      <c r="A1" s="12" t="inlineStr">
        <is>
          <t>Tandoor Tales: budget with Base / Best / Worst scenarios</t>
        </is>
      </c>
    </row>
    <row r="2">
      <c r="A2" s="7" t="inlineStr">
        <is>
          <t>Inputs</t>
        </is>
      </c>
      <c r="P2" s="7" t="inlineStr">
        <is>
          <t>Scenario (1 Base, 2 Best, 3 Worst)</t>
        </is>
      </c>
      <c r="Q2" s="14" t="n">
        <v>1</v>
      </c>
    </row>
    <row r="3">
      <c r="A3" t="inlineStr">
        <is>
          <t>Orders per day (April)</t>
        </is>
      </c>
      <c r="B3" s="18">
        <f>CHOOSE($Q$2,Q5,R5,S5)</f>
        <v/>
      </c>
    </row>
    <row r="4">
      <c r="A4" t="inlineStr">
        <is>
          <t>Monthly growth in orders</t>
        </is>
      </c>
      <c r="B4" s="19">
        <f>CHOOSE($Q$2,Q6,R6,S6)</f>
        <v/>
      </c>
      <c r="P4" s="3" t="inlineStr">
        <is>
          <t>Input</t>
        </is>
      </c>
      <c r="Q4" s="3" t="inlineStr">
        <is>
          <t>Base</t>
        </is>
      </c>
      <c r="R4" s="3" t="inlineStr">
        <is>
          <t>Best</t>
        </is>
      </c>
      <c r="S4" s="3" t="inlineStr">
        <is>
          <t>Worst</t>
        </is>
      </c>
    </row>
    <row r="5">
      <c r="A5" t="inlineStr">
        <is>
          <t>Average order value</t>
        </is>
      </c>
      <c r="B5" s="11">
        <f>CHOOSE($Q$2,Q7,R7,S7)</f>
        <v/>
      </c>
      <c r="P5" t="inlineStr">
        <is>
          <t>Orders per day (April)</t>
        </is>
      </c>
      <c r="Q5" s="21" t="n">
        <v>180</v>
      </c>
      <c r="R5" s="21" t="n">
        <v>210</v>
      </c>
      <c r="S5" s="21" t="n">
        <v>150</v>
      </c>
    </row>
    <row r="6">
      <c r="A6" t="inlineStr">
        <is>
          <t>Days per month</t>
        </is>
      </c>
      <c r="B6" s="18" t="n">
        <v>30</v>
      </c>
      <c r="P6" t="inlineStr">
        <is>
          <t>Monthly growth in orders</t>
        </is>
      </c>
      <c r="Q6" s="6" t="n">
        <v>0.03</v>
      </c>
      <c r="R6" s="6" t="n">
        <v>0.04</v>
      </c>
      <c r="S6" s="6" t="n">
        <v>0.015</v>
      </c>
    </row>
    <row r="7">
      <c r="A7" t="inlineStr">
        <is>
          <t>Food cost % of revenue</t>
        </is>
      </c>
      <c r="B7" s="20">
        <f>CHOOSE($Q$2,Q8,R8,S8)</f>
        <v/>
      </c>
      <c r="P7" t="inlineStr">
        <is>
          <t>Average order value</t>
        </is>
      </c>
      <c r="Q7" s="5" t="n">
        <v>420</v>
      </c>
      <c r="R7" s="5" t="n">
        <v>450</v>
      </c>
      <c r="S7" s="5" t="n">
        <v>390</v>
      </c>
    </row>
    <row r="8">
      <c r="A8" t="inlineStr">
        <is>
          <t>Platform commission % of revenue</t>
        </is>
      </c>
      <c r="B8" s="20" t="n">
        <v>0.22</v>
      </c>
      <c r="P8" t="inlineStr">
        <is>
          <t>Food cost % of revenue</t>
        </is>
      </c>
      <c r="Q8" s="9" t="n">
        <v>0.32</v>
      </c>
      <c r="R8" s="9" t="n">
        <v>0.3</v>
      </c>
      <c r="S8" s="9" t="n">
        <v>0.35</v>
      </c>
    </row>
    <row r="9">
      <c r="A9" t="inlineStr">
        <is>
          <t>Kitchen rent per month</t>
        </is>
      </c>
      <c r="B9" s="11" t="n">
        <v>120000</v>
      </c>
    </row>
    <row r="10">
      <c r="A10" t="inlineStr">
        <is>
          <t>Staff salaries per month</t>
        </is>
      </c>
      <c r="B10" s="11" t="n">
        <v>380000</v>
      </c>
      <c r="P10" s="2" t="inlineStr">
        <is>
          <t>B3, B4, B5 and B7 now pick their value from the chosen scenario.</t>
        </is>
      </c>
    </row>
    <row r="11">
      <c r="A11" t="inlineStr">
        <is>
          <t>Marketing % of revenue</t>
        </is>
      </c>
      <c r="B11" s="20" t="n">
        <v>0.05</v>
      </c>
    </row>
    <row r="13">
      <c r="A13" s="3" t="inlineStr">
        <is>
          <t>Line item</t>
        </is>
      </c>
      <c r="B13" s="3" t="inlineStr">
        <is>
          <t>Apr-26</t>
        </is>
      </c>
      <c r="C13" s="3" t="inlineStr">
        <is>
          <t>May-26</t>
        </is>
      </c>
      <c r="D13" s="3" t="inlineStr">
        <is>
          <t>Jun-26</t>
        </is>
      </c>
      <c r="E13" s="3" t="inlineStr">
        <is>
          <t>Jul-26</t>
        </is>
      </c>
      <c r="F13" s="3" t="inlineStr">
        <is>
          <t>Aug-26</t>
        </is>
      </c>
      <c r="G13" s="3" t="inlineStr">
        <is>
          <t>Sep-26</t>
        </is>
      </c>
      <c r="H13" s="3" t="inlineStr">
        <is>
          <t>Oct-26</t>
        </is>
      </c>
      <c r="I13" s="3" t="inlineStr">
        <is>
          <t>Nov-26</t>
        </is>
      </c>
      <c r="J13" s="3" t="inlineStr">
        <is>
          <t>Dec-26</t>
        </is>
      </c>
      <c r="K13" s="3" t="inlineStr">
        <is>
          <t>Jan-27</t>
        </is>
      </c>
      <c r="L13" s="3" t="inlineStr">
        <is>
          <t>Feb-27</t>
        </is>
      </c>
      <c r="M13" s="3" t="inlineStr">
        <is>
          <t>Mar-27</t>
        </is>
      </c>
      <c r="N13" s="3" t="inlineStr">
        <is>
          <t>FY total</t>
        </is>
      </c>
    </row>
    <row r="14">
      <c r="A14" s="10" t="inlineStr">
        <is>
          <t>Orders per day</t>
        </is>
      </c>
      <c r="B14" s="21">
        <f>$B$3</f>
        <v/>
      </c>
      <c r="C14" s="21">
        <f>B14*(1+$B$4)</f>
        <v/>
      </c>
      <c r="D14" s="21">
        <f>C14*(1+$B$4)</f>
        <v/>
      </c>
      <c r="E14" s="21">
        <f>D14*(1+$B$4)</f>
        <v/>
      </c>
      <c r="F14" s="21">
        <f>E14*(1+$B$4)</f>
        <v/>
      </c>
      <c r="G14" s="21">
        <f>F14*(1+$B$4)</f>
        <v/>
      </c>
      <c r="H14" s="21">
        <f>G14*(1+$B$4)</f>
        <v/>
      </c>
      <c r="I14" s="21">
        <f>H14*(1+$B$4)</f>
        <v/>
      </c>
      <c r="J14" s="21">
        <f>I14*(1+$B$4)</f>
        <v/>
      </c>
      <c r="K14" s="21">
        <f>J14*(1+$B$4)</f>
        <v/>
      </c>
      <c r="L14" s="21">
        <f>K14*(1+$B$4)</f>
        <v/>
      </c>
      <c r="M14" s="21">
        <f>L14*(1+$B$4)</f>
        <v/>
      </c>
      <c r="N14" s="21">
        <f>AVERAGE(B14:M14)</f>
        <v/>
      </c>
    </row>
    <row r="15">
      <c r="A15" s="10" t="inlineStr">
        <is>
          <t>Orders in month</t>
        </is>
      </c>
      <c r="B15" s="21">
        <f>B14*$B$6</f>
        <v/>
      </c>
      <c r="C15" s="21">
        <f>C14*$B$6</f>
        <v/>
      </c>
      <c r="D15" s="21">
        <f>D14*$B$6</f>
        <v/>
      </c>
      <c r="E15" s="21">
        <f>E14*$B$6</f>
        <v/>
      </c>
      <c r="F15" s="21">
        <f>F14*$B$6</f>
        <v/>
      </c>
      <c r="G15" s="21">
        <f>G14*$B$6</f>
        <v/>
      </c>
      <c r="H15" s="21">
        <f>H14*$B$6</f>
        <v/>
      </c>
      <c r="I15" s="21">
        <f>I14*$B$6</f>
        <v/>
      </c>
      <c r="J15" s="21">
        <f>J14*$B$6</f>
        <v/>
      </c>
      <c r="K15" s="21">
        <f>K14*$B$6</f>
        <v/>
      </c>
      <c r="L15" s="21">
        <f>L14*$B$6</f>
        <v/>
      </c>
      <c r="M15" s="21">
        <f>M14*$B$6</f>
        <v/>
      </c>
      <c r="N15" s="21">
        <f>SUM(B15:M15)</f>
        <v/>
      </c>
    </row>
    <row r="16">
      <c r="A16" s="7" t="inlineStr">
        <is>
          <t>Revenue</t>
        </is>
      </c>
      <c r="B16" s="5">
        <f>B15*$B$5</f>
        <v/>
      </c>
      <c r="C16" s="5">
        <f>C15*$B$5</f>
        <v/>
      </c>
      <c r="D16" s="5">
        <f>D15*$B$5</f>
        <v/>
      </c>
      <c r="E16" s="5">
        <f>E15*$B$5</f>
        <v/>
      </c>
      <c r="F16" s="5">
        <f>F15*$B$5</f>
        <v/>
      </c>
      <c r="G16" s="5">
        <f>G15*$B$5</f>
        <v/>
      </c>
      <c r="H16" s="5">
        <f>H15*$B$5</f>
        <v/>
      </c>
      <c r="I16" s="5">
        <f>I15*$B$5</f>
        <v/>
      </c>
      <c r="J16" s="5">
        <f>J15*$B$5</f>
        <v/>
      </c>
      <c r="K16" s="5">
        <f>K15*$B$5</f>
        <v/>
      </c>
      <c r="L16" s="5">
        <f>L15*$B$5</f>
        <v/>
      </c>
      <c r="M16" s="5">
        <f>M15*$B$5</f>
        <v/>
      </c>
      <c r="N16" s="5">
        <f>SUM(B16:M16)</f>
        <v/>
      </c>
    </row>
    <row r="17">
      <c r="A17" s="10" t="inlineStr">
        <is>
          <t>Food cost</t>
        </is>
      </c>
      <c r="B17" s="5">
        <f>B16*$B$7</f>
        <v/>
      </c>
      <c r="C17" s="5">
        <f>C16*$B$7</f>
        <v/>
      </c>
      <c r="D17" s="5">
        <f>D16*$B$7</f>
        <v/>
      </c>
      <c r="E17" s="5">
        <f>E16*$B$7</f>
        <v/>
      </c>
      <c r="F17" s="5">
        <f>F16*$B$7</f>
        <v/>
      </c>
      <c r="G17" s="5">
        <f>G16*$B$7</f>
        <v/>
      </c>
      <c r="H17" s="5">
        <f>H16*$B$7</f>
        <v/>
      </c>
      <c r="I17" s="5">
        <f>I16*$B$7</f>
        <v/>
      </c>
      <c r="J17" s="5">
        <f>J16*$B$7</f>
        <v/>
      </c>
      <c r="K17" s="5">
        <f>K16*$B$7</f>
        <v/>
      </c>
      <c r="L17" s="5">
        <f>L16*$B$7</f>
        <v/>
      </c>
      <c r="M17" s="5">
        <f>M16*$B$7</f>
        <v/>
      </c>
      <c r="N17" s="5">
        <f>SUM(B17:M17)</f>
        <v/>
      </c>
    </row>
    <row r="18">
      <c r="A18" s="10" t="inlineStr">
        <is>
          <t>Platform commission</t>
        </is>
      </c>
      <c r="B18" s="5">
        <f>B16*$B$8</f>
        <v/>
      </c>
      <c r="C18" s="5">
        <f>C16*$B$8</f>
        <v/>
      </c>
      <c r="D18" s="5">
        <f>D16*$B$8</f>
        <v/>
      </c>
      <c r="E18" s="5">
        <f>E16*$B$8</f>
        <v/>
      </c>
      <c r="F18" s="5">
        <f>F16*$B$8</f>
        <v/>
      </c>
      <c r="G18" s="5">
        <f>G16*$B$8</f>
        <v/>
      </c>
      <c r="H18" s="5">
        <f>H16*$B$8</f>
        <v/>
      </c>
      <c r="I18" s="5">
        <f>I16*$B$8</f>
        <v/>
      </c>
      <c r="J18" s="5">
        <f>J16*$B$8</f>
        <v/>
      </c>
      <c r="K18" s="5">
        <f>K16*$B$8</f>
        <v/>
      </c>
      <c r="L18" s="5">
        <f>L16*$B$8</f>
        <v/>
      </c>
      <c r="M18" s="5">
        <f>M16*$B$8</f>
        <v/>
      </c>
      <c r="N18" s="5">
        <f>SUM(B18:M18)</f>
        <v/>
      </c>
    </row>
    <row r="19">
      <c r="A19" s="10" t="inlineStr">
        <is>
          <t>Contribution</t>
        </is>
      </c>
      <c r="B19" s="5">
        <f>B16-B17-B18</f>
        <v/>
      </c>
      <c r="C19" s="5">
        <f>C16-C17-C18</f>
        <v/>
      </c>
      <c r="D19" s="5">
        <f>D16-D17-D18</f>
        <v/>
      </c>
      <c r="E19" s="5">
        <f>E16-E17-E18</f>
        <v/>
      </c>
      <c r="F19" s="5">
        <f>F16-F17-F18</f>
        <v/>
      </c>
      <c r="G19" s="5">
        <f>G16-G17-G18</f>
        <v/>
      </c>
      <c r="H19" s="5">
        <f>H16-H17-H18</f>
        <v/>
      </c>
      <c r="I19" s="5">
        <f>I16-I17-I18</f>
        <v/>
      </c>
      <c r="J19" s="5">
        <f>J16-J17-J18</f>
        <v/>
      </c>
      <c r="K19" s="5">
        <f>K16-K17-K18</f>
        <v/>
      </c>
      <c r="L19" s="5">
        <f>L16-L17-L18</f>
        <v/>
      </c>
      <c r="M19" s="5">
        <f>M16-M17-M18</f>
        <v/>
      </c>
      <c r="N19" s="5">
        <f>SUM(B19:M19)</f>
        <v/>
      </c>
    </row>
    <row r="20">
      <c r="A20" s="10" t="inlineStr">
        <is>
          <t>Kitchen rent</t>
        </is>
      </c>
      <c r="B20" s="5">
        <f>$B$9</f>
        <v/>
      </c>
      <c r="C20" s="5">
        <f>$B$9</f>
        <v/>
      </c>
      <c r="D20" s="5">
        <f>$B$9</f>
        <v/>
      </c>
      <c r="E20" s="5">
        <f>$B$9</f>
        <v/>
      </c>
      <c r="F20" s="5">
        <f>$B$9</f>
        <v/>
      </c>
      <c r="G20" s="5">
        <f>$B$9</f>
        <v/>
      </c>
      <c r="H20" s="5">
        <f>$B$9</f>
        <v/>
      </c>
      <c r="I20" s="5">
        <f>$B$9</f>
        <v/>
      </c>
      <c r="J20" s="5">
        <f>$B$9</f>
        <v/>
      </c>
      <c r="K20" s="5">
        <f>$B$9</f>
        <v/>
      </c>
      <c r="L20" s="5">
        <f>$B$9</f>
        <v/>
      </c>
      <c r="M20" s="5">
        <f>$B$9</f>
        <v/>
      </c>
      <c r="N20" s="5">
        <f>SUM(B20:M20)</f>
        <v/>
      </c>
    </row>
    <row r="21">
      <c r="A21" s="10" t="inlineStr">
        <is>
          <t>Staff salaries</t>
        </is>
      </c>
      <c r="B21" s="5">
        <f>$B$10</f>
        <v/>
      </c>
      <c r="C21" s="5">
        <f>$B$10</f>
        <v/>
      </c>
      <c r="D21" s="5">
        <f>$B$10</f>
        <v/>
      </c>
      <c r="E21" s="5">
        <f>$B$10</f>
        <v/>
      </c>
      <c r="F21" s="5">
        <f>$B$10</f>
        <v/>
      </c>
      <c r="G21" s="5">
        <f>$B$10</f>
        <v/>
      </c>
      <c r="H21" s="5">
        <f>$B$10</f>
        <v/>
      </c>
      <c r="I21" s="5">
        <f>$B$10</f>
        <v/>
      </c>
      <c r="J21" s="5">
        <f>$B$10</f>
        <v/>
      </c>
      <c r="K21" s="5">
        <f>$B$10</f>
        <v/>
      </c>
      <c r="L21" s="5">
        <f>$B$10</f>
        <v/>
      </c>
      <c r="M21" s="5">
        <f>$B$10</f>
        <v/>
      </c>
      <c r="N21" s="5">
        <f>SUM(B21:M21)</f>
        <v/>
      </c>
    </row>
    <row r="22">
      <c r="A22" s="10" t="inlineStr">
        <is>
          <t>Marketing</t>
        </is>
      </c>
      <c r="B22" s="5">
        <f>B16*$B$11</f>
        <v/>
      </c>
      <c r="C22" s="5">
        <f>C16*$B$11</f>
        <v/>
      </c>
      <c r="D22" s="5">
        <f>D16*$B$11</f>
        <v/>
      </c>
      <c r="E22" s="5">
        <f>E16*$B$11</f>
        <v/>
      </c>
      <c r="F22" s="5">
        <f>F16*$B$11</f>
        <v/>
      </c>
      <c r="G22" s="5">
        <f>G16*$B$11</f>
        <v/>
      </c>
      <c r="H22" s="5">
        <f>H16*$B$11</f>
        <v/>
      </c>
      <c r="I22" s="5">
        <f>I16*$B$11</f>
        <v/>
      </c>
      <c r="J22" s="5">
        <f>J16*$B$11</f>
        <v/>
      </c>
      <c r="K22" s="5">
        <f>K16*$B$11</f>
        <v/>
      </c>
      <c r="L22" s="5">
        <f>L16*$B$11</f>
        <v/>
      </c>
      <c r="M22" s="5">
        <f>M16*$B$11</f>
        <v/>
      </c>
      <c r="N22" s="5">
        <f>SUM(B22:M22)</f>
        <v/>
      </c>
    </row>
    <row r="23">
      <c r="A23" s="7" t="inlineStr">
        <is>
          <t>EBITDA</t>
        </is>
      </c>
      <c r="B23" s="5">
        <f>B19-B20-B21-B22</f>
        <v/>
      </c>
      <c r="C23" s="5">
        <f>C19-C20-C21-C22</f>
        <v/>
      </c>
      <c r="D23" s="5">
        <f>D19-D20-D21-D22</f>
        <v/>
      </c>
      <c r="E23" s="5">
        <f>E19-E20-E21-E22</f>
        <v/>
      </c>
      <c r="F23" s="5">
        <f>F19-F20-F21-F22</f>
        <v/>
      </c>
      <c r="G23" s="5">
        <f>G19-G20-G21-G22</f>
        <v/>
      </c>
      <c r="H23" s="5">
        <f>H19-H20-H21-H22</f>
        <v/>
      </c>
      <c r="I23" s="5">
        <f>I19-I20-I21-I22</f>
        <v/>
      </c>
      <c r="J23" s="5">
        <f>J19-J20-J21-J22</f>
        <v/>
      </c>
      <c r="K23" s="5">
        <f>K19-K20-K21-K22</f>
        <v/>
      </c>
      <c r="L23" s="5">
        <f>L19-L20-L21-L22</f>
        <v/>
      </c>
      <c r="M23" s="5">
        <f>M19-M20-M21-M22</f>
        <v/>
      </c>
      <c r="N23" s="5">
        <f>SUM(B23:M23)</f>
        <v/>
      </c>
    </row>
    <row r="24">
      <c r="A24" s="10" t="inlineStr">
        <is>
          <t>EBITDA margin %</t>
        </is>
      </c>
      <c r="B24" s="6">
        <f>B23/B16</f>
        <v/>
      </c>
      <c r="C24" s="6">
        <f>C23/C16</f>
        <v/>
      </c>
      <c r="D24" s="6">
        <f>D23/D16</f>
        <v/>
      </c>
      <c r="E24" s="6">
        <f>E23/E16</f>
        <v/>
      </c>
      <c r="F24" s="6">
        <f>F23/F16</f>
        <v/>
      </c>
      <c r="G24" s="6">
        <f>G23/G16</f>
        <v/>
      </c>
      <c r="H24" s="6">
        <f>H23/H16</f>
        <v/>
      </c>
      <c r="I24" s="6">
        <f>I23/I16</f>
        <v/>
      </c>
      <c r="J24" s="6">
        <f>J23/J16</f>
        <v/>
      </c>
      <c r="K24" s="6">
        <f>K23/K16</f>
        <v/>
      </c>
      <c r="L24" s="6">
        <f>L23/L16</f>
        <v/>
      </c>
      <c r="M24" s="6">
        <f>M23/M16</f>
        <v/>
      </c>
      <c r="N24" s="6">
        <f>N23/N16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4" customWidth="1" min="4" max="4"/>
  </cols>
  <sheetData>
    <row r="1">
      <c r="A1" s="3" t="inlineStr">
        <is>
          <t>Check</t>
        </is>
      </c>
      <c r="B1" s="3" t="inlineStr">
        <is>
          <t>Per PDF</t>
        </is>
      </c>
      <c r="C1" s="3" t="inlineStr">
        <is>
          <t>From extracted sheet</t>
        </is>
      </c>
      <c r="D1" s="3" t="inlineStr">
        <is>
          <t>Difference</t>
        </is>
      </c>
    </row>
    <row r="2">
      <c r="A2" t="inlineStr">
        <is>
          <t>Total withdrawals (Dr)</t>
        </is>
      </c>
      <c r="B2" s="22" t="n">
        <v>105338.15</v>
      </c>
      <c r="C2" s="23" t="n"/>
      <c r="D2" s="24">
        <f>IF(C2="","",ROUND(C2-B2,2))</f>
        <v/>
      </c>
    </row>
    <row r="3">
      <c r="A3" t="inlineStr">
        <is>
          <t>Total deposits (Cr)</t>
        </is>
      </c>
      <c r="B3" s="22" t="n">
        <v>132161</v>
      </c>
      <c r="C3" s="23" t="n"/>
      <c r="D3" s="24">
        <f>IF(C3="","",ROUND(C3-B3,2))</f>
        <v/>
      </c>
    </row>
    <row r="4">
      <c r="A4" t="inlineStr">
        <is>
          <t>Closing balance</t>
        </is>
      </c>
      <c r="B4" s="22" t="n">
        <v>91141.10000000001</v>
      </c>
      <c r="C4" s="23" t="n"/>
      <c r="D4" s="24">
        <f>IF(C4="","",ROUND(C4-B4,2))</f>
        <v/>
      </c>
    </row>
    <row r="5">
      <c r="A5" t="inlineStr">
        <is>
          <t>Number of transactions</t>
        </is>
      </c>
      <c r="B5" s="21" t="n">
        <v>22</v>
      </c>
      <c r="C5" s="18" t="n"/>
      <c r="D5" s="21">
        <f>IF(C5="","",ROUND(C5-B5,2))</f>
        <v/>
      </c>
    </row>
    <row r="7">
      <c r="A7" t="inlineStr">
        <is>
          <t>Opening balance (PDF)</t>
        </is>
      </c>
      <c r="B7" s="22" t="n">
        <v>64318.25</v>
      </c>
    </row>
    <row r="9">
      <c r="A9" s="2" t="inlineStr">
        <is>
          <t>Source: data/Sahyadri_Bank_Statement_Sep2026.pdf (sample statement, fictional bank)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22" customWidth="1" min="9" max="9"/>
    <col width="14" customWidth="1" min="10" max="10"/>
    <col width="14" customWidth="1" min="11" max="11"/>
    <col width="12" customWidth="1" min="12" max="12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Reference</t>
        </is>
      </c>
      <c r="D1" s="3" t="inlineStr">
        <is>
          <t>Debit</t>
        </is>
      </c>
      <c r="E1" s="3" t="inlineStr">
        <is>
          <t>Credit</t>
        </is>
      </c>
      <c r="F1" s="3" t="inlineStr">
        <is>
          <t>Balance</t>
        </is>
      </c>
      <c r="G1" s="3" t="inlineStr">
        <is>
          <t>Category</t>
        </is>
      </c>
      <c r="I1" s="3" t="inlineStr">
        <is>
          <t>Check</t>
        </is>
      </c>
      <c r="J1" s="3" t="inlineStr">
        <is>
          <t>Per PDF</t>
        </is>
      </c>
      <c r="K1" s="3" t="inlineStr">
        <is>
          <t>From sheet</t>
        </is>
      </c>
      <c r="L1" s="3" t="inlineStr">
        <is>
          <t>Difference</t>
        </is>
      </c>
    </row>
    <row r="2">
      <c r="A2" s="16" t="n">
        <v>46266</v>
      </c>
      <c r="B2" t="inlineStr">
        <is>
          <t>NEFT CR-ACME ANALYTICS PVT LTD-SALARY SEP</t>
        </is>
      </c>
      <c r="C2" s="15" t="inlineStr">
        <is>
          <t>258441420184</t>
        </is>
      </c>
      <c r="D2" s="22" t="n"/>
      <c r="E2" s="22" t="n">
        <v>112450</v>
      </c>
      <c r="F2" s="22" t="n">
        <v>176768.25</v>
      </c>
      <c r="G2" t="inlineStr">
        <is>
          <t>Salary</t>
        </is>
      </c>
      <c r="I2" t="inlineStr">
        <is>
          <t>Total withdrawals (Dr)</t>
        </is>
      </c>
      <c r="J2" s="22" t="n">
        <v>105338.15</v>
      </c>
      <c r="K2" s="22">
        <f>SUM(D2:D23)</f>
        <v/>
      </c>
      <c r="L2" s="24">
        <f>K2-J2</f>
        <v/>
      </c>
    </row>
    <row r="3">
      <c r="A3" s="16" t="n">
        <v>46267</v>
      </c>
      <c r="B3" t="inlineStr">
        <is>
          <t>IMPS-RENT SEP-SURESH KULKARNI</t>
        </is>
      </c>
      <c r="C3" s="15" t="inlineStr">
        <is>
          <t>221912388757</t>
        </is>
      </c>
      <c r="D3" s="22" t="n">
        <v>28000</v>
      </c>
      <c r="E3" s="22" t="n"/>
      <c r="F3" s="22" t="n">
        <v>148768.25</v>
      </c>
      <c r="G3" t="inlineStr">
        <is>
          <t>Rent</t>
        </is>
      </c>
      <c r="I3" t="inlineStr">
        <is>
          <t>Total deposits (Cr)</t>
        </is>
      </c>
      <c r="J3" s="22" t="n">
        <v>132161</v>
      </c>
      <c r="K3" s="22">
        <f>SUM(E2:E23)</f>
        <v/>
      </c>
      <c r="L3" s="24">
        <f>K3-J3</f>
        <v/>
      </c>
    </row>
    <row r="4">
      <c r="A4" s="16" t="n">
        <v>46268</v>
      </c>
      <c r="B4" t="inlineStr">
        <is>
          <t>ACH DR-HOME LOAN EMI-LAN 88213409</t>
        </is>
      </c>
      <c r="C4" s="15" t="inlineStr">
        <is>
          <t>937735831395</t>
        </is>
      </c>
      <c r="D4" s="22" t="n">
        <v>21850</v>
      </c>
      <c r="E4" s="22" t="n"/>
      <c r="F4" s="22" t="n">
        <v>126918.25</v>
      </c>
      <c r="G4" t="inlineStr">
        <is>
          <t>EMI</t>
        </is>
      </c>
      <c r="I4" t="inlineStr">
        <is>
          <t>Closing balance</t>
        </is>
      </c>
      <c r="J4" s="22" t="n">
        <v>91141.10000000001</v>
      </c>
      <c r="K4" s="22">
        <f>L7-K2+K3</f>
        <v/>
      </c>
      <c r="L4" s="24">
        <f>K4-J4</f>
        <v/>
      </c>
    </row>
    <row r="5">
      <c r="A5" s="16" t="n">
        <v>46270</v>
      </c>
      <c r="B5" t="inlineStr">
        <is>
          <t>UPI-SWIGGY-swiggy@axisbank</t>
        </is>
      </c>
      <c r="C5" s="15" t="inlineStr">
        <is>
          <t>537006185622</t>
        </is>
      </c>
      <c r="D5" s="22" t="n">
        <v>486</v>
      </c>
      <c r="E5" s="22" t="n"/>
      <c r="F5" s="22" t="n">
        <v>126432.25</v>
      </c>
      <c r="G5" t="inlineStr">
        <is>
          <t>Food</t>
        </is>
      </c>
      <c r="I5" t="inlineStr">
        <is>
          <t>Number of transactions</t>
        </is>
      </c>
      <c r="J5" s="21" t="n">
        <v>22</v>
      </c>
      <c r="K5" s="21">
        <f>COUNTA(A2:A23)</f>
        <v/>
      </c>
      <c r="L5" s="21">
        <f>K5-J5</f>
        <v/>
      </c>
    </row>
    <row r="6">
      <c r="A6" s="16" t="n">
        <v>46270</v>
      </c>
      <c r="B6" t="inlineStr">
        <is>
          <t>BILLDESK-MSEDCL ELECTRICITY-CONS 170012345</t>
        </is>
      </c>
      <c r="C6" s="15" t="inlineStr">
        <is>
          <t>505383506882</t>
        </is>
      </c>
      <c r="D6" s="22" t="n">
        <v>2340</v>
      </c>
      <c r="E6" s="22" t="n"/>
      <c r="F6" s="22" t="n">
        <v>124092.25</v>
      </c>
      <c r="G6" t="inlineStr">
        <is>
          <t>Utilities</t>
        </is>
      </c>
    </row>
    <row r="7">
      <c r="A7" s="16" t="n">
        <v>46272</v>
      </c>
      <c r="B7" t="inlineStr">
        <is>
          <t>ACH DR-MF SIP-FOLIO 10293847</t>
        </is>
      </c>
      <c r="C7" s="15" t="inlineStr">
        <is>
          <t>962911185245</t>
        </is>
      </c>
      <c r="D7" s="22" t="n">
        <v>10000</v>
      </c>
      <c r="E7" s="22" t="n"/>
      <c r="F7" s="22" t="n">
        <v>114092.25</v>
      </c>
      <c r="G7" t="inlineStr">
        <is>
          <t>Investments</t>
        </is>
      </c>
      <c r="I7" t="inlineStr">
        <is>
          <t>Opening balance (PDF)</t>
        </is>
      </c>
      <c r="L7" s="22" t="n">
        <v>64318.25</v>
      </c>
    </row>
    <row r="8">
      <c r="A8" s="16" t="n">
        <v>46273</v>
      </c>
      <c r="B8" t="inlineStr">
        <is>
          <t>UPI-BIGBASKET-bigbasket@hdfc</t>
        </is>
      </c>
      <c r="C8" s="15" t="inlineStr">
        <is>
          <t>266640869443</t>
        </is>
      </c>
      <c r="D8" s="22" t="n">
        <v>3215.5</v>
      </c>
      <c r="E8" s="22" t="n"/>
      <c r="F8" s="22" t="n">
        <v>110876.75</v>
      </c>
      <c r="G8" t="inlineStr">
        <is>
          <t>Groceries</t>
        </is>
      </c>
    </row>
    <row r="9">
      <c r="A9" s="16" t="n">
        <v>46275</v>
      </c>
      <c r="B9" t="inlineStr">
        <is>
          <t>ATM WDL-KOTHRUD PUNE</t>
        </is>
      </c>
      <c r="C9" s="15" t="inlineStr">
        <is>
          <t>464976438616</t>
        </is>
      </c>
      <c r="D9" s="22" t="n">
        <v>5000</v>
      </c>
      <c r="E9" s="22" t="n"/>
      <c r="F9" s="22" t="n">
        <v>105876.75</v>
      </c>
      <c r="G9" t="inlineStr">
        <is>
          <t>Cash</t>
        </is>
      </c>
      <c r="I9" s="3" t="inlineStr">
        <is>
          <t>Category</t>
        </is>
      </c>
      <c r="J9" s="3" t="inlineStr">
        <is>
          <t>Spent</t>
        </is>
      </c>
    </row>
    <row r="10">
      <c r="A10" s="16" t="n">
        <v>46277</v>
      </c>
      <c r="B10" t="inlineStr">
        <is>
          <t>UPI-AMAZON PAY-amazonpay@apl</t>
        </is>
      </c>
      <c r="C10" s="15" t="inlineStr">
        <is>
          <t>937088697460</t>
        </is>
      </c>
      <c r="D10" s="22" t="n">
        <v>2799</v>
      </c>
      <c r="E10" s="22" t="n"/>
      <c r="F10" s="22" t="n">
        <v>103077.75</v>
      </c>
      <c r="G10" t="inlineStr">
        <is>
          <t>Shopping</t>
        </is>
      </c>
      <c r="I10" t="inlineStr">
        <is>
          <t>Cash</t>
        </is>
      </c>
      <c r="J10" s="22">
        <f>SUMIFS($D$2:$D$23,$G$2:$G$23,I10)</f>
        <v/>
      </c>
    </row>
    <row r="11">
      <c r="A11" s="16" t="n">
        <v>46278</v>
      </c>
      <c r="B11" t="inlineStr">
        <is>
          <t>UPI-ZOMATO-zomato@kotak</t>
        </is>
      </c>
      <c r="C11" s="15" t="inlineStr">
        <is>
          <t>355363350439</t>
        </is>
      </c>
      <c r="D11" s="22" t="n">
        <v>612</v>
      </c>
      <c r="E11" s="22" t="n"/>
      <c r="F11" s="22" t="n">
        <v>102465.75</v>
      </c>
      <c r="G11" t="inlineStr">
        <is>
          <t>Food</t>
        </is>
      </c>
      <c r="I11" t="inlineStr">
        <is>
          <t>EMI</t>
        </is>
      </c>
      <c r="J11" s="22">
        <f>SUMIFS($D$2:$D$23,$G$2:$G$23,I11)</f>
        <v/>
      </c>
    </row>
    <row r="12">
      <c r="A12" s="16" t="n">
        <v>46280</v>
      </c>
      <c r="B12" t="inlineStr">
        <is>
          <t>NEFT CR-R SHAH-FREELANCE DESIGN FEE</t>
        </is>
      </c>
      <c r="C12" s="15" t="inlineStr">
        <is>
          <t>874047150988</t>
        </is>
      </c>
      <c r="D12" s="22" t="n"/>
      <c r="E12" s="22" t="n">
        <v>18000</v>
      </c>
      <c r="F12" s="22" t="n">
        <v>120465.75</v>
      </c>
      <c r="G12" t="inlineStr">
        <is>
          <t>Other income</t>
        </is>
      </c>
      <c r="I12" t="inlineStr">
        <is>
          <t>Food</t>
        </is>
      </c>
      <c r="J12" s="22">
        <f>SUMIFS($D$2:$D$23,$G$2:$G$23,I12)</f>
        <v/>
      </c>
    </row>
    <row r="13">
      <c r="A13" s="16" t="n">
        <v>46281</v>
      </c>
      <c r="B13" t="inlineStr">
        <is>
          <t>UPI-JIO PREPAID RECHARGE</t>
        </is>
      </c>
      <c r="C13" s="15" t="inlineStr">
        <is>
          <t>493170303837</t>
        </is>
      </c>
      <c r="D13" s="22" t="n">
        <v>349</v>
      </c>
      <c r="E13" s="22" t="n"/>
      <c r="F13" s="22" t="n">
        <v>120116.75</v>
      </c>
      <c r="G13" t="inlineStr">
        <is>
          <t>Utilities</t>
        </is>
      </c>
      <c r="I13" t="inlineStr">
        <is>
          <t>Groceries</t>
        </is>
      </c>
      <c r="J13" s="22">
        <f>SUMIFS($D$2:$D$23,$G$2:$G$23,I13)</f>
        <v/>
      </c>
    </row>
    <row r="14">
      <c r="A14" s="16" t="n">
        <v>46283</v>
      </c>
      <c r="B14" t="inlineStr">
        <is>
          <t>UPI-IRCTC-irctc@sbi</t>
        </is>
      </c>
      <c r="C14" s="15" t="inlineStr">
        <is>
          <t>703721974468</t>
        </is>
      </c>
      <c r="D14" s="22" t="n">
        <v>1845.6</v>
      </c>
      <c r="E14" s="22" t="n"/>
      <c r="F14" s="22" t="n">
        <v>118271.15</v>
      </c>
      <c r="G14" t="inlineStr">
        <is>
          <t>Travel</t>
        </is>
      </c>
      <c r="I14" t="inlineStr">
        <is>
          <t>Health</t>
        </is>
      </c>
      <c r="J14" s="22">
        <f>SUMIFS($D$2:$D$23,$G$2:$G$23,I14)</f>
        <v/>
      </c>
    </row>
    <row r="15">
      <c r="A15" s="16" t="n">
        <v>46284</v>
      </c>
      <c r="B15" t="inlineStr">
        <is>
          <t>POS-DMART KOTHRUD</t>
        </is>
      </c>
      <c r="C15" s="15" t="inlineStr">
        <is>
          <t>288049801566</t>
        </is>
      </c>
      <c r="D15" s="22" t="n">
        <v>4128.75</v>
      </c>
      <c r="E15" s="22" t="n"/>
      <c r="F15" s="22" t="n">
        <v>114142.4</v>
      </c>
      <c r="G15" t="inlineStr">
        <is>
          <t>Groceries</t>
        </is>
      </c>
      <c r="I15" t="inlineStr">
        <is>
          <t>Insurance</t>
        </is>
      </c>
      <c r="J15" s="22">
        <f>SUMIFS($D$2:$D$23,$G$2:$G$23,I15)</f>
        <v/>
      </c>
    </row>
    <row r="16">
      <c r="A16" s="16" t="n">
        <v>46286</v>
      </c>
      <c r="B16" t="inlineStr">
        <is>
          <t>UPI-SWIGGY INSTAMART</t>
        </is>
      </c>
      <c r="C16" s="15" t="inlineStr">
        <is>
          <t>264383082192</t>
        </is>
      </c>
      <c r="D16" s="22" t="n">
        <v>734</v>
      </c>
      <c r="E16" s="22" t="n"/>
      <c r="F16" s="22" t="n">
        <v>113408.4</v>
      </c>
      <c r="G16" t="inlineStr">
        <is>
          <t>Groceries</t>
        </is>
      </c>
      <c r="I16" t="inlineStr">
        <is>
          <t>Investments</t>
        </is>
      </c>
      <c r="J16" s="22">
        <f>SUMIFS($D$2:$D$23,$G$2:$G$23,I16)</f>
        <v/>
      </c>
    </row>
    <row r="17">
      <c r="A17" s="16" t="n">
        <v>46287</v>
      </c>
      <c r="B17" t="inlineStr">
        <is>
          <t>IMPS-TO SELF-SAVINGS A/C XX7710</t>
        </is>
      </c>
      <c r="C17" s="15" t="inlineStr">
        <is>
          <t>273624786166</t>
        </is>
      </c>
      <c r="D17" s="22" t="n">
        <v>15000</v>
      </c>
      <c r="E17" s="22" t="n"/>
      <c r="F17" s="22" t="n">
        <v>98408.39999999999</v>
      </c>
      <c r="G17" t="inlineStr">
        <is>
          <t>Transfer</t>
        </is>
      </c>
      <c r="I17" t="inlineStr">
        <is>
          <t>Rent</t>
        </is>
      </c>
      <c r="J17" s="22">
        <f>SUMIFS($D$2:$D$23,$G$2:$G$23,I17)</f>
        <v/>
      </c>
    </row>
    <row r="18">
      <c r="A18" s="16" t="n">
        <v>46289</v>
      </c>
      <c r="B18" t="inlineStr">
        <is>
          <t>UPI-APOLLO PHARMACY</t>
        </is>
      </c>
      <c r="C18" s="15" t="inlineStr">
        <is>
          <t>965722744299</t>
        </is>
      </c>
      <c r="D18" s="22" t="n">
        <v>1256</v>
      </c>
      <c r="E18" s="22" t="n"/>
      <c r="F18" s="22" t="n">
        <v>97152.39999999999</v>
      </c>
      <c r="G18" t="inlineStr">
        <is>
          <t>Health</t>
        </is>
      </c>
      <c r="I18" t="inlineStr">
        <is>
          <t>Shopping</t>
        </is>
      </c>
      <c r="J18" s="22">
        <f>SUMIFS($D$2:$D$23,$G$2:$G$23,I18)</f>
        <v/>
      </c>
    </row>
    <row r="19">
      <c r="A19" s="16" t="n">
        <v>46290</v>
      </c>
      <c r="B19" t="inlineStr">
        <is>
          <t>BILLDESK-MAHANAGAR GAS-BP 4401928</t>
        </is>
      </c>
      <c r="C19" s="15" t="inlineStr">
        <is>
          <t>871171718969</t>
        </is>
      </c>
      <c r="D19" s="22" t="n">
        <v>890</v>
      </c>
      <c r="E19" s="22" t="n"/>
      <c r="F19" s="22" t="n">
        <v>96262.39999999999</v>
      </c>
      <c r="G19" t="inlineStr">
        <is>
          <t>Utilities</t>
        </is>
      </c>
      <c r="I19" t="inlineStr">
        <is>
          <t>Transfer</t>
        </is>
      </c>
      <c r="J19" s="22">
        <f>SUMIFS($D$2:$D$23,$G$2:$G$23,I19)</f>
        <v/>
      </c>
    </row>
    <row r="20">
      <c r="A20" s="16" t="n">
        <v>46291</v>
      </c>
      <c r="B20" t="inlineStr">
        <is>
          <t>UPI-UBER INDIA-uber@icici</t>
        </is>
      </c>
      <c r="C20" s="15" t="inlineStr">
        <is>
          <t>785549067929</t>
        </is>
      </c>
      <c r="D20" s="22" t="n">
        <v>412.3</v>
      </c>
      <c r="E20" s="22" t="n"/>
      <c r="F20" s="22" t="n">
        <v>95850.10000000001</v>
      </c>
      <c r="G20" t="inlineStr">
        <is>
          <t>Travel</t>
        </is>
      </c>
      <c r="I20" t="inlineStr">
        <is>
          <t>Travel</t>
        </is>
      </c>
      <c r="J20" s="22">
        <f>SUMIFS($D$2:$D$23,$G$2:$G$23,I20)</f>
        <v/>
      </c>
    </row>
    <row r="21">
      <c r="A21" s="16" t="n">
        <v>46292</v>
      </c>
      <c r="B21" t="inlineStr">
        <is>
          <t>NEFT CR-AMAZON REFUND-ORDER 402-7781</t>
        </is>
      </c>
      <c r="C21" s="15" t="inlineStr">
        <is>
          <t>699669494556</t>
        </is>
      </c>
      <c r="D21" s="22" t="n"/>
      <c r="E21" s="22" t="n">
        <v>1299</v>
      </c>
      <c r="F21" s="22" t="n">
        <v>97149.10000000001</v>
      </c>
      <c r="G21" t="inlineStr">
        <is>
          <t>Refund</t>
        </is>
      </c>
      <c r="I21" t="inlineStr">
        <is>
          <t>Utilities</t>
        </is>
      </c>
      <c r="J21" s="22">
        <f>SUMIFS($D$2:$D$23,$G$2:$G$23,I21)</f>
        <v/>
      </c>
    </row>
    <row r="22">
      <c r="A22" s="16" t="n">
        <v>46293</v>
      </c>
      <c r="B22" t="inlineStr">
        <is>
          <t>ACH DR-LIC PREMIUM-POLICY 9123456</t>
        </is>
      </c>
      <c r="C22" s="15" t="inlineStr">
        <is>
          <t>976921063796</t>
        </is>
      </c>
      <c r="D22" s="22" t="n">
        <v>6420</v>
      </c>
      <c r="E22" s="22" t="n"/>
      <c r="F22" s="22" t="n">
        <v>90729.10000000001</v>
      </c>
      <c r="G22" t="inlineStr">
        <is>
          <t>Insurance</t>
        </is>
      </c>
    </row>
    <row r="23">
      <c r="A23" s="16" t="n">
        <v>46295</v>
      </c>
      <c r="B23" t="inlineStr">
        <is>
          <t>INT CR-SAVINGS INTEREST JUL-SEP</t>
        </is>
      </c>
      <c r="C23" s="15" t="inlineStr">
        <is>
          <t>549439579805</t>
        </is>
      </c>
      <c r="D23" s="22" t="n"/>
      <c r="E23" s="22" t="n">
        <v>412</v>
      </c>
      <c r="F23" s="22" t="n">
        <v>91141.10000000001</v>
      </c>
      <c r="G23" t="inlineStr">
        <is>
          <t>Interest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10" customWidth="1" min="4" max="4"/>
    <col width="18" customWidth="1" min="5" max="5"/>
    <col width="18" customWidth="1" min="7" max="7"/>
    <col width="12" customWidth="1" min="8" max="8"/>
    <col width="30" customWidth="1" min="10" max="10"/>
    <col width="13" customWidth="1" min="11" max="11"/>
  </cols>
  <sheetData>
    <row r="1">
      <c r="A1" s="3" t="inlineStr">
        <is>
          <t>Date</t>
        </is>
      </c>
      <c r="B1" s="3" t="inlineStr">
        <is>
          <t>Vendor</t>
        </is>
      </c>
      <c r="C1" s="3" t="inlineStr">
        <is>
          <t>Description</t>
        </is>
      </c>
      <c r="D1" s="3" t="inlineStr">
        <is>
          <t>Amount</t>
        </is>
      </c>
      <c r="E1" s="3" t="inlineStr">
        <is>
          <t>Category</t>
        </is>
      </c>
      <c r="J1" s="7" t="inlineStr">
        <is>
          <t>Hand check</t>
        </is>
      </c>
    </row>
    <row r="2">
      <c r="A2" t="inlineStr">
        <is>
          <t>03/07/2026</t>
        </is>
      </c>
      <c r="B2" t="inlineStr">
        <is>
          <t>SWIGGY LTD</t>
        </is>
      </c>
      <c r="C2" t="inlineStr">
        <is>
          <t>Team lunch, sales review</t>
        </is>
      </c>
      <c r="D2" s="5" t="n">
        <v>2840</v>
      </c>
      <c r="E2" t="inlineStr">
        <is>
          <t>Meals</t>
        </is>
      </c>
      <c r="J2" t="inlineStr">
        <is>
          <t>Total Amount (must not change)</t>
        </is>
      </c>
      <c r="K2" s="11" t="n"/>
    </row>
    <row r="3">
      <c r="A3" t="inlineStr">
        <is>
          <t>2026-07-04</t>
        </is>
      </c>
      <c r="B3" t="inlineStr">
        <is>
          <t>Uber India</t>
        </is>
      </c>
      <c r="C3" t="inlineStr">
        <is>
          <t>Cab to client office, Andheri</t>
        </is>
      </c>
      <c r="D3" s="5" t="n">
        <v>486</v>
      </c>
      <c r="E3" t="inlineStr">
        <is>
          <t>Travel</t>
        </is>
      </c>
      <c r="J3" t="inlineStr">
        <is>
          <t>Sum of the AI's category totals</t>
        </is>
      </c>
      <c r="K3" s="11" t="n"/>
    </row>
    <row r="4">
      <c r="A4" t="inlineStr">
        <is>
          <t>5 Jul 2026</t>
        </is>
      </c>
      <c r="B4" t="inlineStr">
        <is>
          <t>swiggy</t>
        </is>
      </c>
      <c r="C4" t="inlineStr">
        <is>
          <t>Working dinner, month-end close</t>
        </is>
      </c>
      <c r="D4" s="5" t="n">
        <v>1620</v>
      </c>
    </row>
    <row r="5">
      <c r="A5" t="inlineStr">
        <is>
          <t>07.07.2026</t>
        </is>
      </c>
      <c r="B5" t="inlineStr">
        <is>
          <t>OLA CABS</t>
        </is>
      </c>
      <c r="C5" t="inlineStr">
        <is>
          <t>Airport drop, Mumbai</t>
        </is>
      </c>
      <c r="D5" s="5" t="n">
        <v>1245</v>
      </c>
    </row>
    <row r="6">
      <c r="A6" t="inlineStr">
        <is>
          <t>Jul 9, 2026</t>
        </is>
      </c>
      <c r="B6" t="inlineStr">
        <is>
          <t>Indigo</t>
        </is>
      </c>
      <c r="C6" t="inlineStr">
        <is>
          <t>Flight Mumbai to Bengaluru</t>
        </is>
      </c>
      <c r="D6" s="5" t="n">
        <v>6850</v>
      </c>
      <c r="E6" t="inlineStr">
        <is>
          <t>Travel</t>
        </is>
      </c>
    </row>
    <row r="7">
      <c r="A7" t="inlineStr">
        <is>
          <t>11-07-26</t>
        </is>
      </c>
      <c r="B7" t="inlineStr">
        <is>
          <t>AMAZON.IN</t>
        </is>
      </c>
      <c r="C7" t="inlineStr">
        <is>
          <t>Printer toner cartridge</t>
        </is>
      </c>
      <c r="D7" s="5" t="n">
        <v>3299</v>
      </c>
      <c r="E7" t="inlineStr">
        <is>
          <t>Office supplies</t>
        </is>
      </c>
    </row>
    <row r="8">
      <c r="A8" t="inlineStr">
        <is>
          <t>13/07/2026</t>
        </is>
      </c>
      <c r="B8" t="inlineStr">
        <is>
          <t>uber</t>
        </is>
      </c>
      <c r="C8" t="inlineStr">
        <is>
          <t>Cab, Bengaluru client visit</t>
        </is>
      </c>
      <c r="D8" s="5" t="n">
        <v>612</v>
      </c>
    </row>
    <row r="9">
      <c r="A9" t="inlineStr">
        <is>
          <t>2026-07-15</t>
        </is>
      </c>
      <c r="B9" t="inlineStr">
        <is>
          <t>Taj Hotels</t>
        </is>
      </c>
      <c r="C9" t="inlineStr">
        <is>
          <t>Hotel, 2 nights Bengaluru</t>
        </is>
      </c>
      <c r="D9" s="5" t="n">
        <v>14200</v>
      </c>
      <c r="E9" t="inlineStr">
        <is>
          <t>Hotel</t>
        </is>
      </c>
    </row>
    <row r="10">
      <c r="A10" t="inlineStr">
        <is>
          <t>18 Jul 2026</t>
        </is>
      </c>
      <c r="B10" t="inlineStr">
        <is>
          <t>Zomato Ltd.</t>
        </is>
      </c>
      <c r="C10" t="inlineStr">
        <is>
          <t>Client lunch</t>
        </is>
      </c>
      <c r="D10" s="5" t="n">
        <v>3150</v>
      </c>
    </row>
    <row r="11">
      <c r="A11" t="inlineStr">
        <is>
          <t>20.07.2026</t>
        </is>
      </c>
      <c r="B11" t="inlineStr">
        <is>
          <t>Amazon</t>
        </is>
      </c>
      <c r="C11" t="inlineStr">
        <is>
          <t>Laptop stand</t>
        </is>
      </c>
      <c r="D11" s="5" t="n">
        <v>1899</v>
      </c>
    </row>
    <row r="12">
      <c r="A12" t="inlineStr">
        <is>
          <t>Jul 22, 2026</t>
        </is>
      </c>
      <c r="B12" t="inlineStr">
        <is>
          <t>Ola</t>
        </is>
      </c>
      <c r="C12" t="inlineStr">
        <is>
          <t>Cab to station</t>
        </is>
      </c>
      <c r="D12" s="5" t="n">
        <v>340</v>
      </c>
      <c r="E12" t="inlineStr">
        <is>
          <t>Travel</t>
        </is>
      </c>
    </row>
    <row r="13">
      <c r="A13" t="inlineStr">
        <is>
          <t>24-07-26</t>
        </is>
      </c>
      <c r="B13" t="inlineStr">
        <is>
          <t>INDIGO AIRLINES</t>
        </is>
      </c>
      <c r="C13" t="inlineStr">
        <is>
          <t>Flight Bengaluru to Mumbai</t>
        </is>
      </c>
      <c r="D13" s="5" t="n">
        <v>5975</v>
      </c>
    </row>
    <row r="14">
      <c r="A14" t="inlineStr">
        <is>
          <t>26/07/2026</t>
        </is>
      </c>
      <c r="B14" t="inlineStr">
        <is>
          <t>Swiggy Instamart</t>
        </is>
      </c>
      <c r="C14" t="inlineStr">
        <is>
          <t>Snacks for office meeting</t>
        </is>
      </c>
      <c r="D14" s="5" t="n">
        <v>910</v>
      </c>
      <c r="E14" t="inlineStr">
        <is>
          <t>Meals</t>
        </is>
      </c>
    </row>
    <row r="15">
      <c r="A15" t="inlineStr">
        <is>
          <t>2026-07-28</t>
        </is>
      </c>
      <c r="B15" t="inlineStr">
        <is>
          <t>Airtel</t>
        </is>
      </c>
      <c r="C15" t="inlineStr">
        <is>
          <t>Mobile bill July</t>
        </is>
      </c>
      <c r="D15" s="5" t="n">
        <v>799</v>
      </c>
      <c r="E15" t="inlineStr">
        <is>
          <t>Phone and internet</t>
        </is>
      </c>
    </row>
    <row r="16">
      <c r="A16" t="inlineStr">
        <is>
          <t>29 Jul 2026</t>
        </is>
      </c>
      <c r="B16" t="inlineStr">
        <is>
          <t>JIO FIBER</t>
        </is>
      </c>
      <c r="C16" t="inlineStr">
        <is>
          <t>Home internet, WFH</t>
        </is>
      </c>
      <c r="D16" s="5" t="n">
        <v>1178</v>
      </c>
    </row>
    <row r="17">
      <c r="A17" t="inlineStr">
        <is>
          <t>30.07.2026</t>
        </is>
      </c>
      <c r="B17" t="inlineStr">
        <is>
          <t>Staples India</t>
        </is>
      </c>
      <c r="C17" t="inlineStr">
        <is>
          <t>Notebooks and pens</t>
        </is>
      </c>
      <c r="D17" s="5" t="n">
        <v>640</v>
      </c>
    </row>
    <row r="18">
      <c r="A18" t="inlineStr">
        <is>
          <t>Jul 31, 2026</t>
        </is>
      </c>
      <c r="B18" t="inlineStr">
        <is>
          <t>Zomato</t>
        </is>
      </c>
      <c r="C18" t="inlineStr">
        <is>
          <t>Team dinner, quarter close</t>
        </is>
      </c>
      <c r="D18" s="5" t="n">
        <v>4380</v>
      </c>
      <c r="E18" t="inlineStr">
        <is>
          <t>Meals</t>
        </is>
      </c>
    </row>
    <row r="19">
      <c r="A19" t="inlineStr">
        <is>
          <t>31-07-26</t>
        </is>
      </c>
      <c r="B19" t="inlineStr">
        <is>
          <t>uber india systems</t>
        </is>
      </c>
      <c r="C19" t="inlineStr">
        <is>
          <t>Late night cab home</t>
        </is>
      </c>
      <c r="D19" s="5" t="n">
        <v>528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2" customWidth="1" min="3" max="3"/>
    <col width="10" customWidth="1" min="4" max="4"/>
    <col width="18" customWidth="1" min="5" max="5"/>
    <col width="18" customWidth="1" min="7" max="7"/>
    <col width="12" customWidth="1" min="8" max="8"/>
    <col width="30" customWidth="1" min="10" max="10"/>
    <col width="13" customWidth="1" min="11" max="11"/>
  </cols>
  <sheetData>
    <row r="1">
      <c r="A1" s="3" t="inlineStr">
        <is>
          <t>Date</t>
        </is>
      </c>
      <c r="B1" s="3" t="inlineStr">
        <is>
          <t>Vendor</t>
        </is>
      </c>
      <c r="C1" s="3" t="inlineStr">
        <is>
          <t>Description</t>
        </is>
      </c>
      <c r="D1" s="3" t="inlineStr">
        <is>
          <t>Amount</t>
        </is>
      </c>
      <c r="E1" s="3" t="inlineStr">
        <is>
          <t>Category</t>
        </is>
      </c>
      <c r="J1" s="7" t="inlineStr">
        <is>
          <t>Hand check</t>
        </is>
      </c>
    </row>
    <row r="2">
      <c r="A2" t="inlineStr">
        <is>
          <t>03/07/2026</t>
        </is>
      </c>
      <c r="B2" t="inlineStr">
        <is>
          <t>SWIGGY LTD</t>
        </is>
      </c>
      <c r="C2" t="inlineStr">
        <is>
          <t>Team lunch, sales review</t>
        </is>
      </c>
      <c r="D2" s="5" t="n">
        <v>2840</v>
      </c>
      <c r="E2" t="inlineStr">
        <is>
          <t>Meals</t>
        </is>
      </c>
      <c r="J2" t="inlineStr">
        <is>
          <t>Total Amount (must not change)</t>
        </is>
      </c>
      <c r="K2" s="11" t="n"/>
    </row>
    <row r="3">
      <c r="A3" t="inlineStr">
        <is>
          <t>2026-07-04</t>
        </is>
      </c>
      <c r="B3" t="inlineStr">
        <is>
          <t>Uber India</t>
        </is>
      </c>
      <c r="C3" t="inlineStr">
        <is>
          <t>Cab to client office, Andheri</t>
        </is>
      </c>
      <c r="D3" s="5" t="n">
        <v>486</v>
      </c>
      <c r="E3" t="inlineStr">
        <is>
          <t>Travel</t>
        </is>
      </c>
      <c r="J3" t="inlineStr">
        <is>
          <t>Sum of the AI's category totals</t>
        </is>
      </c>
      <c r="K3" s="11" t="n"/>
    </row>
    <row r="4">
      <c r="A4" t="inlineStr">
        <is>
          <t>5 Jul 2026</t>
        </is>
      </c>
      <c r="B4" t="inlineStr">
        <is>
          <t>swiggy</t>
        </is>
      </c>
      <c r="C4" t="inlineStr">
        <is>
          <t>Working dinner, month-end close</t>
        </is>
      </c>
      <c r="D4" s="5" t="n">
        <v>1620</v>
      </c>
    </row>
    <row r="5">
      <c r="A5" t="inlineStr">
        <is>
          <t>07.07.2026</t>
        </is>
      </c>
      <c r="B5" t="inlineStr">
        <is>
          <t>OLA CABS</t>
        </is>
      </c>
      <c r="C5" t="inlineStr">
        <is>
          <t>Airport drop, Mumbai</t>
        </is>
      </c>
      <c r="D5" s="5" t="n">
        <v>1245</v>
      </c>
    </row>
    <row r="6">
      <c r="A6" t="inlineStr">
        <is>
          <t>Jul 9, 2026</t>
        </is>
      </c>
      <c r="B6" t="inlineStr">
        <is>
          <t>Indigo</t>
        </is>
      </c>
      <c r="C6" t="inlineStr">
        <is>
          <t>Flight Mumbai to Bengaluru</t>
        </is>
      </c>
      <c r="D6" s="5" t="n">
        <v>6850</v>
      </c>
      <c r="E6" t="inlineStr">
        <is>
          <t>Travel</t>
        </is>
      </c>
    </row>
    <row r="7">
      <c r="A7" t="inlineStr">
        <is>
          <t>11-07-26</t>
        </is>
      </c>
      <c r="B7" t="inlineStr">
        <is>
          <t>AMAZON.IN</t>
        </is>
      </c>
      <c r="C7" t="inlineStr">
        <is>
          <t>Printer toner cartridge</t>
        </is>
      </c>
      <c r="D7" s="5" t="n">
        <v>3299</v>
      </c>
      <c r="E7" t="inlineStr">
        <is>
          <t>Office supplies</t>
        </is>
      </c>
    </row>
    <row r="8">
      <c r="A8" t="inlineStr">
        <is>
          <t>13/07/2026</t>
        </is>
      </c>
      <c r="B8" t="inlineStr">
        <is>
          <t>uber</t>
        </is>
      </c>
      <c r="C8" t="inlineStr">
        <is>
          <t>Cab, Bengaluru client visit</t>
        </is>
      </c>
      <c r="D8" s="5" t="n">
        <v>612</v>
      </c>
    </row>
    <row r="9">
      <c r="A9" t="inlineStr">
        <is>
          <t>2026-07-15</t>
        </is>
      </c>
      <c r="B9" t="inlineStr">
        <is>
          <t>Taj Hotels</t>
        </is>
      </c>
      <c r="C9" t="inlineStr">
        <is>
          <t>Hotel, 2 nights Bengaluru</t>
        </is>
      </c>
      <c r="D9" s="5" t="n">
        <v>14200</v>
      </c>
      <c r="E9" t="inlineStr">
        <is>
          <t>Hotel</t>
        </is>
      </c>
    </row>
    <row r="10">
      <c r="A10" t="inlineStr">
        <is>
          <t>18 Jul 2026</t>
        </is>
      </c>
      <c r="B10" t="inlineStr">
        <is>
          <t>Zomato Ltd.</t>
        </is>
      </c>
      <c r="C10" t="inlineStr">
        <is>
          <t>Client lunch</t>
        </is>
      </c>
      <c r="D10" s="5" t="n">
        <v>3150</v>
      </c>
    </row>
    <row r="11">
      <c r="A11" t="inlineStr">
        <is>
          <t>20.07.2026</t>
        </is>
      </c>
      <c r="B11" t="inlineStr">
        <is>
          <t>Amazon</t>
        </is>
      </c>
      <c r="C11" t="inlineStr">
        <is>
          <t>Laptop stand</t>
        </is>
      </c>
      <c r="D11" s="5" t="n">
        <v>1899</v>
      </c>
    </row>
    <row r="12">
      <c r="A12" t="inlineStr">
        <is>
          <t>Jul 22, 2026</t>
        </is>
      </c>
      <c r="B12" t="inlineStr">
        <is>
          <t>Ola</t>
        </is>
      </c>
      <c r="C12" t="inlineStr">
        <is>
          <t>Cab to station</t>
        </is>
      </c>
      <c r="D12" s="5" t="n">
        <v>340</v>
      </c>
      <c r="E12" t="inlineStr">
        <is>
          <t>Travel</t>
        </is>
      </c>
    </row>
    <row r="13">
      <c r="A13" t="inlineStr">
        <is>
          <t>24-07-26</t>
        </is>
      </c>
      <c r="B13" t="inlineStr">
        <is>
          <t>INDIGO AIRLINES</t>
        </is>
      </c>
      <c r="C13" t="inlineStr">
        <is>
          <t>Flight Bengaluru to Mumbai</t>
        </is>
      </c>
      <c r="D13" s="5" t="n">
        <v>5975</v>
      </c>
    </row>
    <row r="14">
      <c r="A14" t="inlineStr">
        <is>
          <t>26/07/2026</t>
        </is>
      </c>
      <c r="B14" t="inlineStr">
        <is>
          <t>Swiggy Instamart</t>
        </is>
      </c>
      <c r="C14" t="inlineStr">
        <is>
          <t>Snacks for office meeting</t>
        </is>
      </c>
      <c r="D14" s="5" t="n">
        <v>910</v>
      </c>
      <c r="E14" t="inlineStr">
        <is>
          <t>Meals</t>
        </is>
      </c>
    </row>
    <row r="15">
      <c r="A15" t="inlineStr">
        <is>
          <t>2026-07-28</t>
        </is>
      </c>
      <c r="B15" t="inlineStr">
        <is>
          <t>Airtel</t>
        </is>
      </c>
      <c r="C15" t="inlineStr">
        <is>
          <t>Mobile bill July</t>
        </is>
      </c>
      <c r="D15" s="5" t="n">
        <v>799</v>
      </c>
      <c r="E15" t="inlineStr">
        <is>
          <t>Phone and internet</t>
        </is>
      </c>
    </row>
    <row r="16">
      <c r="A16" t="inlineStr">
        <is>
          <t>29 Jul 2026</t>
        </is>
      </c>
      <c r="B16" t="inlineStr">
        <is>
          <t>JIO FIBER</t>
        </is>
      </c>
      <c r="C16" t="inlineStr">
        <is>
          <t>Home internet, WFH</t>
        </is>
      </c>
      <c r="D16" s="5" t="n">
        <v>1178</v>
      </c>
    </row>
    <row r="17">
      <c r="A17" t="inlineStr">
        <is>
          <t>30.07.2026</t>
        </is>
      </c>
      <c r="B17" t="inlineStr">
        <is>
          <t>Staples India</t>
        </is>
      </c>
      <c r="C17" t="inlineStr">
        <is>
          <t>Notebooks and pens</t>
        </is>
      </c>
      <c r="D17" s="5" t="n">
        <v>640</v>
      </c>
    </row>
    <row r="18">
      <c r="A18" t="inlineStr">
        <is>
          <t>Jul 31, 2026</t>
        </is>
      </c>
      <c r="B18" t="inlineStr">
        <is>
          <t>Zomato</t>
        </is>
      </c>
      <c r="C18" t="inlineStr">
        <is>
          <t>Team dinner, quarter close</t>
        </is>
      </c>
      <c r="D18" s="5" t="n">
        <v>4380</v>
      </c>
      <c r="E18" t="inlineStr">
        <is>
          <t>Meals</t>
        </is>
      </c>
    </row>
    <row r="19">
      <c r="A19" t="inlineStr">
        <is>
          <t>31-07-26</t>
        </is>
      </c>
      <c r="B19" t="inlineStr">
        <is>
          <t>uber india systems</t>
        </is>
      </c>
      <c r="C19" t="inlineStr">
        <is>
          <t>Late night cab home</t>
        </is>
      </c>
      <c r="D19" s="5" t="n">
        <v>528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0" customWidth="1" min="4" max="4"/>
    <col width="18" customWidth="1" min="5" max="5"/>
    <col width="26" customWidth="1" min="7" max="7"/>
    <col width="22" customWidth="1" min="8" max="8"/>
    <col width="26" customWidth="1" min="9" max="9"/>
  </cols>
  <sheetData>
    <row r="1">
      <c r="A1" s="3" t="inlineStr">
        <is>
          <t>Date</t>
        </is>
      </c>
      <c r="B1" s="3" t="inlineStr">
        <is>
          <t>Vendor</t>
        </is>
      </c>
      <c r="C1" s="3" t="inlineStr">
        <is>
          <t>Description</t>
        </is>
      </c>
      <c r="D1" s="3" t="inlineStr">
        <is>
          <t>Amount</t>
        </is>
      </c>
      <c r="E1" s="3" t="inlineStr">
        <is>
          <t>Category</t>
        </is>
      </c>
      <c r="G1" s="3" t="inlineStr">
        <is>
          <t>Category</t>
        </is>
      </c>
      <c r="H1" s="3" t="inlineStr">
        <is>
          <t>Total</t>
        </is>
      </c>
    </row>
    <row r="2">
      <c r="A2" s="16" t="n">
        <v>46206</v>
      </c>
      <c r="B2" t="inlineStr">
        <is>
          <t>Swiggy</t>
        </is>
      </c>
      <c r="C2" t="inlineStr">
        <is>
          <t>Team lunch, sales review</t>
        </is>
      </c>
      <c r="D2" s="5" t="n">
        <v>2840</v>
      </c>
      <c r="E2" t="inlineStr">
        <is>
          <t>Meals</t>
        </is>
      </c>
      <c r="G2" t="inlineStr">
        <is>
          <t>Meals</t>
        </is>
      </c>
      <c r="H2" s="5">
        <f>SUMIFS($D$2:$D$19,$E$2:$E$19,G2)</f>
        <v/>
      </c>
    </row>
    <row r="3">
      <c r="A3" s="16" t="n">
        <v>46207</v>
      </c>
      <c r="B3" t="inlineStr">
        <is>
          <t>Uber</t>
        </is>
      </c>
      <c r="C3" t="inlineStr">
        <is>
          <t>Cab to client office, Andheri</t>
        </is>
      </c>
      <c r="D3" s="5" t="n">
        <v>486</v>
      </c>
      <c r="E3" t="inlineStr">
        <is>
          <t>Travel</t>
        </is>
      </c>
      <c r="G3" t="inlineStr">
        <is>
          <t>Travel</t>
        </is>
      </c>
      <c r="H3" s="5">
        <f>SUMIFS($D$2:$D$19,$E$2:$E$19,G3)</f>
        <v/>
      </c>
    </row>
    <row r="4">
      <c r="A4" s="16" t="n">
        <v>46208</v>
      </c>
      <c r="B4" t="inlineStr">
        <is>
          <t>Swiggy</t>
        </is>
      </c>
      <c r="C4" t="inlineStr">
        <is>
          <t>Working dinner, month-end close</t>
        </is>
      </c>
      <c r="D4" s="5" t="n">
        <v>1620</v>
      </c>
      <c r="E4" t="inlineStr">
        <is>
          <t>Meals</t>
        </is>
      </c>
      <c r="G4" t="inlineStr">
        <is>
          <t>Hotel</t>
        </is>
      </c>
      <c r="H4" s="5">
        <f>SUMIFS($D$2:$D$19,$E$2:$E$19,G4)</f>
        <v/>
      </c>
    </row>
    <row r="5">
      <c r="A5" s="16" t="n">
        <v>46210</v>
      </c>
      <c r="B5" t="inlineStr">
        <is>
          <t>Ola</t>
        </is>
      </c>
      <c r="C5" t="inlineStr">
        <is>
          <t>Airport drop, Mumbai</t>
        </is>
      </c>
      <c r="D5" s="5" t="n">
        <v>1245</v>
      </c>
      <c r="E5" t="inlineStr">
        <is>
          <t>Travel</t>
        </is>
      </c>
      <c r="G5" t="inlineStr">
        <is>
          <t>Office supplies</t>
        </is>
      </c>
      <c r="H5" s="5">
        <f>SUMIFS($D$2:$D$19,$E$2:$E$19,G5)</f>
        <v/>
      </c>
    </row>
    <row r="6">
      <c r="A6" s="16" t="n">
        <v>46212</v>
      </c>
      <c r="B6" t="inlineStr">
        <is>
          <t>IndiGo</t>
        </is>
      </c>
      <c r="C6" t="inlineStr">
        <is>
          <t>Flight Mumbai to Bengaluru</t>
        </is>
      </c>
      <c r="D6" s="5" t="n">
        <v>6850</v>
      </c>
      <c r="E6" t="inlineStr">
        <is>
          <t>Travel</t>
        </is>
      </c>
      <c r="G6" t="inlineStr">
        <is>
          <t>Phone and internet</t>
        </is>
      </c>
      <c r="H6" s="5">
        <f>SUMIFS($D$2:$D$19,$E$2:$E$19,G6)</f>
        <v/>
      </c>
    </row>
    <row r="7">
      <c r="A7" s="16" t="n">
        <v>46214</v>
      </c>
      <c r="B7" t="inlineStr">
        <is>
          <t>Amazon</t>
        </is>
      </c>
      <c r="C7" t="inlineStr">
        <is>
          <t>Printer toner cartridge</t>
        </is>
      </c>
      <c r="D7" s="5" t="n">
        <v>3299</v>
      </c>
      <c r="E7" t="inlineStr">
        <is>
          <t>Office supplies</t>
        </is>
      </c>
      <c r="G7" s="7" t="inlineStr">
        <is>
          <t>Total</t>
        </is>
      </c>
      <c r="H7" s="5">
        <f>SUM(H2:H6)</f>
        <v/>
      </c>
    </row>
    <row r="8">
      <c r="A8" s="16" t="n">
        <v>46216</v>
      </c>
      <c r="B8" t="inlineStr">
        <is>
          <t>Uber</t>
        </is>
      </c>
      <c r="C8" t="inlineStr">
        <is>
          <t>Cab, Bengaluru client visit</t>
        </is>
      </c>
      <c r="D8" s="5" t="n">
        <v>612</v>
      </c>
      <c r="E8" t="inlineStr">
        <is>
          <t>Travel</t>
        </is>
      </c>
    </row>
    <row r="9">
      <c r="A9" s="16" t="n">
        <v>46218</v>
      </c>
      <c r="B9" t="inlineStr">
        <is>
          <t>Taj Hotels</t>
        </is>
      </c>
      <c r="C9" t="inlineStr">
        <is>
          <t>Hotel, 2 nights Bengaluru</t>
        </is>
      </c>
      <c r="D9" s="5" t="n">
        <v>14200</v>
      </c>
      <c r="E9" t="inlineStr">
        <is>
          <t>Hotel</t>
        </is>
      </c>
    </row>
    <row r="10">
      <c r="A10" s="16" t="n">
        <v>46221</v>
      </c>
      <c r="B10" t="inlineStr">
        <is>
          <t>Zomato</t>
        </is>
      </c>
      <c r="C10" t="inlineStr">
        <is>
          <t>Client lunch</t>
        </is>
      </c>
      <c r="D10" s="5" t="n">
        <v>3150</v>
      </c>
      <c r="E10" t="inlineStr">
        <is>
          <t>Meals</t>
        </is>
      </c>
      <c r="G10" s="3" t="inlineStr">
        <is>
          <t>What we compared</t>
        </is>
      </c>
      <c r="H10" s="3" t="inlineStr">
        <is>
          <t>Copilot (Edit mode)</t>
        </is>
      </c>
      <c r="I10" s="3" t="inlineStr">
        <is>
          <t>Claude in Excel</t>
        </is>
      </c>
    </row>
    <row r="11">
      <c r="A11" s="16" t="n">
        <v>46223</v>
      </c>
      <c r="B11" t="inlineStr">
        <is>
          <t>Amazon</t>
        </is>
      </c>
      <c r="C11" t="inlineStr">
        <is>
          <t>Laptop stand</t>
        </is>
      </c>
      <c r="D11" s="5" t="n">
        <v>1899</v>
      </c>
      <c r="E11" t="inlineStr">
        <is>
          <t>Office supplies</t>
        </is>
      </c>
      <c r="G11" t="inlineStr">
        <is>
          <t>Asked before editing?</t>
        </is>
      </c>
      <c r="H11" t="inlineStr">
        <is>
          <t>Plan mode only</t>
        </is>
      </c>
      <c r="I11" t="inlineStr">
        <is>
          <t>Yes, for larger edits</t>
        </is>
      </c>
    </row>
    <row r="12">
      <c r="A12" s="16" t="n">
        <v>46225</v>
      </c>
      <c r="B12" t="inlineStr">
        <is>
          <t>Ola</t>
        </is>
      </c>
      <c r="C12" t="inlineStr">
        <is>
          <t>Cab to station</t>
        </is>
      </c>
      <c r="D12" s="5" t="n">
        <v>340</v>
      </c>
      <c r="E12" t="inlineStr">
        <is>
          <t>Travel</t>
        </is>
      </c>
      <c r="G12" t="inlineStr">
        <is>
          <t>Formulas or typed values?</t>
        </is>
      </c>
      <c r="H12" t="inlineStr">
        <is>
          <t>Check each run</t>
        </is>
      </c>
      <c r="I12" t="inlineStr">
        <is>
          <t>Check each run</t>
        </is>
      </c>
    </row>
    <row r="13">
      <c r="A13" s="16" t="n">
        <v>46227</v>
      </c>
      <c r="B13" t="inlineStr">
        <is>
          <t>IndiGo</t>
        </is>
      </c>
      <c r="C13" t="inlineStr">
        <is>
          <t>Flight Bengaluru to Mumbai</t>
        </is>
      </c>
      <c r="D13" s="5" t="n">
        <v>5975</v>
      </c>
      <c r="E13" t="inlineStr">
        <is>
          <t>Travel</t>
        </is>
      </c>
      <c r="G13" t="inlineStr">
        <is>
          <t>Explained what changed?</t>
        </is>
      </c>
      <c r="H13" t="inlineStr">
        <is>
          <t>Short summary</t>
        </is>
      </c>
      <c r="I13" t="inlineStr">
        <is>
          <t>Cell-by-cell, with citations</t>
        </is>
      </c>
    </row>
    <row r="14">
      <c r="A14" s="16" t="n">
        <v>46229</v>
      </c>
      <c r="B14" t="inlineStr">
        <is>
          <t>Swiggy</t>
        </is>
      </c>
      <c r="C14" t="inlineStr">
        <is>
          <t>Snacks for office meeting</t>
        </is>
      </c>
      <c r="D14" s="5" t="n">
        <v>910</v>
      </c>
      <c r="E14" t="inlineStr">
        <is>
          <t>Meals</t>
        </is>
      </c>
      <c r="G14" t="inlineStr">
        <is>
          <t>Your checking effort</t>
        </is>
      </c>
      <c r="H14" t="inlineStr">
        <is>
          <t>Same: totals + spot checks</t>
        </is>
      </c>
      <c r="I14" t="inlineStr">
        <is>
          <t>Same: totals + spot checks</t>
        </is>
      </c>
    </row>
    <row r="15">
      <c r="A15" s="16" t="n">
        <v>46231</v>
      </c>
      <c r="B15" t="inlineStr">
        <is>
          <t>Airtel</t>
        </is>
      </c>
      <c r="C15" t="inlineStr">
        <is>
          <t>Mobile bill July</t>
        </is>
      </c>
      <c r="D15" s="5" t="n">
        <v>799</v>
      </c>
      <c r="E15" t="inlineStr">
        <is>
          <t>Phone and internet</t>
        </is>
      </c>
    </row>
    <row r="16">
      <c r="A16" s="16" t="n">
        <v>46232</v>
      </c>
      <c r="B16" t="inlineStr">
        <is>
          <t>Jio</t>
        </is>
      </c>
      <c r="C16" t="inlineStr">
        <is>
          <t>Home internet, WFH</t>
        </is>
      </c>
      <c r="D16" s="5" t="n">
        <v>1178</v>
      </c>
      <c r="E16" t="inlineStr">
        <is>
          <t>Phone and internet</t>
        </is>
      </c>
    </row>
    <row r="17">
      <c r="A17" s="16" t="n">
        <v>46233</v>
      </c>
      <c r="B17" t="inlineStr">
        <is>
          <t>Staples</t>
        </is>
      </c>
      <c r="C17" t="inlineStr">
        <is>
          <t>Notebooks and pens</t>
        </is>
      </c>
      <c r="D17" s="5" t="n">
        <v>640</v>
      </c>
      <c r="E17" t="inlineStr">
        <is>
          <t>Office supplies</t>
        </is>
      </c>
    </row>
    <row r="18">
      <c r="A18" s="16" t="n">
        <v>46234</v>
      </c>
      <c r="B18" t="inlineStr">
        <is>
          <t>Zomato</t>
        </is>
      </c>
      <c r="C18" t="inlineStr">
        <is>
          <t>Team dinner, quarter close</t>
        </is>
      </c>
      <c r="D18" s="5" t="n">
        <v>4380</v>
      </c>
      <c r="E18" t="inlineStr">
        <is>
          <t>Meals</t>
        </is>
      </c>
    </row>
    <row r="19">
      <c r="A19" s="16" t="n">
        <v>46234</v>
      </c>
      <c r="B19" t="inlineStr">
        <is>
          <t>Uber</t>
        </is>
      </c>
      <c r="C19" t="inlineStr">
        <is>
          <t>Late night cab home</t>
        </is>
      </c>
      <c r="D19" s="5" t="n">
        <v>528</v>
      </c>
      <c r="E19" t="inlineStr">
        <is>
          <t>Travel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2026-10-23T10:16:06Z</dcterms:created>
  <dcterms:modified xmlns:dcterms="http://purl.org/dc/terms/" xmlns:xsi="http://www.w3.org/2001/XMLSchema-instance" xsi:type="dcterms:W3CDTF">2026-10-23T10:16:06Z</dcterms:modified>
</cp:coreProperties>
</file>