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9-01" sheetId="2" state="visible" r:id="rId2"/>
    <sheet xmlns:r="http://schemas.openxmlformats.org/officeDocument/2006/relationships" name="S19-01 Done" sheetId="3" state="visible" r:id="rId3"/>
    <sheet xmlns:r="http://schemas.openxmlformats.org/officeDocument/2006/relationships" name="S19-02" sheetId="4" state="visible" r:id="rId4"/>
    <sheet xmlns:r="http://schemas.openxmlformats.org/officeDocument/2006/relationships" name="S19-02 Done" sheetId="5" state="visible" r:id="rId5"/>
    <sheet xmlns:r="http://schemas.openxmlformats.org/officeDocument/2006/relationships" name="S19-03" sheetId="6" state="visible" r:id="rId6"/>
    <sheet xmlns:r="http://schemas.openxmlformats.org/officeDocument/2006/relationships" name="S19-03 Done" sheetId="7" state="visible" r:id="rId7"/>
    <sheet xmlns:r="http://schemas.openxmlformats.org/officeDocument/2006/relationships" name="S19-05" sheetId="8" state="visible" r:id="rId8"/>
    <sheet xmlns:r="http://schemas.openxmlformats.org/officeDocument/2006/relationships" name="S19-05 Do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[&gt;=10000000]&quot;₹&quot;##\,##\,##\,##0;[&gt;=100000]&quot;₹&quot;##\,##\,##0;&quot;₹&quot;##,##0"/>
    <numFmt numFmtId="167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5" fillId="0" borderId="0" pivotButton="0" quotePrefix="0" xfId="0"/>
    <xf numFmtId="17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'S19-02 Done'!B6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'S19-02 Done'!$A$7:$A$10</f>
            </numRef>
          </cat>
          <val>
            <numRef>
              <f>'S19-02 Done'!$B$7:$B$10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'S19-02 Done'!E6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'S19-02 Done'!$D$7:$D$18</f>
            </numRef>
          </cat>
          <val>
            <numRef>
              <f>'S19-02 Done'!$E$7:$E$18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aims1901" displayName="Claims1901" ref="A1:F21" headerRowCount="1">
  <autoFilter ref="A1:F21"/>
  <tableColumns count="6">
    <tableColumn id="1" name="Claim ID"/>
    <tableColumn id="2" name="Employee"/>
    <tableColumn id="3" name="Department"/>
    <tableColumn id="4" name="Category"/>
    <tableColumn id="5" name="Date"/>
    <tableColumn id="6" name="Amount"/>
  </tableColumns>
  <tableStyleInfo name="TableStyleMedium2" showRowStripes="1"/>
</table>
</file>

<file path=xl/tables/table2.xml><?xml version="1.0" encoding="utf-8"?>
<table xmlns="http://schemas.openxmlformats.org/spreadsheetml/2006/main" id="2" name="Claims1901Done" displayName="Claims1901Done" ref="A1:G21" headerRowCount="1">
  <autoFilter ref="A1:G21"/>
  <tableColumns count="7">
    <tableColumn id="1" name="Claim ID"/>
    <tableColumn id="2" name="Employee"/>
    <tableColumn id="3" name="Department"/>
    <tableColumn id="4" name="Category"/>
    <tableColumn id="5" name="Date"/>
    <tableColumn id="6" name="Amount"/>
    <tableColumn id="7" name="Within policy"/>
  </tableColumns>
  <tableStyleInfo name="TableStyleMedium2" showRowStripes="1"/>
</table>
</file>

<file path=xl/tables/table3.xml><?xml version="1.0" encoding="utf-8"?>
<table xmlns="http://schemas.openxmlformats.org/spreadsheetml/2006/main" id="3" name="SalesData" displayName="SalesData" ref="A1:H101" headerRowCount="1">
  <autoFilter ref="A1:H101"/>
  <tableColumns count="8">
    <tableColumn id="1" name="Date"/>
    <tableColumn id="2" name="Region"/>
    <tableColumn id="3" name="State"/>
    <tableColumn id="4" name="Product"/>
    <tableColumn id="5" name="Sales rep"/>
    <tableColumn id="6" name="Units"/>
    <tableColumn id="7" name="Revenue"/>
    <tableColumn id="8" name="Cost"/>
  </tableColumns>
  <tableStyleInfo name="TableStyleMedium2" showRowStripes="1"/>
</table>
</file>

<file path=xl/tables/table4.xml><?xml version="1.0" encoding="utf-8"?>
<table xmlns="http://schemas.openxmlformats.org/spreadsheetml/2006/main" id="4" name="Invoices1903" displayName="Invoices1903" ref="A1:G26" headerRowCount="1">
  <autoFilter ref="A1:G26"/>
  <tableColumns count="7">
    <tableColumn id="1" name="Invoice No"/>
    <tableColumn id="2" name="Vendor"/>
    <tableColumn id="3" name="GSTIN"/>
    <tableColumn id="4" name="Invoice date"/>
    <tableColumn id="5" name="Due date"/>
    <tableColumn id="6" name="Amount"/>
    <tableColumn id="7" name="Status"/>
  </tableColumns>
  <tableStyleInfo name="TableStyleMedium2" showRowStripes="1"/>
</table>
</file>

<file path=xl/tables/table5.xml><?xml version="1.0" encoding="utf-8"?>
<table xmlns="http://schemas.openxmlformats.org/spreadsheetml/2006/main" id="5" name="Invoices1903Done" displayName="Invoices1903Done" ref="A1:I26" headerRowCount="1">
  <autoFilter ref="A1:I26"/>
  <tableColumns count="9">
    <tableColumn id="1" name="Invoice No"/>
    <tableColumn id="2" name="Vendor"/>
    <tableColumn id="3" name="GSTIN"/>
    <tableColumn id="4" name="Invoice date"/>
    <tableColumn id="5" name="Due date"/>
    <tableColumn id="6" name="Amount"/>
    <tableColumn id="7" name="Status"/>
    <tableColumn id="8" name="Days overdue"/>
    <tableColumn id="9" name="Buck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30" customWidth="1" min="4" max="4"/>
  </cols>
  <sheetData>
    <row r="1">
      <c r="A1" s="1" t="inlineStr">
        <is>
          <t>S19: AI in Excel 2: Agent Mode, Plan and verification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Type</t>
        </is>
      </c>
      <c r="C4" s="3" t="inlineStr">
        <is>
          <t>Title</t>
        </is>
      </c>
      <c r="D4" s="3" t="inlineStr">
        <is>
          <t>Practice sheet</t>
        </is>
      </c>
    </row>
    <row r="5">
      <c r="A5" t="inlineStr">
        <is>
          <t>S19-01</t>
        </is>
      </c>
      <c r="B5" t="inlineStr">
        <is>
          <t>demo</t>
        </is>
      </c>
      <c r="C5" t="inlineStr">
        <is>
          <t>Chat, Plan and Edit modes, and choosing a model</t>
        </is>
      </c>
      <c r="D5" t="inlineStr">
        <is>
          <t>S19-01</t>
        </is>
      </c>
    </row>
    <row r="6">
      <c r="A6" t="inlineStr">
        <is>
          <t>S19-02</t>
        </is>
      </c>
      <c r="B6" t="inlineStr">
        <is>
          <t>demo</t>
        </is>
      </c>
      <c r="C6" t="inlineStr">
        <is>
          <t>Agent Mode: build a dashboard from one prompt</t>
        </is>
      </c>
      <c r="D6" t="inlineStr">
        <is>
          <t>S19-02</t>
        </is>
      </c>
    </row>
    <row r="7">
      <c r="A7" t="inlineStr">
        <is>
          <t>S19-03</t>
        </is>
      </c>
      <c r="B7" t="inlineStr">
        <is>
          <t>demo</t>
        </is>
      </c>
      <c r="C7" t="inlineStr">
        <is>
          <t>Plan mode: review before Copilot edits</t>
        </is>
      </c>
      <c r="D7" t="inlineStr">
        <is>
          <t>S19-03</t>
        </is>
      </c>
    </row>
    <row r="8">
      <c r="A8" t="inlineStr">
        <is>
          <t>S19-04</t>
        </is>
      </c>
      <c r="B8" t="inlineStr">
        <is>
          <t>concept</t>
        </is>
      </c>
      <c r="C8" t="inlineStr">
        <is>
          <t>The COPILOT function: what happened</t>
        </is>
      </c>
      <c r="D8" t="inlineStr">
        <is>
          <t>(whiteboard lesson, no sheet)</t>
        </is>
      </c>
    </row>
    <row r="9">
      <c r="A9" t="inlineStr">
        <is>
          <t>S19-05</t>
        </is>
      </c>
      <c r="B9" t="inlineStr">
        <is>
          <t>demo</t>
        </is>
      </c>
      <c r="C9" t="inlineStr">
        <is>
          <t>Checking AI work</t>
        </is>
      </c>
      <c r="D9" t="inlineStr">
        <is>
          <t>S19-05</t>
        </is>
      </c>
    </row>
    <row r="14">
      <c r="A14" s="2" t="inlineStr">
        <is>
          <t>Keep this file in OneDrive with AutoSave on. Copilot's answers vary from run to run, so check every change it makes against your own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12" customWidth="1" min="5" max="5"/>
    <col width="11" customWidth="1" min="6" max="6"/>
    <col width="13" customWidth="1" min="7" max="7"/>
    <col width="26" customWidth="1" min="9" max="9"/>
    <col width="15" customWidth="1" min="10" max="10"/>
  </cols>
  <sheetData>
    <row r="1">
      <c r="A1" s="3" t="inlineStr">
        <is>
          <t>Claim ID</t>
        </is>
      </c>
      <c r="B1" s="3" t="inlineStr">
        <is>
          <t>Employee</t>
        </is>
      </c>
      <c r="C1" s="3" t="inlineStr">
        <is>
          <t>Department</t>
        </is>
      </c>
      <c r="D1" s="3" t="inlineStr">
        <is>
          <t>Category</t>
        </is>
      </c>
      <c r="E1" s="3" t="inlineStr">
        <is>
          <t>Date</t>
        </is>
      </c>
      <c r="F1" s="3" t="inlineStr">
        <is>
          <t>Amount</t>
        </is>
      </c>
      <c r="I1" s="3" t="inlineStr">
        <is>
          <t>Category</t>
        </is>
      </c>
      <c r="J1" s="3" t="inlineStr">
        <is>
          <t>Limit per claim</t>
        </is>
      </c>
    </row>
    <row r="2">
      <c r="A2" t="inlineStr">
        <is>
          <t>CLM-4101</t>
        </is>
      </c>
      <c r="B2" t="inlineStr">
        <is>
          <t>Priya Sharma</t>
        </is>
      </c>
      <c r="C2" t="inlineStr">
        <is>
          <t>HR</t>
        </is>
      </c>
      <c r="D2" t="inlineStr">
        <is>
          <t>Local conveyance</t>
        </is>
      </c>
      <c r="E2" s="4" t="n">
        <v>46205</v>
      </c>
      <c r="F2" s="5" t="n">
        <v>200</v>
      </c>
      <c r="I2" t="inlineStr">
        <is>
          <t>Travel</t>
        </is>
      </c>
      <c r="J2" s="5" t="n">
        <v>15000</v>
      </c>
    </row>
    <row r="3">
      <c r="A3" t="inlineStr">
        <is>
          <t>CLM-4102</t>
        </is>
      </c>
      <c r="B3" t="inlineStr">
        <is>
          <t>Sneha Kulkarni</t>
        </is>
      </c>
      <c r="C3" t="inlineStr">
        <is>
          <t>Operations</t>
        </is>
      </c>
      <c r="D3" t="inlineStr">
        <is>
          <t>Meals</t>
        </is>
      </c>
      <c r="E3" s="4" t="n">
        <v>46208</v>
      </c>
      <c r="F3" s="5" t="n">
        <v>1430</v>
      </c>
      <c r="I3" t="inlineStr">
        <is>
          <t>Hotel</t>
        </is>
      </c>
      <c r="J3" s="5" t="n">
        <v>6000</v>
      </c>
    </row>
    <row r="4">
      <c r="A4" t="inlineStr">
        <is>
          <t>CLM-4103</t>
        </is>
      </c>
      <c r="B4" t="inlineStr">
        <is>
          <t>Aditya Joshi</t>
        </is>
      </c>
      <c r="C4" t="inlineStr">
        <is>
          <t>Operations</t>
        </is>
      </c>
      <c r="D4" t="inlineStr">
        <is>
          <t>Travel</t>
        </is>
      </c>
      <c r="E4" s="4" t="n">
        <v>46227</v>
      </c>
      <c r="F4" s="5" t="n">
        <v>8920</v>
      </c>
      <c r="I4" t="inlineStr">
        <is>
          <t>Meals</t>
        </is>
      </c>
      <c r="J4" s="5" t="n">
        <v>1500</v>
      </c>
    </row>
    <row r="5">
      <c r="A5" t="inlineStr">
        <is>
          <t>CLM-4104</t>
        </is>
      </c>
      <c r="B5" t="inlineStr">
        <is>
          <t>Vikram Rao</t>
        </is>
      </c>
      <c r="C5" t="inlineStr">
        <is>
          <t>HR</t>
        </is>
      </c>
      <c r="D5" t="inlineStr">
        <is>
          <t>Hotel</t>
        </is>
      </c>
      <c r="E5" s="4" t="n">
        <v>46237</v>
      </c>
      <c r="F5" s="5" t="n">
        <v>6290</v>
      </c>
      <c r="I5" t="inlineStr">
        <is>
          <t>Local conveyance</t>
        </is>
      </c>
      <c r="J5" s="5" t="n">
        <v>800</v>
      </c>
    </row>
    <row r="6">
      <c r="A6" t="inlineStr">
        <is>
          <t>CLM-4105</t>
        </is>
      </c>
      <c r="B6" t="inlineStr">
        <is>
          <t>Farhan Qureshi</t>
        </is>
      </c>
      <c r="C6" t="inlineStr">
        <is>
          <t>Sales</t>
        </is>
      </c>
      <c r="D6" t="inlineStr">
        <is>
          <t>Meals</t>
        </is>
      </c>
      <c r="E6" s="4" t="n">
        <v>46242</v>
      </c>
      <c r="F6" s="5" t="n">
        <v>400</v>
      </c>
    </row>
    <row r="7">
      <c r="A7" t="inlineStr">
        <is>
          <t>CLM-4106</t>
        </is>
      </c>
      <c r="B7" t="inlineStr">
        <is>
          <t>Divya Menon</t>
        </is>
      </c>
      <c r="C7" t="inlineStr">
        <is>
          <t>Finance</t>
        </is>
      </c>
      <c r="D7" t="inlineStr">
        <is>
          <t>Meals</t>
        </is>
      </c>
      <c r="E7" s="4" t="n">
        <v>46254</v>
      </c>
      <c r="F7" s="5" t="n">
        <v>1560</v>
      </c>
    </row>
    <row r="8">
      <c r="A8" t="inlineStr">
        <is>
          <t>CLM-4107</t>
        </is>
      </c>
      <c r="B8" t="inlineStr">
        <is>
          <t>Vikram Rao</t>
        </is>
      </c>
      <c r="C8" t="inlineStr">
        <is>
          <t>Operations</t>
        </is>
      </c>
      <c r="D8" t="inlineStr">
        <is>
          <t>Local conveyance</t>
        </is>
      </c>
      <c r="E8" s="4" t="n">
        <v>46259</v>
      </c>
      <c r="F8" s="5" t="n">
        <v>380</v>
      </c>
      <c r="I8" s="6" t="inlineStr">
        <is>
          <t>Check: claims over the limit</t>
        </is>
      </c>
      <c r="J8" s="7" t="n"/>
    </row>
    <row r="9">
      <c r="A9" t="inlineStr">
        <is>
          <t>CLM-4108</t>
        </is>
      </c>
      <c r="B9" t="inlineStr">
        <is>
          <t>Vikram Rao</t>
        </is>
      </c>
      <c r="C9" t="inlineStr">
        <is>
          <t>Finance</t>
        </is>
      </c>
      <c r="D9" t="inlineStr">
        <is>
          <t>Local conveyance</t>
        </is>
      </c>
      <c r="E9" s="4" t="n">
        <v>46259</v>
      </c>
      <c r="F9" s="5" t="n">
        <v>310</v>
      </c>
    </row>
    <row r="10">
      <c r="A10" t="inlineStr">
        <is>
          <t>CLM-4109</t>
        </is>
      </c>
      <c r="B10" t="inlineStr">
        <is>
          <t>Farhan Qureshi</t>
        </is>
      </c>
      <c r="C10" t="inlineStr">
        <is>
          <t>Sales</t>
        </is>
      </c>
      <c r="D10" t="inlineStr">
        <is>
          <t>Hotel</t>
        </is>
      </c>
      <c r="E10" s="4" t="n">
        <v>46262</v>
      </c>
      <c r="F10" s="5" t="n">
        <v>7020</v>
      </c>
    </row>
    <row r="11">
      <c r="A11" t="inlineStr">
        <is>
          <t>CLM-4110</t>
        </is>
      </c>
      <c r="B11" t="inlineStr">
        <is>
          <t>Karan Malhotra</t>
        </is>
      </c>
      <c r="C11" t="inlineStr">
        <is>
          <t>Operations</t>
        </is>
      </c>
      <c r="D11" t="inlineStr">
        <is>
          <t>Meals</t>
        </is>
      </c>
      <c r="E11" s="4" t="n">
        <v>46267</v>
      </c>
      <c r="F11" s="5" t="n">
        <v>750</v>
      </c>
    </row>
    <row r="12">
      <c r="A12" t="inlineStr">
        <is>
          <t>CLM-4111</t>
        </is>
      </c>
      <c r="B12" t="inlineStr">
        <is>
          <t>Pooja Reddy</t>
        </is>
      </c>
      <c r="C12" t="inlineStr">
        <is>
          <t>Sales</t>
        </is>
      </c>
      <c r="D12" t="inlineStr">
        <is>
          <t>Meals</t>
        </is>
      </c>
      <c r="E12" s="4" t="n">
        <v>46268</v>
      </c>
      <c r="F12" s="5" t="n">
        <v>1480</v>
      </c>
    </row>
    <row r="13">
      <c r="A13" t="inlineStr">
        <is>
          <t>CLM-4112</t>
        </is>
      </c>
      <c r="B13" t="inlineStr">
        <is>
          <t>Aditya Joshi</t>
        </is>
      </c>
      <c r="C13" t="inlineStr">
        <is>
          <t>Operations</t>
        </is>
      </c>
      <c r="D13" t="inlineStr">
        <is>
          <t>Local conveyance</t>
        </is>
      </c>
      <c r="E13" s="4" t="n">
        <v>46269</v>
      </c>
      <c r="F13" s="5" t="n">
        <v>1000</v>
      </c>
    </row>
    <row r="14">
      <c r="A14" t="inlineStr">
        <is>
          <t>CLM-4113</t>
        </is>
      </c>
      <c r="B14" t="inlineStr">
        <is>
          <t>Farhan Qureshi</t>
        </is>
      </c>
      <c r="C14" t="inlineStr">
        <is>
          <t>Sales</t>
        </is>
      </c>
      <c r="D14" t="inlineStr">
        <is>
          <t>Local conveyance</t>
        </is>
      </c>
      <c r="E14" s="4" t="n">
        <v>46272</v>
      </c>
      <c r="F14" s="5" t="n">
        <v>430</v>
      </c>
    </row>
    <row r="15">
      <c r="A15" t="inlineStr">
        <is>
          <t>CLM-4114</t>
        </is>
      </c>
      <c r="B15" t="inlineStr">
        <is>
          <t>Neha Gupta</t>
        </is>
      </c>
      <c r="C15" t="inlineStr">
        <is>
          <t>Sales</t>
        </is>
      </c>
      <c r="D15" t="inlineStr">
        <is>
          <t>Travel</t>
        </is>
      </c>
      <c r="E15" s="4" t="n">
        <v>46275</v>
      </c>
      <c r="F15" s="5" t="n">
        <v>11030</v>
      </c>
    </row>
    <row r="16">
      <c r="A16" t="inlineStr">
        <is>
          <t>CLM-4115</t>
        </is>
      </c>
      <c r="B16" t="inlineStr">
        <is>
          <t>Ananya Iyer</t>
        </is>
      </c>
      <c r="C16" t="inlineStr">
        <is>
          <t>HR</t>
        </is>
      </c>
      <c r="D16" t="inlineStr">
        <is>
          <t>Travel</t>
        </is>
      </c>
      <c r="E16" s="4" t="n">
        <v>46277</v>
      </c>
      <c r="F16" s="5" t="n">
        <v>18580</v>
      </c>
    </row>
    <row r="17">
      <c r="A17" t="inlineStr">
        <is>
          <t>CLM-4116</t>
        </is>
      </c>
      <c r="B17" t="inlineStr">
        <is>
          <t>Rohan Mehta</t>
        </is>
      </c>
      <c r="C17" t="inlineStr">
        <is>
          <t>Operations</t>
        </is>
      </c>
      <c r="D17" t="inlineStr">
        <is>
          <t>Local conveyance</t>
        </is>
      </c>
      <c r="E17" s="4" t="n">
        <v>46279</v>
      </c>
      <c r="F17" s="5" t="n">
        <v>160</v>
      </c>
    </row>
    <row r="18">
      <c r="A18" t="inlineStr">
        <is>
          <t>CLM-4117</t>
        </is>
      </c>
      <c r="B18" t="inlineStr">
        <is>
          <t>Ananya Iyer</t>
        </is>
      </c>
      <c r="C18" t="inlineStr">
        <is>
          <t>Sales</t>
        </is>
      </c>
      <c r="D18" t="inlineStr">
        <is>
          <t>Travel</t>
        </is>
      </c>
      <c r="E18" s="4" t="n">
        <v>46280</v>
      </c>
      <c r="F18" s="5" t="n">
        <v>16070</v>
      </c>
    </row>
    <row r="19">
      <c r="A19" t="inlineStr">
        <is>
          <t>CLM-4118</t>
        </is>
      </c>
      <c r="B19" t="inlineStr">
        <is>
          <t>Pooja Reddy</t>
        </is>
      </c>
      <c r="C19" t="inlineStr">
        <is>
          <t>Operations</t>
        </is>
      </c>
      <c r="D19" t="inlineStr">
        <is>
          <t>Local conveyance</t>
        </is>
      </c>
      <c r="E19" s="4" t="n">
        <v>46288</v>
      </c>
      <c r="F19" s="5" t="n">
        <v>520</v>
      </c>
    </row>
    <row r="20">
      <c r="A20" t="inlineStr">
        <is>
          <t>CLM-4119</t>
        </is>
      </c>
      <c r="B20" t="inlineStr">
        <is>
          <t>Divya Menon</t>
        </is>
      </c>
      <c r="C20" t="inlineStr">
        <is>
          <t>Finance</t>
        </is>
      </c>
      <c r="D20" t="inlineStr">
        <is>
          <t>Meals</t>
        </is>
      </c>
      <c r="E20" s="4" t="n">
        <v>46290</v>
      </c>
      <c r="F20" s="5" t="n">
        <v>2010</v>
      </c>
    </row>
    <row r="21">
      <c r="A21" t="inlineStr">
        <is>
          <t>CLM-4120</t>
        </is>
      </c>
      <c r="B21" t="inlineStr">
        <is>
          <t>Ananya Iyer</t>
        </is>
      </c>
      <c r="C21" t="inlineStr">
        <is>
          <t>HR</t>
        </is>
      </c>
      <c r="D21" t="inlineStr">
        <is>
          <t>Travel</t>
        </is>
      </c>
      <c r="E21" s="4" t="n">
        <v>46294</v>
      </c>
      <c r="F21" s="5" t="n">
        <v>20120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12" customWidth="1" min="5" max="5"/>
    <col width="11" customWidth="1" min="6" max="6"/>
    <col width="13" customWidth="1" min="7" max="7"/>
    <col width="26" customWidth="1" min="9" max="9"/>
    <col width="15" customWidth="1" min="10" max="10"/>
  </cols>
  <sheetData>
    <row r="1">
      <c r="A1" s="3" t="inlineStr">
        <is>
          <t>Claim ID</t>
        </is>
      </c>
      <c r="B1" s="3" t="inlineStr">
        <is>
          <t>Employee</t>
        </is>
      </c>
      <c r="C1" s="3" t="inlineStr">
        <is>
          <t>Department</t>
        </is>
      </c>
      <c r="D1" s="3" t="inlineStr">
        <is>
          <t>Category</t>
        </is>
      </c>
      <c r="E1" s="3" t="inlineStr">
        <is>
          <t>Date</t>
        </is>
      </c>
      <c r="F1" s="3" t="inlineStr">
        <is>
          <t>Amount</t>
        </is>
      </c>
      <c r="G1" s="3" t="inlineStr">
        <is>
          <t>Within policy</t>
        </is>
      </c>
      <c r="I1" s="3" t="inlineStr">
        <is>
          <t>Category</t>
        </is>
      </c>
      <c r="J1" s="3" t="inlineStr">
        <is>
          <t>Limit per claim</t>
        </is>
      </c>
    </row>
    <row r="2">
      <c r="A2" t="inlineStr">
        <is>
          <t>CLM-4101</t>
        </is>
      </c>
      <c r="B2" t="inlineStr">
        <is>
          <t>Priya Sharma</t>
        </is>
      </c>
      <c r="C2" t="inlineStr">
        <is>
          <t>HR</t>
        </is>
      </c>
      <c r="D2" t="inlineStr">
        <is>
          <t>Local conveyance</t>
        </is>
      </c>
      <c r="E2" s="4" t="n">
        <v>46205</v>
      </c>
      <c r="F2" s="5" t="n">
        <v>200</v>
      </c>
      <c r="G2">
        <f>IF(F2&lt;=XLOOKUP(D2,$I$2:$I$5,$J$2:$J$5),"Yes","No")</f>
        <v/>
      </c>
      <c r="I2" t="inlineStr">
        <is>
          <t>Travel</t>
        </is>
      </c>
      <c r="J2" s="5" t="n">
        <v>15000</v>
      </c>
    </row>
    <row r="3">
      <c r="A3" t="inlineStr">
        <is>
          <t>CLM-4102</t>
        </is>
      </c>
      <c r="B3" t="inlineStr">
        <is>
          <t>Sneha Kulkarni</t>
        </is>
      </c>
      <c r="C3" t="inlineStr">
        <is>
          <t>Operations</t>
        </is>
      </c>
      <c r="D3" t="inlineStr">
        <is>
          <t>Meals</t>
        </is>
      </c>
      <c r="E3" s="4" t="n">
        <v>46208</v>
      </c>
      <c r="F3" s="5" t="n">
        <v>1430</v>
      </c>
      <c r="G3">
        <f>IF(F3&lt;=XLOOKUP(D3,$I$2:$I$5,$J$2:$J$5),"Yes","No")</f>
        <v/>
      </c>
      <c r="I3" t="inlineStr">
        <is>
          <t>Hotel</t>
        </is>
      </c>
      <c r="J3" s="5" t="n">
        <v>6000</v>
      </c>
    </row>
    <row r="4">
      <c r="A4" t="inlineStr">
        <is>
          <t>CLM-4103</t>
        </is>
      </c>
      <c r="B4" t="inlineStr">
        <is>
          <t>Aditya Joshi</t>
        </is>
      </c>
      <c r="C4" t="inlineStr">
        <is>
          <t>Operations</t>
        </is>
      </c>
      <c r="D4" t="inlineStr">
        <is>
          <t>Travel</t>
        </is>
      </c>
      <c r="E4" s="4" t="n">
        <v>46227</v>
      </c>
      <c r="F4" s="5" t="n">
        <v>8920</v>
      </c>
      <c r="G4">
        <f>IF(F4&lt;=XLOOKUP(D4,$I$2:$I$5,$J$2:$J$5),"Yes","No")</f>
        <v/>
      </c>
      <c r="I4" t="inlineStr">
        <is>
          <t>Meals</t>
        </is>
      </c>
      <c r="J4" s="5" t="n">
        <v>1500</v>
      </c>
    </row>
    <row r="5">
      <c r="A5" t="inlineStr">
        <is>
          <t>CLM-4104</t>
        </is>
      </c>
      <c r="B5" t="inlineStr">
        <is>
          <t>Vikram Rao</t>
        </is>
      </c>
      <c r="C5" t="inlineStr">
        <is>
          <t>HR</t>
        </is>
      </c>
      <c r="D5" t="inlineStr">
        <is>
          <t>Hotel</t>
        </is>
      </c>
      <c r="E5" s="4" t="n">
        <v>46237</v>
      </c>
      <c r="F5" s="5" t="n">
        <v>6290</v>
      </c>
      <c r="G5">
        <f>IF(F5&lt;=XLOOKUP(D5,$I$2:$I$5,$J$2:$J$5),"Yes","No")</f>
        <v/>
      </c>
      <c r="I5" t="inlineStr">
        <is>
          <t>Local conveyance</t>
        </is>
      </c>
      <c r="J5" s="5" t="n">
        <v>800</v>
      </c>
    </row>
    <row r="6">
      <c r="A6" t="inlineStr">
        <is>
          <t>CLM-4105</t>
        </is>
      </c>
      <c r="B6" t="inlineStr">
        <is>
          <t>Farhan Qureshi</t>
        </is>
      </c>
      <c r="C6" t="inlineStr">
        <is>
          <t>Sales</t>
        </is>
      </c>
      <c r="D6" t="inlineStr">
        <is>
          <t>Meals</t>
        </is>
      </c>
      <c r="E6" s="4" t="n">
        <v>46242</v>
      </c>
      <c r="F6" s="5" t="n">
        <v>400</v>
      </c>
      <c r="G6">
        <f>IF(F6&lt;=XLOOKUP(D6,$I$2:$I$5,$J$2:$J$5),"Yes","No")</f>
        <v/>
      </c>
    </row>
    <row r="7">
      <c r="A7" t="inlineStr">
        <is>
          <t>CLM-4106</t>
        </is>
      </c>
      <c r="B7" t="inlineStr">
        <is>
          <t>Divya Menon</t>
        </is>
      </c>
      <c r="C7" t="inlineStr">
        <is>
          <t>Finance</t>
        </is>
      </c>
      <c r="D7" t="inlineStr">
        <is>
          <t>Meals</t>
        </is>
      </c>
      <c r="E7" s="4" t="n">
        <v>46254</v>
      </c>
      <c r="F7" s="5" t="n">
        <v>1560</v>
      </c>
      <c r="G7">
        <f>IF(F7&lt;=XLOOKUP(D7,$I$2:$I$5,$J$2:$J$5),"Yes","No")</f>
        <v/>
      </c>
    </row>
    <row r="8">
      <c r="A8" t="inlineStr">
        <is>
          <t>CLM-4107</t>
        </is>
      </c>
      <c r="B8" t="inlineStr">
        <is>
          <t>Vikram Rao</t>
        </is>
      </c>
      <c r="C8" t="inlineStr">
        <is>
          <t>Operations</t>
        </is>
      </c>
      <c r="D8" t="inlineStr">
        <is>
          <t>Local conveyance</t>
        </is>
      </c>
      <c r="E8" s="4" t="n">
        <v>46259</v>
      </c>
      <c r="F8" s="5" t="n">
        <v>380</v>
      </c>
      <c r="G8">
        <f>IF(F8&lt;=XLOOKUP(D8,$I$2:$I$5,$J$2:$J$5),"Yes","No")</f>
        <v/>
      </c>
      <c r="I8" s="6" t="inlineStr">
        <is>
          <t>Check: claims over the limit</t>
        </is>
      </c>
      <c r="J8" s="7">
        <f>SUMPRODUCT(--(F2:F21&gt;SUMIFS(J2:J5,I2:I5,D2:D21)))</f>
        <v/>
      </c>
    </row>
    <row r="9">
      <c r="A9" t="inlineStr">
        <is>
          <t>CLM-4108</t>
        </is>
      </c>
      <c r="B9" t="inlineStr">
        <is>
          <t>Vikram Rao</t>
        </is>
      </c>
      <c r="C9" t="inlineStr">
        <is>
          <t>Finance</t>
        </is>
      </c>
      <c r="D9" t="inlineStr">
        <is>
          <t>Local conveyance</t>
        </is>
      </c>
      <c r="E9" s="4" t="n">
        <v>46259</v>
      </c>
      <c r="F9" s="5" t="n">
        <v>310</v>
      </c>
      <c r="G9">
        <f>IF(F9&lt;=XLOOKUP(D9,$I$2:$I$5,$J$2:$J$5),"Yes","No")</f>
        <v/>
      </c>
    </row>
    <row r="10">
      <c r="A10" t="inlineStr">
        <is>
          <t>CLM-4109</t>
        </is>
      </c>
      <c r="B10" t="inlineStr">
        <is>
          <t>Farhan Qureshi</t>
        </is>
      </c>
      <c r="C10" t="inlineStr">
        <is>
          <t>Sales</t>
        </is>
      </c>
      <c r="D10" t="inlineStr">
        <is>
          <t>Hotel</t>
        </is>
      </c>
      <c r="E10" s="4" t="n">
        <v>46262</v>
      </c>
      <c r="F10" s="5" t="n">
        <v>7020</v>
      </c>
      <c r="G10">
        <f>IF(F10&lt;=XLOOKUP(D10,$I$2:$I$5,$J$2:$J$5),"Yes","No")</f>
        <v/>
      </c>
      <c r="I10" s="6" t="inlineStr">
        <is>
          <t>Mode used for each step:</t>
        </is>
      </c>
    </row>
    <row r="11">
      <c r="A11" t="inlineStr">
        <is>
          <t>CLM-4110</t>
        </is>
      </c>
      <c r="B11" t="inlineStr">
        <is>
          <t>Karan Malhotra</t>
        </is>
      </c>
      <c r="C11" t="inlineStr">
        <is>
          <t>Operations</t>
        </is>
      </c>
      <c r="D11" t="inlineStr">
        <is>
          <t>Meals</t>
        </is>
      </c>
      <c r="E11" s="4" t="n">
        <v>46267</v>
      </c>
      <c r="F11" s="5" t="n">
        <v>750</v>
      </c>
      <c r="G11">
        <f>IF(F11&lt;=XLOOKUP(D11,$I$2:$I$5,$J$2:$J$5),"Yes","No")</f>
        <v/>
      </c>
      <c r="I11" t="inlineStr">
        <is>
          <t>Chat: which department spends most on Travel (no edits)</t>
        </is>
      </c>
    </row>
    <row r="12">
      <c r="A12" t="inlineStr">
        <is>
          <t>CLM-4111</t>
        </is>
      </c>
      <c r="B12" t="inlineStr">
        <is>
          <t>Pooja Reddy</t>
        </is>
      </c>
      <c r="C12" t="inlineStr">
        <is>
          <t>Sales</t>
        </is>
      </c>
      <c r="D12" t="inlineStr">
        <is>
          <t>Meals</t>
        </is>
      </c>
      <c r="E12" s="4" t="n">
        <v>46268</v>
      </c>
      <c r="F12" s="5" t="n">
        <v>1480</v>
      </c>
      <c r="G12">
        <f>IF(F12&lt;=XLOOKUP(D12,$I$2:$I$5,$J$2:$J$5),"Yes","No")</f>
        <v/>
      </c>
      <c r="I12" t="inlineStr">
        <is>
          <t>Edit: Within policy column (G)</t>
        </is>
      </c>
    </row>
    <row r="13">
      <c r="A13" t="inlineStr">
        <is>
          <t>CLM-4112</t>
        </is>
      </c>
      <c r="B13" t="inlineStr">
        <is>
          <t>Aditya Joshi</t>
        </is>
      </c>
      <c r="C13" t="inlineStr">
        <is>
          <t>Operations</t>
        </is>
      </c>
      <c r="D13" t="inlineStr">
        <is>
          <t>Local conveyance</t>
        </is>
      </c>
      <c r="E13" s="4" t="n">
        <v>46269</v>
      </c>
      <c r="F13" s="5" t="n">
        <v>1000</v>
      </c>
      <c r="G13">
        <f>IF(F13&lt;=XLOOKUP(D13,$I$2:$I$5,$J$2:$J$5),"Yes","No")</f>
        <v/>
      </c>
      <c r="I13" t="inlineStr">
        <is>
          <t>Plan: summary by Department and Category (plan reviewed first)</t>
        </is>
      </c>
    </row>
    <row r="14">
      <c r="A14" t="inlineStr">
        <is>
          <t>CLM-4113</t>
        </is>
      </c>
      <c r="B14" t="inlineStr">
        <is>
          <t>Farhan Qureshi</t>
        </is>
      </c>
      <c r="C14" t="inlineStr">
        <is>
          <t>Sales</t>
        </is>
      </c>
      <c r="D14" t="inlineStr">
        <is>
          <t>Local conveyance</t>
        </is>
      </c>
      <c r="E14" s="4" t="n">
        <v>46272</v>
      </c>
      <c r="F14" s="5" t="n">
        <v>430</v>
      </c>
      <c r="G14">
        <f>IF(F14&lt;=XLOOKUP(D14,$I$2:$I$5,$J$2:$J$5),"Yes","No")</f>
        <v/>
      </c>
    </row>
    <row r="15">
      <c r="A15" t="inlineStr">
        <is>
          <t>CLM-4114</t>
        </is>
      </c>
      <c r="B15" t="inlineStr">
        <is>
          <t>Neha Gupta</t>
        </is>
      </c>
      <c r="C15" t="inlineStr">
        <is>
          <t>Sales</t>
        </is>
      </c>
      <c r="D15" t="inlineStr">
        <is>
          <t>Travel</t>
        </is>
      </c>
      <c r="E15" s="4" t="n">
        <v>46275</v>
      </c>
      <c r="F15" s="5" t="n">
        <v>11030</v>
      </c>
      <c r="G15">
        <f>IF(F15&lt;=XLOOKUP(D15,$I$2:$I$5,$J$2:$J$5),"Yes","No")</f>
        <v/>
      </c>
    </row>
    <row r="16">
      <c r="A16" t="inlineStr">
        <is>
          <t>CLM-4115</t>
        </is>
      </c>
      <c r="B16" t="inlineStr">
        <is>
          <t>Ananya Iyer</t>
        </is>
      </c>
      <c r="C16" t="inlineStr">
        <is>
          <t>HR</t>
        </is>
      </c>
      <c r="D16" t="inlineStr">
        <is>
          <t>Travel</t>
        </is>
      </c>
      <c r="E16" s="4" t="n">
        <v>46277</v>
      </c>
      <c r="F16" s="5" t="n">
        <v>18580</v>
      </c>
      <c r="G16">
        <f>IF(F16&lt;=XLOOKUP(D16,$I$2:$I$5,$J$2:$J$5),"Yes","No")</f>
        <v/>
      </c>
    </row>
    <row r="17">
      <c r="A17" t="inlineStr">
        <is>
          <t>CLM-4116</t>
        </is>
      </c>
      <c r="B17" t="inlineStr">
        <is>
          <t>Rohan Mehta</t>
        </is>
      </c>
      <c r="C17" t="inlineStr">
        <is>
          <t>Operations</t>
        </is>
      </c>
      <c r="D17" t="inlineStr">
        <is>
          <t>Local conveyance</t>
        </is>
      </c>
      <c r="E17" s="4" t="n">
        <v>46279</v>
      </c>
      <c r="F17" s="5" t="n">
        <v>160</v>
      </c>
      <c r="G17">
        <f>IF(F17&lt;=XLOOKUP(D17,$I$2:$I$5,$J$2:$J$5),"Yes","No")</f>
        <v/>
      </c>
    </row>
    <row r="18">
      <c r="A18" t="inlineStr">
        <is>
          <t>CLM-4117</t>
        </is>
      </c>
      <c r="B18" t="inlineStr">
        <is>
          <t>Ananya Iyer</t>
        </is>
      </c>
      <c r="C18" t="inlineStr">
        <is>
          <t>Sales</t>
        </is>
      </c>
      <c r="D18" t="inlineStr">
        <is>
          <t>Travel</t>
        </is>
      </c>
      <c r="E18" s="4" t="n">
        <v>46280</v>
      </c>
      <c r="F18" s="5" t="n">
        <v>16070</v>
      </c>
      <c r="G18">
        <f>IF(F18&lt;=XLOOKUP(D18,$I$2:$I$5,$J$2:$J$5),"Yes","No")</f>
        <v/>
      </c>
    </row>
    <row r="19">
      <c r="A19" t="inlineStr">
        <is>
          <t>CLM-4118</t>
        </is>
      </c>
      <c r="B19" t="inlineStr">
        <is>
          <t>Pooja Reddy</t>
        </is>
      </c>
      <c r="C19" t="inlineStr">
        <is>
          <t>Operations</t>
        </is>
      </c>
      <c r="D19" t="inlineStr">
        <is>
          <t>Local conveyance</t>
        </is>
      </c>
      <c r="E19" s="4" t="n">
        <v>46288</v>
      </c>
      <c r="F19" s="5" t="n">
        <v>520</v>
      </c>
      <c r="G19">
        <f>IF(F19&lt;=XLOOKUP(D19,$I$2:$I$5,$J$2:$J$5),"Yes","No")</f>
        <v/>
      </c>
    </row>
    <row r="20">
      <c r="A20" t="inlineStr">
        <is>
          <t>CLM-4119</t>
        </is>
      </c>
      <c r="B20" t="inlineStr">
        <is>
          <t>Divya Menon</t>
        </is>
      </c>
      <c r="C20" t="inlineStr">
        <is>
          <t>Finance</t>
        </is>
      </c>
      <c r="D20" t="inlineStr">
        <is>
          <t>Meals</t>
        </is>
      </c>
      <c r="E20" s="4" t="n">
        <v>46290</v>
      </c>
      <c r="F20" s="5" t="n">
        <v>2010</v>
      </c>
      <c r="G20">
        <f>IF(F20&lt;=XLOOKUP(D20,$I$2:$I$5,$J$2:$J$5),"Yes","No")</f>
        <v/>
      </c>
    </row>
    <row r="21">
      <c r="A21" t="inlineStr">
        <is>
          <t>CLM-4120</t>
        </is>
      </c>
      <c r="B21" t="inlineStr">
        <is>
          <t>Ananya Iyer</t>
        </is>
      </c>
      <c r="C21" t="inlineStr">
        <is>
          <t>HR</t>
        </is>
      </c>
      <c r="D21" t="inlineStr">
        <is>
          <t>Travel</t>
        </is>
      </c>
      <c r="E21" s="4" t="n">
        <v>46294</v>
      </c>
      <c r="F21" s="5" t="n">
        <v>20120</v>
      </c>
      <c r="G21">
        <f>IF(F21&lt;=XLOOKUP(D21,$I$2:$I$5,$J$2:$J$5),"Yes","No")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15" customWidth="1" min="5" max="5"/>
    <col width="6" customWidth="1" min="6" max="6"/>
    <col width="13" customWidth="1" min="7" max="7"/>
    <col width="13" customWidth="1" min="8" max="8"/>
    <col width="22" customWidth="1" min="10" max="10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State</t>
        </is>
      </c>
      <c r="D1" s="3" t="inlineStr">
        <is>
          <t>Product</t>
        </is>
      </c>
      <c r="E1" s="3" t="inlineStr">
        <is>
          <t>Sales rep</t>
        </is>
      </c>
      <c r="F1" s="3" t="inlineStr">
        <is>
          <t>Units</t>
        </is>
      </c>
      <c r="G1" s="3" t="inlineStr">
        <is>
          <t>Revenue</t>
        </is>
      </c>
      <c r="H1" s="3" t="inlineStr">
        <is>
          <t>Cost</t>
        </is>
      </c>
      <c r="J1" s="6" t="inlineStr">
        <is>
          <t>Check: total revenue</t>
        </is>
      </c>
    </row>
    <row r="2">
      <c r="A2" s="4" t="n">
        <v>45750</v>
      </c>
      <c r="B2" t="inlineStr">
        <is>
          <t>East</t>
        </is>
      </c>
      <c r="C2" t="inlineStr">
        <is>
          <t>West Bengal</t>
        </is>
      </c>
      <c r="D2" t="inlineStr">
        <is>
          <t>Smart TV 43in</t>
        </is>
      </c>
      <c r="E2" t="inlineStr">
        <is>
          <t>Aditya Joshi</t>
        </is>
      </c>
      <c r="F2" t="n">
        <v>10</v>
      </c>
      <c r="G2" s="5" t="n">
        <v>292800</v>
      </c>
      <c r="H2" s="5" t="n">
        <v>200800</v>
      </c>
      <c r="J2" s="8" t="n"/>
    </row>
    <row r="3">
      <c r="A3" s="4" t="n">
        <v>45750</v>
      </c>
      <c r="B3" t="inlineStr">
        <is>
          <t>South</t>
        </is>
      </c>
      <c r="C3" t="inlineStr">
        <is>
          <t>Telangana</t>
        </is>
      </c>
      <c r="D3" t="inlineStr">
        <is>
          <t>Air purifier</t>
        </is>
      </c>
      <c r="E3" t="inlineStr">
        <is>
          <t>Neha Gupta</t>
        </is>
      </c>
      <c r="F3" t="n">
        <v>12</v>
      </c>
      <c r="G3" s="5" t="n">
        <v>138400</v>
      </c>
      <c r="H3" s="5" t="n">
        <v>98100</v>
      </c>
    </row>
    <row r="4">
      <c r="A4" s="4" t="n">
        <v>45753</v>
      </c>
      <c r="B4" t="inlineStr">
        <is>
          <t>North</t>
        </is>
      </c>
      <c r="C4" t="inlineStr">
        <is>
          <t>Delhi</t>
        </is>
      </c>
      <c r="D4" t="inlineStr">
        <is>
          <t>Smart TV 43in</t>
        </is>
      </c>
      <c r="E4" t="inlineStr">
        <is>
          <t>Priya Sharma</t>
        </is>
      </c>
      <c r="F4" t="n">
        <v>13</v>
      </c>
      <c r="G4" s="5" t="n">
        <v>380300</v>
      </c>
      <c r="H4" s="5" t="n">
        <v>264300</v>
      </c>
      <c r="J4" s="6" t="inlineStr">
        <is>
          <t>Check: West revenue</t>
        </is>
      </c>
    </row>
    <row r="5">
      <c r="A5" s="4" t="n">
        <v>45755</v>
      </c>
      <c r="B5" t="inlineStr">
        <is>
          <t>West</t>
        </is>
      </c>
      <c r="C5" t="inlineStr">
        <is>
          <t>Rajasthan</t>
        </is>
      </c>
      <c r="D5" t="inlineStr">
        <is>
          <t>Smart TV 43in</t>
        </is>
      </c>
      <c r="E5" t="inlineStr">
        <is>
          <t>Vikram Rao</t>
        </is>
      </c>
      <c r="F5" t="n">
        <v>5</v>
      </c>
      <c r="G5" s="5" t="n">
        <v>146000</v>
      </c>
      <c r="H5" s="5" t="n">
        <v>115900</v>
      </c>
      <c r="J5" s="8" t="n"/>
    </row>
    <row r="6">
      <c r="A6" s="4" t="n">
        <v>45761</v>
      </c>
      <c r="B6" t="inlineStr">
        <is>
          <t>South</t>
        </is>
      </c>
      <c r="C6" t="inlineStr">
        <is>
          <t>Tamil Nadu</t>
        </is>
      </c>
      <c r="D6" t="inlineStr">
        <is>
          <t>Washing machine</t>
        </is>
      </c>
      <c r="E6" t="inlineStr">
        <is>
          <t>Ananya Iyer</t>
        </is>
      </c>
      <c r="F6" t="n">
        <v>9</v>
      </c>
      <c r="G6" s="5" t="n">
        <v>215800</v>
      </c>
      <c r="H6" s="5" t="n">
        <v>170900</v>
      </c>
    </row>
    <row r="7">
      <c r="A7" s="4" t="n">
        <v>45768</v>
      </c>
      <c r="B7" t="inlineStr">
        <is>
          <t>West</t>
        </is>
      </c>
      <c r="C7" t="inlineStr">
        <is>
          <t>Rajasthan</t>
        </is>
      </c>
      <c r="D7" t="inlineStr">
        <is>
          <t>Washing machine</t>
        </is>
      </c>
      <c r="E7" t="inlineStr">
        <is>
          <t>Ananya Iyer</t>
        </is>
      </c>
      <c r="F7" t="n">
        <v>18</v>
      </c>
      <c r="G7" s="5" t="n">
        <v>418600</v>
      </c>
      <c r="H7" s="5" t="n">
        <v>331700</v>
      </c>
    </row>
    <row r="8">
      <c r="A8" s="4" t="n">
        <v>45774</v>
      </c>
      <c r="B8" t="inlineStr">
        <is>
          <t>East</t>
        </is>
      </c>
      <c r="C8" t="inlineStr">
        <is>
          <t>Odisha</t>
        </is>
      </c>
      <c r="D8" t="inlineStr">
        <is>
          <t>Air purifier</t>
        </is>
      </c>
      <c r="E8" t="inlineStr">
        <is>
          <t>Rohan Mehta</t>
        </is>
      </c>
      <c r="F8" t="n">
        <v>14</v>
      </c>
      <c r="G8" s="5" t="n">
        <v>170100</v>
      </c>
      <c r="H8" s="5" t="n">
        <v>122500</v>
      </c>
    </row>
    <row r="9">
      <c r="A9" s="4" t="n">
        <v>45782</v>
      </c>
      <c r="B9" t="inlineStr">
        <is>
          <t>North</t>
        </is>
      </c>
      <c r="C9" t="inlineStr">
        <is>
          <t>Delhi</t>
        </is>
      </c>
      <c r="D9" t="inlineStr">
        <is>
          <t>Refrigerator</t>
        </is>
      </c>
      <c r="E9" t="inlineStr">
        <is>
          <t>Rohan Mehta</t>
        </is>
      </c>
      <c r="F9" t="n">
        <v>15</v>
      </c>
      <c r="G9" s="5" t="n">
        <v>439600</v>
      </c>
      <c r="H9" s="5" t="n">
        <v>346800</v>
      </c>
    </row>
    <row r="10">
      <c r="A10" s="4" t="n">
        <v>45788</v>
      </c>
      <c r="B10" t="inlineStr">
        <is>
          <t>South</t>
        </is>
      </c>
      <c r="C10" t="inlineStr">
        <is>
          <t>Karnataka</t>
        </is>
      </c>
      <c r="D10" t="inlineStr">
        <is>
          <t>Microwave oven</t>
        </is>
      </c>
      <c r="E10" t="inlineStr">
        <is>
          <t>Rohan Mehta</t>
        </is>
      </c>
      <c r="F10" t="n">
        <v>3</v>
      </c>
      <c r="G10" s="5" t="n">
        <v>28500</v>
      </c>
      <c r="H10" s="5" t="n">
        <v>21900</v>
      </c>
    </row>
    <row r="11">
      <c r="A11" s="4" t="n">
        <v>45795</v>
      </c>
      <c r="B11" t="inlineStr">
        <is>
          <t>West</t>
        </is>
      </c>
      <c r="C11" t="inlineStr">
        <is>
          <t>Rajasthan</t>
        </is>
      </c>
      <c r="D11" t="inlineStr">
        <is>
          <t>Refrigerator</t>
        </is>
      </c>
      <c r="E11" t="inlineStr">
        <is>
          <t>Karan Malhotra</t>
        </is>
      </c>
      <c r="F11" t="n">
        <v>4</v>
      </c>
      <c r="G11" s="5" t="n">
        <v>120100</v>
      </c>
      <c r="H11" s="5" t="n">
        <v>83500</v>
      </c>
    </row>
    <row r="12">
      <c r="A12" s="4" t="n">
        <v>45797</v>
      </c>
      <c r="B12" t="inlineStr">
        <is>
          <t>South</t>
        </is>
      </c>
      <c r="C12" t="inlineStr">
        <is>
          <t>Telangana</t>
        </is>
      </c>
      <c r="D12" t="inlineStr">
        <is>
          <t>Air purifier</t>
        </is>
      </c>
      <c r="E12" t="inlineStr">
        <is>
          <t>Karan Malhotra</t>
        </is>
      </c>
      <c r="F12" t="n">
        <v>3</v>
      </c>
      <c r="G12" s="5" t="n">
        <v>36000</v>
      </c>
      <c r="H12" s="5" t="n">
        <v>25500</v>
      </c>
    </row>
    <row r="13">
      <c r="A13" s="4" t="n">
        <v>45804</v>
      </c>
      <c r="B13" t="inlineStr">
        <is>
          <t>South</t>
        </is>
      </c>
      <c r="C13" t="inlineStr">
        <is>
          <t>Telangana</t>
        </is>
      </c>
      <c r="D13" t="inlineStr">
        <is>
          <t>Microwave oven</t>
        </is>
      </c>
      <c r="E13" t="inlineStr">
        <is>
          <t>Sneha Kulkarni</t>
        </is>
      </c>
      <c r="F13" t="n">
        <v>15</v>
      </c>
      <c r="G13" s="5" t="n">
        <v>137300</v>
      </c>
      <c r="H13" s="5" t="n">
        <v>96200</v>
      </c>
    </row>
    <row r="14">
      <c r="A14" s="4" t="n">
        <v>45807</v>
      </c>
      <c r="B14" t="inlineStr">
        <is>
          <t>South</t>
        </is>
      </c>
      <c r="C14" t="inlineStr">
        <is>
          <t>Karnataka</t>
        </is>
      </c>
      <c r="D14" t="inlineStr">
        <is>
          <t>Smart TV 43in</t>
        </is>
      </c>
      <c r="E14" t="inlineStr">
        <is>
          <t>Neha Gupta</t>
        </is>
      </c>
      <c r="F14" t="n">
        <v>17</v>
      </c>
      <c r="G14" s="5" t="n">
        <v>478700</v>
      </c>
      <c r="H14" s="5" t="n">
        <v>377300</v>
      </c>
    </row>
    <row r="15">
      <c r="A15" s="4" t="n">
        <v>45811</v>
      </c>
      <c r="B15" t="inlineStr">
        <is>
          <t>North</t>
        </is>
      </c>
      <c r="C15" t="inlineStr">
        <is>
          <t>Uttar Pradesh</t>
        </is>
      </c>
      <c r="D15" t="inlineStr">
        <is>
          <t>Air purifier</t>
        </is>
      </c>
      <c r="E15" t="inlineStr">
        <is>
          <t>Priya Sharma</t>
        </is>
      </c>
      <c r="F15" t="n">
        <v>16</v>
      </c>
      <c r="G15" s="5" t="n">
        <v>200200</v>
      </c>
      <c r="H15" s="5" t="n">
        <v>154600</v>
      </c>
    </row>
    <row r="16">
      <c r="A16" s="4" t="n">
        <v>45822</v>
      </c>
      <c r="B16" t="inlineStr">
        <is>
          <t>East</t>
        </is>
      </c>
      <c r="C16" t="inlineStr">
        <is>
          <t>Odisha</t>
        </is>
      </c>
      <c r="D16" t="inlineStr">
        <is>
          <t>Smart TV 43in</t>
        </is>
      </c>
      <c r="E16" t="inlineStr">
        <is>
          <t>Arjun Nair</t>
        </is>
      </c>
      <c r="F16" t="n">
        <v>6</v>
      </c>
      <c r="G16" s="5" t="n">
        <v>169800</v>
      </c>
      <c r="H16" s="5" t="n">
        <v>124800</v>
      </c>
    </row>
    <row r="17">
      <c r="A17" s="4" t="n">
        <v>45823</v>
      </c>
      <c r="B17" t="inlineStr">
        <is>
          <t>South</t>
        </is>
      </c>
      <c r="C17" t="inlineStr">
        <is>
          <t>Tamil Nadu</t>
        </is>
      </c>
      <c r="D17" t="inlineStr">
        <is>
          <t>Smart TV 43in</t>
        </is>
      </c>
      <c r="E17" t="inlineStr">
        <is>
          <t>Sneha Kulkarni</t>
        </is>
      </c>
      <c r="F17" t="n">
        <v>8</v>
      </c>
      <c r="G17" s="5" t="n">
        <v>230900</v>
      </c>
      <c r="H17" s="5" t="n">
        <v>157300</v>
      </c>
    </row>
    <row r="18">
      <c r="A18" s="4" t="n">
        <v>45826</v>
      </c>
      <c r="B18" t="inlineStr">
        <is>
          <t>South</t>
        </is>
      </c>
      <c r="C18" t="inlineStr">
        <is>
          <t>Tamil Nadu</t>
        </is>
      </c>
      <c r="D18" t="inlineStr">
        <is>
          <t>Air purifier</t>
        </is>
      </c>
      <c r="E18" t="inlineStr">
        <is>
          <t>Aditya Joshi</t>
        </is>
      </c>
      <c r="F18" t="n">
        <v>7</v>
      </c>
      <c r="G18" s="5" t="n">
        <v>81800</v>
      </c>
      <c r="H18" s="5" t="n">
        <v>63800</v>
      </c>
    </row>
    <row r="19">
      <c r="A19" s="4" t="n">
        <v>45831</v>
      </c>
      <c r="B19" t="inlineStr">
        <is>
          <t>West</t>
        </is>
      </c>
      <c r="C19" t="inlineStr">
        <is>
          <t>Rajasthan</t>
        </is>
      </c>
      <c r="D19" t="inlineStr">
        <is>
          <t>Air purifier</t>
        </is>
      </c>
      <c r="E19" t="inlineStr">
        <is>
          <t>Arjun Nair</t>
        </is>
      </c>
      <c r="F19" t="n">
        <v>10</v>
      </c>
      <c r="G19" s="5" t="n">
        <v>126100</v>
      </c>
      <c r="H19" s="5" t="n">
        <v>93100</v>
      </c>
    </row>
    <row r="20">
      <c r="A20" s="4" t="n">
        <v>45833</v>
      </c>
      <c r="B20" t="inlineStr">
        <is>
          <t>East</t>
        </is>
      </c>
      <c r="C20" t="inlineStr">
        <is>
          <t>Odisha</t>
        </is>
      </c>
      <c r="D20" t="inlineStr">
        <is>
          <t>Refrigerator</t>
        </is>
      </c>
      <c r="E20" t="inlineStr">
        <is>
          <t>Divya Menon</t>
        </is>
      </c>
      <c r="F20" t="n">
        <v>5</v>
      </c>
      <c r="G20" s="5" t="n">
        <v>161500</v>
      </c>
      <c r="H20" s="5" t="n">
        <v>129000</v>
      </c>
    </row>
    <row r="21">
      <c r="A21" s="4" t="n">
        <v>45835</v>
      </c>
      <c r="B21" t="inlineStr">
        <is>
          <t>East</t>
        </is>
      </c>
      <c r="C21" t="inlineStr">
        <is>
          <t>Odisha</t>
        </is>
      </c>
      <c r="D21" t="inlineStr">
        <is>
          <t>Refrigerator</t>
        </is>
      </c>
      <c r="E21" t="inlineStr">
        <is>
          <t>Arjun Nair</t>
        </is>
      </c>
      <c r="F21" t="n">
        <v>5</v>
      </c>
      <c r="G21" s="5" t="n">
        <v>155500</v>
      </c>
      <c r="H21" s="5" t="n">
        <v>110400</v>
      </c>
    </row>
    <row r="22">
      <c r="A22" s="4" t="n">
        <v>45837</v>
      </c>
      <c r="B22" t="inlineStr">
        <is>
          <t>North</t>
        </is>
      </c>
      <c r="C22" t="inlineStr">
        <is>
          <t>Delhi</t>
        </is>
      </c>
      <c r="D22" t="inlineStr">
        <is>
          <t>Smart TV 43in</t>
        </is>
      </c>
      <c r="E22" t="inlineStr">
        <is>
          <t>Vikram Rao</t>
        </is>
      </c>
      <c r="F22" t="n">
        <v>6</v>
      </c>
      <c r="G22" s="5" t="n">
        <v>170100</v>
      </c>
      <c r="H22" s="5" t="n">
        <v>128400</v>
      </c>
    </row>
    <row r="23">
      <c r="A23" s="4" t="n">
        <v>45839</v>
      </c>
      <c r="B23" t="inlineStr">
        <is>
          <t>South</t>
        </is>
      </c>
      <c r="C23" t="inlineStr">
        <is>
          <t>Karnataka</t>
        </is>
      </c>
      <c r="D23" t="inlineStr">
        <is>
          <t>Smart TV 43in</t>
        </is>
      </c>
      <c r="E23" t="inlineStr">
        <is>
          <t>Karan Malhotra</t>
        </is>
      </c>
      <c r="F23" t="n">
        <v>2</v>
      </c>
      <c r="G23" s="5" t="n">
        <v>58900</v>
      </c>
      <c r="H23" s="5" t="n">
        <v>41400</v>
      </c>
    </row>
    <row r="24">
      <c r="A24" s="4" t="n">
        <v>45840</v>
      </c>
      <c r="B24" t="inlineStr">
        <is>
          <t>West</t>
        </is>
      </c>
      <c r="C24" t="inlineStr">
        <is>
          <t>Maharashtra</t>
        </is>
      </c>
      <c r="D24" t="inlineStr">
        <is>
          <t>Washing machine</t>
        </is>
      </c>
      <c r="E24" t="inlineStr">
        <is>
          <t>Karan Malhotra</t>
        </is>
      </c>
      <c r="F24" t="n">
        <v>3</v>
      </c>
      <c r="G24" s="5" t="n">
        <v>69100</v>
      </c>
      <c r="H24" s="5" t="n">
        <v>52300</v>
      </c>
    </row>
    <row r="25">
      <c r="A25" s="4" t="n">
        <v>45841</v>
      </c>
      <c r="B25" t="inlineStr">
        <is>
          <t>South</t>
        </is>
      </c>
      <c r="C25" t="inlineStr">
        <is>
          <t>Karnataka</t>
        </is>
      </c>
      <c r="D25" t="inlineStr">
        <is>
          <t>Microwave oven</t>
        </is>
      </c>
      <c r="E25" t="inlineStr">
        <is>
          <t>Karan Malhotra</t>
        </is>
      </c>
      <c r="F25" t="n">
        <v>10</v>
      </c>
      <c r="G25" s="5" t="n">
        <v>92600</v>
      </c>
      <c r="H25" s="5" t="n">
        <v>65700</v>
      </c>
    </row>
    <row r="26">
      <c r="A26" s="4" t="n">
        <v>45841</v>
      </c>
      <c r="B26" t="inlineStr">
        <is>
          <t>West</t>
        </is>
      </c>
      <c r="C26" t="inlineStr">
        <is>
          <t>Maharashtra</t>
        </is>
      </c>
      <c r="D26" t="inlineStr">
        <is>
          <t>Refrigerator</t>
        </is>
      </c>
      <c r="E26" t="inlineStr">
        <is>
          <t>Rohan Mehta</t>
        </is>
      </c>
      <c r="F26" t="n">
        <v>17</v>
      </c>
      <c r="G26" s="5" t="n">
        <v>507000</v>
      </c>
      <c r="H26" s="5" t="n">
        <v>385800</v>
      </c>
    </row>
    <row r="27">
      <c r="A27" s="4" t="n">
        <v>45842</v>
      </c>
      <c r="B27" t="inlineStr">
        <is>
          <t>South</t>
        </is>
      </c>
      <c r="C27" t="inlineStr">
        <is>
          <t>Telangana</t>
        </is>
      </c>
      <c r="D27" t="inlineStr">
        <is>
          <t>Washing machine</t>
        </is>
      </c>
      <c r="E27" t="inlineStr">
        <is>
          <t>Rohan Mehta</t>
        </is>
      </c>
      <c r="F27" t="n">
        <v>8</v>
      </c>
      <c r="G27" s="5" t="n">
        <v>199200</v>
      </c>
      <c r="H27" s="5" t="n">
        <v>153000</v>
      </c>
    </row>
    <row r="28">
      <c r="A28" s="4" t="n">
        <v>45855</v>
      </c>
      <c r="B28" t="inlineStr">
        <is>
          <t>East</t>
        </is>
      </c>
      <c r="C28" t="inlineStr">
        <is>
          <t>Odisha</t>
        </is>
      </c>
      <c r="D28" t="inlineStr">
        <is>
          <t>Refrigerator</t>
        </is>
      </c>
      <c r="E28" t="inlineStr">
        <is>
          <t>Priya Sharma</t>
        </is>
      </c>
      <c r="F28" t="n">
        <v>18</v>
      </c>
      <c r="G28" s="5" t="n">
        <v>537300</v>
      </c>
      <c r="H28" s="5" t="n">
        <v>374700</v>
      </c>
    </row>
    <row r="29">
      <c r="A29" s="4" t="n">
        <v>45857</v>
      </c>
      <c r="B29" t="inlineStr">
        <is>
          <t>West</t>
        </is>
      </c>
      <c r="C29" t="inlineStr">
        <is>
          <t>Rajasthan</t>
        </is>
      </c>
      <c r="D29" t="inlineStr">
        <is>
          <t>Smart TV 43in</t>
        </is>
      </c>
      <c r="E29" t="inlineStr">
        <is>
          <t>Aditya Joshi</t>
        </is>
      </c>
      <c r="F29" t="n">
        <v>14</v>
      </c>
      <c r="G29" s="5" t="n">
        <v>416100</v>
      </c>
      <c r="H29" s="5" t="n">
        <v>305800</v>
      </c>
    </row>
    <row r="30">
      <c r="A30" s="4" t="n">
        <v>45857</v>
      </c>
      <c r="B30" t="inlineStr">
        <is>
          <t>South</t>
        </is>
      </c>
      <c r="C30" t="inlineStr">
        <is>
          <t>Karnataka</t>
        </is>
      </c>
      <c r="D30" t="inlineStr">
        <is>
          <t>Refrigerator</t>
        </is>
      </c>
      <c r="E30" t="inlineStr">
        <is>
          <t>Ananya Iyer</t>
        </is>
      </c>
      <c r="F30" t="n">
        <v>8</v>
      </c>
      <c r="G30" s="5" t="n">
        <v>254100</v>
      </c>
      <c r="H30" s="5" t="n">
        <v>197100</v>
      </c>
    </row>
    <row r="31">
      <c r="A31" s="4" t="n">
        <v>45861</v>
      </c>
      <c r="B31" t="inlineStr">
        <is>
          <t>South</t>
        </is>
      </c>
      <c r="C31" t="inlineStr">
        <is>
          <t>Karnataka</t>
        </is>
      </c>
      <c r="D31" t="inlineStr">
        <is>
          <t>Refrigerator</t>
        </is>
      </c>
      <c r="E31" t="inlineStr">
        <is>
          <t>Sneha Kulkarni</t>
        </is>
      </c>
      <c r="F31" t="n">
        <v>10</v>
      </c>
      <c r="G31" s="5" t="n">
        <v>306400</v>
      </c>
      <c r="H31" s="5" t="n">
        <v>241900</v>
      </c>
    </row>
    <row r="32">
      <c r="A32" s="4" t="n">
        <v>45862</v>
      </c>
      <c r="B32" t="inlineStr">
        <is>
          <t>West</t>
        </is>
      </c>
      <c r="C32" t="inlineStr">
        <is>
          <t>Rajasthan</t>
        </is>
      </c>
      <c r="D32" t="inlineStr">
        <is>
          <t>Microwave oven</t>
        </is>
      </c>
      <c r="E32" t="inlineStr">
        <is>
          <t>Rohan Mehta</t>
        </is>
      </c>
      <c r="F32" t="n">
        <v>8</v>
      </c>
      <c r="G32" s="5" t="n">
        <v>81700</v>
      </c>
      <c r="H32" s="5" t="n">
        <v>64900</v>
      </c>
    </row>
    <row r="33">
      <c r="A33" s="4" t="n">
        <v>45867</v>
      </c>
      <c r="B33" t="inlineStr">
        <is>
          <t>West</t>
        </is>
      </c>
      <c r="C33" t="inlineStr">
        <is>
          <t>Maharashtra</t>
        </is>
      </c>
      <c r="D33" t="inlineStr">
        <is>
          <t>Smart TV 43in</t>
        </is>
      </c>
      <c r="E33" t="inlineStr">
        <is>
          <t>Aditya Joshi</t>
        </is>
      </c>
      <c r="F33" t="n">
        <v>17</v>
      </c>
      <c r="G33" s="5" t="n">
        <v>492700</v>
      </c>
      <c r="H33" s="5" t="n">
        <v>373400</v>
      </c>
    </row>
    <row r="34">
      <c r="A34" s="4" t="n">
        <v>45873</v>
      </c>
      <c r="B34" t="inlineStr">
        <is>
          <t>South</t>
        </is>
      </c>
      <c r="C34" t="inlineStr">
        <is>
          <t>Telangana</t>
        </is>
      </c>
      <c r="D34" t="inlineStr">
        <is>
          <t>Air purifier</t>
        </is>
      </c>
      <c r="E34" t="inlineStr">
        <is>
          <t>Sneha Kulkarni</t>
        </is>
      </c>
      <c r="F34" t="n">
        <v>11</v>
      </c>
      <c r="G34" s="5" t="n">
        <v>137100</v>
      </c>
      <c r="H34" s="5" t="n">
        <v>96400</v>
      </c>
    </row>
    <row r="35">
      <c r="A35" s="4" t="n">
        <v>45882</v>
      </c>
      <c r="B35" t="inlineStr">
        <is>
          <t>West</t>
        </is>
      </c>
      <c r="C35" t="inlineStr">
        <is>
          <t>Gujarat</t>
        </is>
      </c>
      <c r="D35" t="inlineStr">
        <is>
          <t>Refrigerator</t>
        </is>
      </c>
      <c r="E35" t="inlineStr">
        <is>
          <t>Divya Menon</t>
        </is>
      </c>
      <c r="F35" t="n">
        <v>8</v>
      </c>
      <c r="G35" s="5" t="n">
        <v>255700</v>
      </c>
      <c r="H35" s="5" t="n">
        <v>199900</v>
      </c>
    </row>
    <row r="36">
      <c r="A36" s="4" t="n">
        <v>45883</v>
      </c>
      <c r="B36" t="inlineStr">
        <is>
          <t>West</t>
        </is>
      </c>
      <c r="C36" t="inlineStr">
        <is>
          <t>Maharashtra</t>
        </is>
      </c>
      <c r="D36" t="inlineStr">
        <is>
          <t>Microwave oven</t>
        </is>
      </c>
      <c r="E36" t="inlineStr">
        <is>
          <t>Neha Gupta</t>
        </is>
      </c>
      <c r="F36" t="n">
        <v>5</v>
      </c>
      <c r="G36" s="5" t="n">
        <v>49600</v>
      </c>
      <c r="H36" s="5" t="n">
        <v>38000</v>
      </c>
    </row>
    <row r="37">
      <c r="A37" s="4" t="n">
        <v>45885</v>
      </c>
      <c r="B37" t="inlineStr">
        <is>
          <t>South</t>
        </is>
      </c>
      <c r="C37" t="inlineStr">
        <is>
          <t>Karnataka</t>
        </is>
      </c>
      <c r="D37" t="inlineStr">
        <is>
          <t>Air purifier</t>
        </is>
      </c>
      <c r="E37" t="inlineStr">
        <is>
          <t>Karan Malhotra</t>
        </is>
      </c>
      <c r="F37" t="n">
        <v>4</v>
      </c>
      <c r="G37" s="5" t="n">
        <v>46800</v>
      </c>
      <c r="H37" s="5" t="n">
        <v>34000</v>
      </c>
    </row>
    <row r="38">
      <c r="A38" s="4" t="n">
        <v>45885</v>
      </c>
      <c r="B38" t="inlineStr">
        <is>
          <t>South</t>
        </is>
      </c>
      <c r="C38" t="inlineStr">
        <is>
          <t>Tamil Nadu</t>
        </is>
      </c>
      <c r="D38" t="inlineStr">
        <is>
          <t>Refrigerator</t>
        </is>
      </c>
      <c r="E38" t="inlineStr">
        <is>
          <t>Vikram Rao</t>
        </is>
      </c>
      <c r="F38" t="n">
        <v>9</v>
      </c>
      <c r="G38" s="5" t="n">
        <v>256900</v>
      </c>
      <c r="H38" s="5" t="n">
        <v>204300</v>
      </c>
    </row>
    <row r="39">
      <c r="A39" s="4" t="n">
        <v>45886</v>
      </c>
      <c r="B39" t="inlineStr">
        <is>
          <t>South</t>
        </is>
      </c>
      <c r="C39" t="inlineStr">
        <is>
          <t>Karnataka</t>
        </is>
      </c>
      <c r="D39" t="inlineStr">
        <is>
          <t>Microwave oven</t>
        </is>
      </c>
      <c r="E39" t="inlineStr">
        <is>
          <t>Priya Sharma</t>
        </is>
      </c>
      <c r="F39" t="n">
        <v>11</v>
      </c>
      <c r="G39" s="5" t="n">
        <v>100700</v>
      </c>
      <c r="H39" s="5" t="n">
        <v>71100</v>
      </c>
    </row>
    <row r="40">
      <c r="A40" s="4" t="n">
        <v>45890</v>
      </c>
      <c r="B40" t="inlineStr">
        <is>
          <t>West</t>
        </is>
      </c>
      <c r="C40" t="inlineStr">
        <is>
          <t>Gujarat</t>
        </is>
      </c>
      <c r="D40" t="inlineStr">
        <is>
          <t>Washing machine</t>
        </is>
      </c>
      <c r="E40" t="inlineStr">
        <is>
          <t>Priya Sharma</t>
        </is>
      </c>
      <c r="F40" t="n">
        <v>9</v>
      </c>
      <c r="G40" s="5" t="n">
        <v>211700</v>
      </c>
      <c r="H40" s="5" t="n">
        <v>144400</v>
      </c>
    </row>
    <row r="41">
      <c r="A41" s="4" t="n">
        <v>45891</v>
      </c>
      <c r="B41" t="inlineStr">
        <is>
          <t>West</t>
        </is>
      </c>
      <c r="C41" t="inlineStr">
        <is>
          <t>Maharashtra</t>
        </is>
      </c>
      <c r="D41" t="inlineStr">
        <is>
          <t>Smart TV 43in</t>
        </is>
      </c>
      <c r="E41" t="inlineStr">
        <is>
          <t>Vikram Rao</t>
        </is>
      </c>
      <c r="F41" t="n">
        <v>6</v>
      </c>
      <c r="G41" s="5" t="n">
        <v>157900</v>
      </c>
      <c r="H41" s="5" t="n">
        <v>115700</v>
      </c>
    </row>
    <row r="42">
      <c r="A42" s="4" t="n">
        <v>45895</v>
      </c>
      <c r="B42" t="inlineStr">
        <is>
          <t>South</t>
        </is>
      </c>
      <c r="C42" t="inlineStr">
        <is>
          <t>Tamil Nadu</t>
        </is>
      </c>
      <c r="D42" t="inlineStr">
        <is>
          <t>Washing machine</t>
        </is>
      </c>
      <c r="E42" t="inlineStr">
        <is>
          <t>Aditya Joshi</t>
        </is>
      </c>
      <c r="F42" t="n">
        <v>6</v>
      </c>
      <c r="G42" s="5" t="n">
        <v>133500</v>
      </c>
      <c r="H42" s="5" t="n">
        <v>102600</v>
      </c>
    </row>
    <row r="43">
      <c r="A43" s="4" t="n">
        <v>45897</v>
      </c>
      <c r="B43" t="inlineStr">
        <is>
          <t>North</t>
        </is>
      </c>
      <c r="C43" t="inlineStr">
        <is>
          <t>Uttar Pradesh</t>
        </is>
      </c>
      <c r="D43" t="inlineStr">
        <is>
          <t>Microwave oven</t>
        </is>
      </c>
      <c r="E43" t="inlineStr">
        <is>
          <t>Sneha Kulkarni</t>
        </is>
      </c>
      <c r="F43" t="n">
        <v>10</v>
      </c>
      <c r="G43" s="5" t="n">
        <v>102200</v>
      </c>
      <c r="H43" s="5" t="n">
        <v>80200</v>
      </c>
    </row>
    <row r="44">
      <c r="A44" s="4" t="n">
        <v>45901</v>
      </c>
      <c r="B44" t="inlineStr">
        <is>
          <t>East</t>
        </is>
      </c>
      <c r="C44" t="inlineStr">
        <is>
          <t>West Bengal</t>
        </is>
      </c>
      <c r="D44" t="inlineStr">
        <is>
          <t>Smart TV 43in</t>
        </is>
      </c>
      <c r="E44" t="inlineStr">
        <is>
          <t>Neha Gupta</t>
        </is>
      </c>
      <c r="F44" t="n">
        <v>5</v>
      </c>
      <c r="G44" s="5" t="n">
        <v>139300</v>
      </c>
      <c r="H44" s="5" t="n">
        <v>103900</v>
      </c>
    </row>
    <row r="45">
      <c r="A45" s="4" t="n">
        <v>45903</v>
      </c>
      <c r="B45" t="inlineStr">
        <is>
          <t>East</t>
        </is>
      </c>
      <c r="C45" t="inlineStr">
        <is>
          <t>Odisha</t>
        </is>
      </c>
      <c r="D45" t="inlineStr">
        <is>
          <t>Washing machine</t>
        </is>
      </c>
      <c r="E45" t="inlineStr">
        <is>
          <t>Vikram Rao</t>
        </is>
      </c>
      <c r="F45" t="n">
        <v>14</v>
      </c>
      <c r="G45" s="5" t="n">
        <v>339400</v>
      </c>
      <c r="H45" s="5" t="n">
        <v>244900</v>
      </c>
    </row>
    <row r="46">
      <c r="A46" s="4" t="n">
        <v>45906</v>
      </c>
      <c r="B46" t="inlineStr">
        <is>
          <t>North</t>
        </is>
      </c>
      <c r="C46" t="inlineStr">
        <is>
          <t>Punjab</t>
        </is>
      </c>
      <c r="D46" t="inlineStr">
        <is>
          <t>Washing machine</t>
        </is>
      </c>
      <c r="E46" t="inlineStr">
        <is>
          <t>Priya Sharma</t>
        </is>
      </c>
      <c r="F46" t="n">
        <v>17</v>
      </c>
      <c r="G46" s="5" t="n">
        <v>418500</v>
      </c>
      <c r="H46" s="5" t="n">
        <v>286300</v>
      </c>
    </row>
    <row r="47">
      <c r="A47" s="4" t="n">
        <v>45913</v>
      </c>
      <c r="B47" t="inlineStr">
        <is>
          <t>West</t>
        </is>
      </c>
      <c r="C47" t="inlineStr">
        <is>
          <t>Gujarat</t>
        </is>
      </c>
      <c r="D47" t="inlineStr">
        <is>
          <t>Smart TV 43in</t>
        </is>
      </c>
      <c r="E47" t="inlineStr">
        <is>
          <t>Divya Menon</t>
        </is>
      </c>
      <c r="F47" t="n">
        <v>3</v>
      </c>
      <c r="G47" s="5" t="n">
        <v>85700</v>
      </c>
      <c r="H47" s="5" t="n">
        <v>65300</v>
      </c>
    </row>
    <row r="48">
      <c r="A48" s="4" t="n">
        <v>45916</v>
      </c>
      <c r="B48" t="inlineStr">
        <is>
          <t>South</t>
        </is>
      </c>
      <c r="C48" t="inlineStr">
        <is>
          <t>Karnataka</t>
        </is>
      </c>
      <c r="D48" t="inlineStr">
        <is>
          <t>Smart TV 43in</t>
        </is>
      </c>
      <c r="E48" t="inlineStr">
        <is>
          <t>Divya Menon</t>
        </is>
      </c>
      <c r="F48" t="n">
        <v>9</v>
      </c>
      <c r="G48" s="5" t="n">
        <v>261100</v>
      </c>
      <c r="H48" s="5" t="n">
        <v>187100</v>
      </c>
    </row>
    <row r="49">
      <c r="A49" s="4" t="n">
        <v>45918</v>
      </c>
      <c r="B49" t="inlineStr">
        <is>
          <t>East</t>
        </is>
      </c>
      <c r="C49" t="inlineStr">
        <is>
          <t>West Bengal</t>
        </is>
      </c>
      <c r="D49" t="inlineStr">
        <is>
          <t>Microwave oven</t>
        </is>
      </c>
      <c r="E49" t="inlineStr">
        <is>
          <t>Aditya Joshi</t>
        </is>
      </c>
      <c r="F49" t="n">
        <v>14</v>
      </c>
      <c r="G49" s="5" t="n">
        <v>142400</v>
      </c>
      <c r="H49" s="5" t="n">
        <v>103900</v>
      </c>
    </row>
    <row r="50">
      <c r="A50" s="4" t="n">
        <v>45924</v>
      </c>
      <c r="B50" t="inlineStr">
        <is>
          <t>West</t>
        </is>
      </c>
      <c r="C50" t="inlineStr">
        <is>
          <t>Rajasthan</t>
        </is>
      </c>
      <c r="D50" t="inlineStr">
        <is>
          <t>Refrigerator</t>
        </is>
      </c>
      <c r="E50" t="inlineStr">
        <is>
          <t>Priya Sharma</t>
        </is>
      </c>
      <c r="F50" t="n">
        <v>18</v>
      </c>
      <c r="G50" s="5" t="n">
        <v>515500</v>
      </c>
      <c r="H50" s="5" t="n">
        <v>361200</v>
      </c>
    </row>
    <row r="51">
      <c r="A51" s="4" t="n">
        <v>45924</v>
      </c>
      <c r="B51" t="inlineStr">
        <is>
          <t>East</t>
        </is>
      </c>
      <c r="C51" t="inlineStr">
        <is>
          <t>Odisha</t>
        </is>
      </c>
      <c r="D51" t="inlineStr">
        <is>
          <t>Refrigerator</t>
        </is>
      </c>
      <c r="E51" t="inlineStr">
        <is>
          <t>Priya Sharma</t>
        </is>
      </c>
      <c r="F51" t="n">
        <v>16</v>
      </c>
      <c r="G51" s="5" t="n">
        <v>510000</v>
      </c>
      <c r="H51" s="5" t="n">
        <v>371000</v>
      </c>
    </row>
    <row r="52">
      <c r="A52" s="4" t="n">
        <v>45928</v>
      </c>
      <c r="B52" t="inlineStr">
        <is>
          <t>East</t>
        </is>
      </c>
      <c r="C52" t="inlineStr">
        <is>
          <t>West Bengal</t>
        </is>
      </c>
      <c r="D52" t="inlineStr">
        <is>
          <t>Air purifier</t>
        </is>
      </c>
      <c r="E52" t="inlineStr">
        <is>
          <t>Rohan Mehta</t>
        </is>
      </c>
      <c r="F52" t="n">
        <v>13</v>
      </c>
      <c r="G52" s="5" t="n">
        <v>155200</v>
      </c>
      <c r="H52" s="5" t="n">
        <v>119700</v>
      </c>
    </row>
    <row r="53">
      <c r="A53" s="4" t="n">
        <v>45939</v>
      </c>
      <c r="B53" t="inlineStr">
        <is>
          <t>East</t>
        </is>
      </c>
      <c r="C53" t="inlineStr">
        <is>
          <t>West Bengal</t>
        </is>
      </c>
      <c r="D53" t="inlineStr">
        <is>
          <t>Refrigerator</t>
        </is>
      </c>
      <c r="E53" t="inlineStr">
        <is>
          <t>Vikram Rao</t>
        </is>
      </c>
      <c r="F53" t="n">
        <v>9</v>
      </c>
      <c r="G53" s="5" t="n">
        <v>258500</v>
      </c>
      <c r="H53" s="5" t="n">
        <v>195100</v>
      </c>
    </row>
    <row r="54">
      <c r="A54" s="4" t="n">
        <v>45940</v>
      </c>
      <c r="B54" t="inlineStr">
        <is>
          <t>South</t>
        </is>
      </c>
      <c r="C54" t="inlineStr">
        <is>
          <t>Tamil Nadu</t>
        </is>
      </c>
      <c r="D54" t="inlineStr">
        <is>
          <t>Washing machine</t>
        </is>
      </c>
      <c r="E54" t="inlineStr">
        <is>
          <t>Priya Sharma</t>
        </is>
      </c>
      <c r="F54" t="n">
        <v>17</v>
      </c>
      <c r="G54" s="5" t="n">
        <v>380400</v>
      </c>
      <c r="H54" s="5" t="n">
        <v>267300</v>
      </c>
    </row>
    <row r="55">
      <c r="A55" s="4" t="n">
        <v>45941</v>
      </c>
      <c r="B55" t="inlineStr">
        <is>
          <t>East</t>
        </is>
      </c>
      <c r="C55" t="inlineStr">
        <is>
          <t>West Bengal</t>
        </is>
      </c>
      <c r="D55" t="inlineStr">
        <is>
          <t>Air purifier</t>
        </is>
      </c>
      <c r="E55" t="inlineStr">
        <is>
          <t>Neha Gupta</t>
        </is>
      </c>
      <c r="F55" t="n">
        <v>15</v>
      </c>
      <c r="G55" s="5" t="n">
        <v>174200</v>
      </c>
      <c r="H55" s="5" t="n">
        <v>120600</v>
      </c>
    </row>
    <row r="56">
      <c r="A56" s="4" t="n">
        <v>45943</v>
      </c>
      <c r="B56" t="inlineStr">
        <is>
          <t>South</t>
        </is>
      </c>
      <c r="C56" t="inlineStr">
        <is>
          <t>Karnataka</t>
        </is>
      </c>
      <c r="D56" t="inlineStr">
        <is>
          <t>Refrigerator</t>
        </is>
      </c>
      <c r="E56" t="inlineStr">
        <is>
          <t>Neha Gupta</t>
        </is>
      </c>
      <c r="F56" t="n">
        <v>10</v>
      </c>
      <c r="G56" s="5" t="n">
        <v>297600</v>
      </c>
      <c r="H56" s="5" t="n">
        <v>218700</v>
      </c>
    </row>
    <row r="57">
      <c r="A57" s="4" t="n">
        <v>45947</v>
      </c>
      <c r="B57" t="inlineStr">
        <is>
          <t>South</t>
        </is>
      </c>
      <c r="C57" t="inlineStr">
        <is>
          <t>Tamil Nadu</t>
        </is>
      </c>
      <c r="D57" t="inlineStr">
        <is>
          <t>Air purifier</t>
        </is>
      </c>
      <c r="E57" t="inlineStr">
        <is>
          <t>Divya Menon</t>
        </is>
      </c>
      <c r="F57" t="n">
        <v>15</v>
      </c>
      <c r="G57" s="5" t="n">
        <v>188000</v>
      </c>
      <c r="H57" s="5" t="n">
        <v>130800</v>
      </c>
    </row>
    <row r="58">
      <c r="A58" s="4" t="n">
        <v>45947</v>
      </c>
      <c r="B58" t="inlineStr">
        <is>
          <t>West</t>
        </is>
      </c>
      <c r="C58" t="inlineStr">
        <is>
          <t>Maharashtra</t>
        </is>
      </c>
      <c r="D58" t="inlineStr">
        <is>
          <t>Microwave oven</t>
        </is>
      </c>
      <c r="E58" t="inlineStr">
        <is>
          <t>Sneha Kulkarni</t>
        </is>
      </c>
      <c r="F58" t="n">
        <v>7</v>
      </c>
      <c r="G58" s="5" t="n">
        <v>63500</v>
      </c>
      <c r="H58" s="5" t="n">
        <v>48100</v>
      </c>
    </row>
    <row r="59">
      <c r="A59" s="4" t="n">
        <v>45953</v>
      </c>
      <c r="B59" t="inlineStr">
        <is>
          <t>South</t>
        </is>
      </c>
      <c r="C59" t="inlineStr">
        <is>
          <t>Karnataka</t>
        </is>
      </c>
      <c r="D59" t="inlineStr">
        <is>
          <t>Refrigerator</t>
        </is>
      </c>
      <c r="E59" t="inlineStr">
        <is>
          <t>Sneha Kulkarni</t>
        </is>
      </c>
      <c r="F59" t="n">
        <v>6</v>
      </c>
      <c r="G59" s="5" t="n">
        <v>185800</v>
      </c>
      <c r="H59" s="5" t="n">
        <v>127200</v>
      </c>
    </row>
    <row r="60">
      <c r="A60" s="4" t="n">
        <v>45955</v>
      </c>
      <c r="B60" t="inlineStr">
        <is>
          <t>South</t>
        </is>
      </c>
      <c r="C60" t="inlineStr">
        <is>
          <t>Telangana</t>
        </is>
      </c>
      <c r="D60" t="inlineStr">
        <is>
          <t>Air purifier</t>
        </is>
      </c>
      <c r="E60" t="inlineStr">
        <is>
          <t>Arjun Nair</t>
        </is>
      </c>
      <c r="F60" t="n">
        <v>12</v>
      </c>
      <c r="G60" s="5" t="n">
        <v>142500</v>
      </c>
      <c r="H60" s="5" t="n">
        <v>98300</v>
      </c>
    </row>
    <row r="61">
      <c r="A61" s="4" t="n">
        <v>45956</v>
      </c>
      <c r="B61" t="inlineStr">
        <is>
          <t>South</t>
        </is>
      </c>
      <c r="C61" t="inlineStr">
        <is>
          <t>Telangana</t>
        </is>
      </c>
      <c r="D61" t="inlineStr">
        <is>
          <t>Refrigerator</t>
        </is>
      </c>
      <c r="E61" t="inlineStr">
        <is>
          <t>Karan Malhotra</t>
        </is>
      </c>
      <c r="F61" t="n">
        <v>8</v>
      </c>
      <c r="G61" s="5" t="n">
        <v>260400</v>
      </c>
      <c r="H61" s="5" t="n">
        <v>192700</v>
      </c>
    </row>
    <row r="62">
      <c r="A62" s="4" t="n">
        <v>45967</v>
      </c>
      <c r="B62" t="inlineStr">
        <is>
          <t>North</t>
        </is>
      </c>
      <c r="C62" t="inlineStr">
        <is>
          <t>Uttar Pradesh</t>
        </is>
      </c>
      <c r="D62" t="inlineStr">
        <is>
          <t>Air purifier</t>
        </is>
      </c>
      <c r="E62" t="inlineStr">
        <is>
          <t>Neha Gupta</t>
        </is>
      </c>
      <c r="F62" t="n">
        <v>10</v>
      </c>
      <c r="G62" s="5" t="n">
        <v>118600</v>
      </c>
      <c r="H62" s="5" t="n">
        <v>84600</v>
      </c>
    </row>
    <row r="63">
      <c r="A63" s="4" t="n">
        <v>45971</v>
      </c>
      <c r="B63" t="inlineStr">
        <is>
          <t>North</t>
        </is>
      </c>
      <c r="C63" t="inlineStr">
        <is>
          <t>Delhi</t>
        </is>
      </c>
      <c r="D63" t="inlineStr">
        <is>
          <t>Smart TV 43in</t>
        </is>
      </c>
      <c r="E63" t="inlineStr">
        <is>
          <t>Priya Sharma</t>
        </is>
      </c>
      <c r="F63" t="n">
        <v>6</v>
      </c>
      <c r="G63" s="5" t="n">
        <v>163800</v>
      </c>
      <c r="H63" s="5" t="n">
        <v>125600</v>
      </c>
    </row>
    <row r="64">
      <c r="A64" s="4" t="n">
        <v>45976</v>
      </c>
      <c r="B64" t="inlineStr">
        <is>
          <t>West</t>
        </is>
      </c>
      <c r="C64" t="inlineStr">
        <is>
          <t>Maharashtra</t>
        </is>
      </c>
      <c r="D64" t="inlineStr">
        <is>
          <t>Air purifier</t>
        </is>
      </c>
      <c r="E64" t="inlineStr">
        <is>
          <t>Vikram Rao</t>
        </is>
      </c>
      <c r="F64" t="n">
        <v>3</v>
      </c>
      <c r="G64" s="5" t="n">
        <v>38800</v>
      </c>
      <c r="H64" s="5" t="n">
        <v>27600</v>
      </c>
    </row>
    <row r="65">
      <c r="A65" s="4" t="n">
        <v>45980</v>
      </c>
      <c r="B65" t="inlineStr">
        <is>
          <t>West</t>
        </is>
      </c>
      <c r="C65" t="inlineStr">
        <is>
          <t>Rajasthan</t>
        </is>
      </c>
      <c r="D65" t="inlineStr">
        <is>
          <t>Microwave oven</t>
        </is>
      </c>
      <c r="E65" t="inlineStr">
        <is>
          <t>Sneha Kulkarni</t>
        </is>
      </c>
      <c r="F65" t="n">
        <v>18</v>
      </c>
      <c r="G65" s="5" t="n">
        <v>169300</v>
      </c>
      <c r="H65" s="5" t="n">
        <v>117700</v>
      </c>
    </row>
    <row r="66">
      <c r="A66" s="4" t="n">
        <v>45981</v>
      </c>
      <c r="B66" t="inlineStr">
        <is>
          <t>North</t>
        </is>
      </c>
      <c r="C66" t="inlineStr">
        <is>
          <t>Uttar Pradesh</t>
        </is>
      </c>
      <c r="D66" t="inlineStr">
        <is>
          <t>Air purifier</t>
        </is>
      </c>
      <c r="E66" t="inlineStr">
        <is>
          <t>Vikram Rao</t>
        </is>
      </c>
      <c r="F66" t="n">
        <v>2</v>
      </c>
      <c r="G66" s="5" t="n">
        <v>24500</v>
      </c>
      <c r="H66" s="5" t="n">
        <v>17800</v>
      </c>
    </row>
    <row r="67">
      <c r="A67" s="4" t="n">
        <v>45982</v>
      </c>
      <c r="B67" t="inlineStr">
        <is>
          <t>South</t>
        </is>
      </c>
      <c r="C67" t="inlineStr">
        <is>
          <t>Karnataka</t>
        </is>
      </c>
      <c r="D67" t="inlineStr">
        <is>
          <t>Refrigerator</t>
        </is>
      </c>
      <c r="E67" t="inlineStr">
        <is>
          <t>Aditya Joshi</t>
        </is>
      </c>
      <c r="F67" t="n">
        <v>3</v>
      </c>
      <c r="G67" s="5" t="n">
        <v>95500</v>
      </c>
      <c r="H67" s="5" t="n">
        <v>66800</v>
      </c>
    </row>
    <row r="68">
      <c r="A68" s="4" t="n">
        <v>45987</v>
      </c>
      <c r="B68" t="inlineStr">
        <is>
          <t>South</t>
        </is>
      </c>
      <c r="C68" t="inlineStr">
        <is>
          <t>Tamil Nadu</t>
        </is>
      </c>
      <c r="D68" t="inlineStr">
        <is>
          <t>Microwave oven</t>
        </is>
      </c>
      <c r="E68" t="inlineStr">
        <is>
          <t>Sneha Kulkarni</t>
        </is>
      </c>
      <c r="F68" t="n">
        <v>17</v>
      </c>
      <c r="G68" s="5" t="n">
        <v>169800</v>
      </c>
      <c r="H68" s="5" t="n">
        <v>130500</v>
      </c>
    </row>
    <row r="69">
      <c r="A69" s="4" t="n">
        <v>45988</v>
      </c>
      <c r="B69" t="inlineStr">
        <is>
          <t>East</t>
        </is>
      </c>
      <c r="C69" t="inlineStr">
        <is>
          <t>Odisha</t>
        </is>
      </c>
      <c r="D69" t="inlineStr">
        <is>
          <t>Washing machine</t>
        </is>
      </c>
      <c r="E69" t="inlineStr">
        <is>
          <t>Karan Malhotra</t>
        </is>
      </c>
      <c r="F69" t="n">
        <v>2</v>
      </c>
      <c r="G69" s="5" t="n">
        <v>50200</v>
      </c>
      <c r="H69" s="5" t="n">
        <v>35800</v>
      </c>
    </row>
    <row r="70">
      <c r="A70" s="4" t="n">
        <v>45989</v>
      </c>
      <c r="B70" t="inlineStr">
        <is>
          <t>South</t>
        </is>
      </c>
      <c r="C70" t="inlineStr">
        <is>
          <t>Karnataka</t>
        </is>
      </c>
      <c r="D70" t="inlineStr">
        <is>
          <t>Smart TV 43in</t>
        </is>
      </c>
      <c r="E70" t="inlineStr">
        <is>
          <t>Priya Sharma</t>
        </is>
      </c>
      <c r="F70" t="n">
        <v>5</v>
      </c>
      <c r="G70" s="5" t="n">
        <v>132200</v>
      </c>
      <c r="H70" s="5" t="n">
        <v>97600</v>
      </c>
    </row>
    <row r="71">
      <c r="A71" s="4" t="n">
        <v>45989</v>
      </c>
      <c r="B71" t="inlineStr">
        <is>
          <t>East</t>
        </is>
      </c>
      <c r="C71" t="inlineStr">
        <is>
          <t>Odisha</t>
        </is>
      </c>
      <c r="D71" t="inlineStr">
        <is>
          <t>Smart TV 43in</t>
        </is>
      </c>
      <c r="E71" t="inlineStr">
        <is>
          <t>Priya Sharma</t>
        </is>
      </c>
      <c r="F71" t="n">
        <v>12</v>
      </c>
      <c r="G71" s="5" t="n">
        <v>353600</v>
      </c>
      <c r="H71" s="5" t="n">
        <v>248400</v>
      </c>
    </row>
    <row r="72">
      <c r="A72" s="4" t="n">
        <v>45993</v>
      </c>
      <c r="B72" t="inlineStr">
        <is>
          <t>East</t>
        </is>
      </c>
      <c r="C72" t="inlineStr">
        <is>
          <t>Odisha</t>
        </is>
      </c>
      <c r="D72" t="inlineStr">
        <is>
          <t>Microwave oven</t>
        </is>
      </c>
      <c r="E72" t="inlineStr">
        <is>
          <t>Priya Sharma</t>
        </is>
      </c>
      <c r="F72" t="n">
        <v>10</v>
      </c>
      <c r="G72" s="5" t="n">
        <v>96900</v>
      </c>
      <c r="H72" s="5" t="n">
        <v>73700</v>
      </c>
    </row>
    <row r="73">
      <c r="A73" s="4" t="n">
        <v>45996</v>
      </c>
      <c r="B73" t="inlineStr">
        <is>
          <t>North</t>
        </is>
      </c>
      <c r="C73" t="inlineStr">
        <is>
          <t>Delhi</t>
        </is>
      </c>
      <c r="D73" t="inlineStr">
        <is>
          <t>Smart TV 43in</t>
        </is>
      </c>
      <c r="E73" t="inlineStr">
        <is>
          <t>Aditya Joshi</t>
        </is>
      </c>
      <c r="F73" t="n">
        <v>17</v>
      </c>
      <c r="G73" s="5" t="n">
        <v>478000</v>
      </c>
      <c r="H73" s="5" t="n">
        <v>352700</v>
      </c>
    </row>
    <row r="74">
      <c r="A74" s="4" t="n">
        <v>46003</v>
      </c>
      <c r="B74" t="inlineStr">
        <is>
          <t>South</t>
        </is>
      </c>
      <c r="C74" t="inlineStr">
        <is>
          <t>Tamil Nadu</t>
        </is>
      </c>
      <c r="D74" t="inlineStr">
        <is>
          <t>Smart TV 43in</t>
        </is>
      </c>
      <c r="E74" t="inlineStr">
        <is>
          <t>Sneha Kulkarni</t>
        </is>
      </c>
      <c r="F74" t="n">
        <v>3</v>
      </c>
      <c r="G74" s="5" t="n">
        <v>86800</v>
      </c>
      <c r="H74" s="5" t="n">
        <v>68400</v>
      </c>
    </row>
    <row r="75">
      <c r="A75" s="4" t="n">
        <v>46005</v>
      </c>
      <c r="B75" t="inlineStr">
        <is>
          <t>South</t>
        </is>
      </c>
      <c r="C75" t="inlineStr">
        <is>
          <t>Karnataka</t>
        </is>
      </c>
      <c r="D75" t="inlineStr">
        <is>
          <t>Smart TV 43in</t>
        </is>
      </c>
      <c r="E75" t="inlineStr">
        <is>
          <t>Divya Menon</t>
        </is>
      </c>
      <c r="F75" t="n">
        <v>13</v>
      </c>
      <c r="G75" s="5" t="n">
        <v>373800</v>
      </c>
      <c r="H75" s="5" t="n">
        <v>296200</v>
      </c>
    </row>
    <row r="76">
      <c r="A76" s="4" t="n">
        <v>46012</v>
      </c>
      <c r="B76" t="inlineStr">
        <is>
          <t>North</t>
        </is>
      </c>
      <c r="C76" t="inlineStr">
        <is>
          <t>Punjab</t>
        </is>
      </c>
      <c r="D76" t="inlineStr">
        <is>
          <t>Smart TV 43in</t>
        </is>
      </c>
      <c r="E76" t="inlineStr">
        <is>
          <t>Aditya Joshi</t>
        </is>
      </c>
      <c r="F76" t="n">
        <v>8</v>
      </c>
      <c r="G76" s="5" t="n">
        <v>213100</v>
      </c>
      <c r="H76" s="5" t="n">
        <v>165600</v>
      </c>
    </row>
    <row r="77">
      <c r="A77" s="4" t="n">
        <v>46028</v>
      </c>
      <c r="B77" t="inlineStr">
        <is>
          <t>West</t>
        </is>
      </c>
      <c r="C77" t="inlineStr">
        <is>
          <t>Maharashtra</t>
        </is>
      </c>
      <c r="D77" t="inlineStr">
        <is>
          <t>Microwave oven</t>
        </is>
      </c>
      <c r="E77" t="inlineStr">
        <is>
          <t>Aditya Joshi</t>
        </is>
      </c>
      <c r="F77" t="n">
        <v>16</v>
      </c>
      <c r="G77" s="5" t="n">
        <v>149600</v>
      </c>
      <c r="H77" s="5" t="n">
        <v>107200</v>
      </c>
    </row>
    <row r="78">
      <c r="A78" s="4" t="n">
        <v>46029</v>
      </c>
      <c r="B78" t="inlineStr">
        <is>
          <t>East</t>
        </is>
      </c>
      <c r="C78" t="inlineStr">
        <is>
          <t>West Bengal</t>
        </is>
      </c>
      <c r="D78" t="inlineStr">
        <is>
          <t>Microwave oven</t>
        </is>
      </c>
      <c r="E78" t="inlineStr">
        <is>
          <t>Divya Menon</t>
        </is>
      </c>
      <c r="F78" t="n">
        <v>11</v>
      </c>
      <c r="G78" s="5" t="n">
        <v>111000</v>
      </c>
      <c r="H78" s="5" t="n">
        <v>84300</v>
      </c>
    </row>
    <row r="79">
      <c r="A79" s="4" t="n">
        <v>46031</v>
      </c>
      <c r="B79" t="inlineStr">
        <is>
          <t>East</t>
        </is>
      </c>
      <c r="C79" t="inlineStr">
        <is>
          <t>West Bengal</t>
        </is>
      </c>
      <c r="D79" t="inlineStr">
        <is>
          <t>Refrigerator</t>
        </is>
      </c>
      <c r="E79" t="inlineStr">
        <is>
          <t>Arjun Nair</t>
        </is>
      </c>
      <c r="F79" t="n">
        <v>8</v>
      </c>
      <c r="G79" s="5" t="n">
        <v>258800</v>
      </c>
      <c r="H79" s="5" t="n">
        <v>177400</v>
      </c>
    </row>
    <row r="80">
      <c r="A80" s="4" t="n">
        <v>46034</v>
      </c>
      <c r="B80" t="inlineStr">
        <is>
          <t>East</t>
        </is>
      </c>
      <c r="C80" t="inlineStr">
        <is>
          <t>Odisha</t>
        </is>
      </c>
      <c r="D80" t="inlineStr">
        <is>
          <t>Smart TV 43in</t>
        </is>
      </c>
      <c r="E80" t="inlineStr">
        <is>
          <t>Neha Gupta</t>
        </is>
      </c>
      <c r="F80" t="n">
        <v>3</v>
      </c>
      <c r="G80" s="5" t="n">
        <v>85800</v>
      </c>
      <c r="H80" s="5" t="n">
        <v>60900</v>
      </c>
    </row>
    <row r="81">
      <c r="A81" s="4" t="n">
        <v>46034</v>
      </c>
      <c r="B81" t="inlineStr">
        <is>
          <t>East</t>
        </is>
      </c>
      <c r="C81" t="inlineStr">
        <is>
          <t>Odisha</t>
        </is>
      </c>
      <c r="D81" t="inlineStr">
        <is>
          <t>Air purifier</t>
        </is>
      </c>
      <c r="E81" t="inlineStr">
        <is>
          <t>Priya Sharma</t>
        </is>
      </c>
      <c r="F81" t="n">
        <v>14</v>
      </c>
      <c r="G81" s="5" t="n">
        <v>170800</v>
      </c>
      <c r="H81" s="5" t="n">
        <v>131000</v>
      </c>
    </row>
    <row r="82">
      <c r="A82" s="4" t="n">
        <v>46034</v>
      </c>
      <c r="B82" t="inlineStr">
        <is>
          <t>North</t>
        </is>
      </c>
      <c r="C82" t="inlineStr">
        <is>
          <t>Uttar Pradesh</t>
        </is>
      </c>
      <c r="D82" t="inlineStr">
        <is>
          <t>Smart TV 43in</t>
        </is>
      </c>
      <c r="E82" t="inlineStr">
        <is>
          <t>Rohan Mehta</t>
        </is>
      </c>
      <c r="F82" t="n">
        <v>13</v>
      </c>
      <c r="G82" s="5" t="n">
        <v>367700</v>
      </c>
      <c r="H82" s="5" t="n">
        <v>262300</v>
      </c>
    </row>
    <row r="83">
      <c r="A83" s="4" t="n">
        <v>46036</v>
      </c>
      <c r="B83" t="inlineStr">
        <is>
          <t>North</t>
        </is>
      </c>
      <c r="C83" t="inlineStr">
        <is>
          <t>Punjab</t>
        </is>
      </c>
      <c r="D83" t="inlineStr">
        <is>
          <t>Microwave oven</t>
        </is>
      </c>
      <c r="E83" t="inlineStr">
        <is>
          <t>Divya Menon</t>
        </is>
      </c>
      <c r="F83" t="n">
        <v>5</v>
      </c>
      <c r="G83" s="5" t="n">
        <v>48100</v>
      </c>
      <c r="H83" s="5" t="n">
        <v>36700</v>
      </c>
    </row>
    <row r="84">
      <c r="A84" s="4" t="n">
        <v>46037</v>
      </c>
      <c r="B84" t="inlineStr">
        <is>
          <t>West</t>
        </is>
      </c>
      <c r="C84" t="inlineStr">
        <is>
          <t>Maharashtra</t>
        </is>
      </c>
      <c r="D84" t="inlineStr">
        <is>
          <t>Smart TV 43in</t>
        </is>
      </c>
      <c r="E84" t="inlineStr">
        <is>
          <t>Priya Sharma</t>
        </is>
      </c>
      <c r="F84" t="n">
        <v>10</v>
      </c>
      <c r="G84" s="5" t="n">
        <v>282700</v>
      </c>
      <c r="H84" s="5" t="n">
        <v>220000</v>
      </c>
    </row>
    <row r="85">
      <c r="A85" s="4" t="n">
        <v>46045</v>
      </c>
      <c r="B85" t="inlineStr">
        <is>
          <t>East</t>
        </is>
      </c>
      <c r="C85" t="inlineStr">
        <is>
          <t>Odisha</t>
        </is>
      </c>
      <c r="D85" t="inlineStr">
        <is>
          <t>Refrigerator</t>
        </is>
      </c>
      <c r="E85" t="inlineStr">
        <is>
          <t>Karan Malhotra</t>
        </is>
      </c>
      <c r="F85" t="n">
        <v>18</v>
      </c>
      <c r="G85" s="5" t="n">
        <v>535000</v>
      </c>
      <c r="H85" s="5" t="n">
        <v>390200</v>
      </c>
    </row>
    <row r="86">
      <c r="A86" s="4" t="n">
        <v>46053</v>
      </c>
      <c r="B86" t="inlineStr">
        <is>
          <t>East</t>
        </is>
      </c>
      <c r="C86" t="inlineStr">
        <is>
          <t>Odisha</t>
        </is>
      </c>
      <c r="D86" t="inlineStr">
        <is>
          <t>Washing machine</t>
        </is>
      </c>
      <c r="E86" t="inlineStr">
        <is>
          <t>Ananya Iyer</t>
        </is>
      </c>
      <c r="F86" t="n">
        <v>10</v>
      </c>
      <c r="G86" s="5" t="n">
        <v>231800</v>
      </c>
      <c r="H86" s="5" t="n">
        <v>164900</v>
      </c>
    </row>
    <row r="87">
      <c r="A87" s="4" t="n">
        <v>46056</v>
      </c>
      <c r="B87" t="inlineStr">
        <is>
          <t>South</t>
        </is>
      </c>
      <c r="C87" t="inlineStr">
        <is>
          <t>Karnataka</t>
        </is>
      </c>
      <c r="D87" t="inlineStr">
        <is>
          <t>Smart TV 43in</t>
        </is>
      </c>
      <c r="E87" t="inlineStr">
        <is>
          <t>Ananya Iyer</t>
        </is>
      </c>
      <c r="F87" t="n">
        <v>18</v>
      </c>
      <c r="G87" s="5" t="n">
        <v>511100</v>
      </c>
      <c r="H87" s="5" t="n">
        <v>397800</v>
      </c>
    </row>
    <row r="88">
      <c r="A88" s="4" t="n">
        <v>46056</v>
      </c>
      <c r="B88" t="inlineStr">
        <is>
          <t>East</t>
        </is>
      </c>
      <c r="C88" t="inlineStr">
        <is>
          <t>West Bengal</t>
        </is>
      </c>
      <c r="D88" t="inlineStr">
        <is>
          <t>Refrigerator</t>
        </is>
      </c>
      <c r="E88" t="inlineStr">
        <is>
          <t>Arjun Nair</t>
        </is>
      </c>
      <c r="F88" t="n">
        <v>11</v>
      </c>
      <c r="G88" s="5" t="n">
        <v>346700</v>
      </c>
      <c r="H88" s="5" t="n">
        <v>276500</v>
      </c>
    </row>
    <row r="89">
      <c r="A89" s="4" t="n">
        <v>46061</v>
      </c>
      <c r="B89" t="inlineStr">
        <is>
          <t>North</t>
        </is>
      </c>
      <c r="C89" t="inlineStr">
        <is>
          <t>Punjab</t>
        </is>
      </c>
      <c r="D89" t="inlineStr">
        <is>
          <t>Air purifier</t>
        </is>
      </c>
      <c r="E89" t="inlineStr">
        <is>
          <t>Rohan Mehta</t>
        </is>
      </c>
      <c r="F89" t="n">
        <v>16</v>
      </c>
      <c r="G89" s="5" t="n">
        <v>184800</v>
      </c>
      <c r="H89" s="5" t="n">
        <v>133800</v>
      </c>
    </row>
    <row r="90">
      <c r="A90" s="4" t="n">
        <v>46061</v>
      </c>
      <c r="B90" t="inlineStr">
        <is>
          <t>East</t>
        </is>
      </c>
      <c r="C90" t="inlineStr">
        <is>
          <t>West Bengal</t>
        </is>
      </c>
      <c r="D90" t="inlineStr">
        <is>
          <t>Microwave oven</t>
        </is>
      </c>
      <c r="E90" t="inlineStr">
        <is>
          <t>Divya Menon</t>
        </is>
      </c>
      <c r="F90" t="n">
        <v>5</v>
      </c>
      <c r="G90" s="5" t="n">
        <v>46500</v>
      </c>
      <c r="H90" s="5" t="n">
        <v>35500</v>
      </c>
    </row>
    <row r="91">
      <c r="A91" s="4" t="n">
        <v>46065</v>
      </c>
      <c r="B91" t="inlineStr">
        <is>
          <t>North</t>
        </is>
      </c>
      <c r="C91" t="inlineStr">
        <is>
          <t>Uttar Pradesh</t>
        </is>
      </c>
      <c r="D91" t="inlineStr">
        <is>
          <t>Smart TV 43in</t>
        </is>
      </c>
      <c r="E91" t="inlineStr">
        <is>
          <t>Priya Sharma</t>
        </is>
      </c>
      <c r="F91" t="n">
        <v>5</v>
      </c>
      <c r="G91" s="5" t="n">
        <v>138200</v>
      </c>
      <c r="H91" s="5" t="n">
        <v>104900</v>
      </c>
    </row>
    <row r="92">
      <c r="A92" s="4" t="n">
        <v>46066</v>
      </c>
      <c r="B92" t="inlineStr">
        <is>
          <t>North</t>
        </is>
      </c>
      <c r="C92" t="inlineStr">
        <is>
          <t>Uttar Pradesh</t>
        </is>
      </c>
      <c r="D92" t="inlineStr">
        <is>
          <t>Microwave oven</t>
        </is>
      </c>
      <c r="E92" t="inlineStr">
        <is>
          <t>Divya Menon</t>
        </is>
      </c>
      <c r="F92" t="n">
        <v>4</v>
      </c>
      <c r="G92" s="5" t="n">
        <v>37400</v>
      </c>
      <c r="H92" s="5" t="n">
        <v>26000</v>
      </c>
    </row>
    <row r="93">
      <c r="A93" s="4" t="n">
        <v>46072</v>
      </c>
      <c r="B93" t="inlineStr">
        <is>
          <t>East</t>
        </is>
      </c>
      <c r="C93" t="inlineStr">
        <is>
          <t>West Bengal</t>
        </is>
      </c>
      <c r="D93" t="inlineStr">
        <is>
          <t>Refrigerator</t>
        </is>
      </c>
      <c r="E93" t="inlineStr">
        <is>
          <t>Ananya Iyer</t>
        </is>
      </c>
      <c r="F93" t="n">
        <v>12</v>
      </c>
      <c r="G93" s="5" t="n">
        <v>351400</v>
      </c>
      <c r="H93" s="5" t="n">
        <v>275900</v>
      </c>
    </row>
    <row r="94">
      <c r="A94" s="4" t="n">
        <v>46087</v>
      </c>
      <c r="B94" t="inlineStr">
        <is>
          <t>North</t>
        </is>
      </c>
      <c r="C94" t="inlineStr">
        <is>
          <t>Delhi</t>
        </is>
      </c>
      <c r="D94" t="inlineStr">
        <is>
          <t>Smart TV 43in</t>
        </is>
      </c>
      <c r="E94" t="inlineStr">
        <is>
          <t>Neha Gupta</t>
        </is>
      </c>
      <c r="F94" t="n">
        <v>6</v>
      </c>
      <c r="G94" s="5" t="n">
        <v>159300</v>
      </c>
      <c r="H94" s="5" t="n">
        <v>122400</v>
      </c>
    </row>
    <row r="95">
      <c r="A95" s="4" t="n">
        <v>46087</v>
      </c>
      <c r="B95" t="inlineStr">
        <is>
          <t>East</t>
        </is>
      </c>
      <c r="C95" t="inlineStr">
        <is>
          <t>Odisha</t>
        </is>
      </c>
      <c r="D95" t="inlineStr">
        <is>
          <t>Washing machine</t>
        </is>
      </c>
      <c r="E95" t="inlineStr">
        <is>
          <t>Arjun Nair</t>
        </is>
      </c>
      <c r="F95" t="n">
        <v>11</v>
      </c>
      <c r="G95" s="5" t="n">
        <v>262200</v>
      </c>
      <c r="H95" s="5" t="n">
        <v>195800</v>
      </c>
    </row>
    <row r="96">
      <c r="A96" s="4" t="n">
        <v>46092</v>
      </c>
      <c r="B96" t="inlineStr">
        <is>
          <t>East</t>
        </is>
      </c>
      <c r="C96" t="inlineStr">
        <is>
          <t>West Bengal</t>
        </is>
      </c>
      <c r="D96" t="inlineStr">
        <is>
          <t>Air purifier</t>
        </is>
      </c>
      <c r="E96" t="inlineStr">
        <is>
          <t>Priya Sharma</t>
        </is>
      </c>
      <c r="F96" t="n">
        <v>14</v>
      </c>
      <c r="G96" s="5" t="n">
        <v>169500</v>
      </c>
      <c r="H96" s="5" t="n">
        <v>123700</v>
      </c>
    </row>
    <row r="97">
      <c r="A97" s="4" t="n">
        <v>46100</v>
      </c>
      <c r="B97" t="inlineStr">
        <is>
          <t>South</t>
        </is>
      </c>
      <c r="C97" t="inlineStr">
        <is>
          <t>Telangana</t>
        </is>
      </c>
      <c r="D97" t="inlineStr">
        <is>
          <t>Microwave oven</t>
        </is>
      </c>
      <c r="E97" t="inlineStr">
        <is>
          <t>Ananya Iyer</t>
        </is>
      </c>
      <c r="F97" t="n">
        <v>5</v>
      </c>
      <c r="G97" s="5" t="n">
        <v>45900</v>
      </c>
      <c r="H97" s="5" t="n">
        <v>33800</v>
      </c>
    </row>
    <row r="98">
      <c r="A98" s="4" t="n">
        <v>46105</v>
      </c>
      <c r="B98" t="inlineStr">
        <is>
          <t>East</t>
        </is>
      </c>
      <c r="C98" t="inlineStr">
        <is>
          <t>West Bengal</t>
        </is>
      </c>
      <c r="D98" t="inlineStr">
        <is>
          <t>Air purifier</t>
        </is>
      </c>
      <c r="E98" t="inlineStr">
        <is>
          <t>Vikram Rao</t>
        </is>
      </c>
      <c r="F98" t="n">
        <v>6</v>
      </c>
      <c r="G98" s="5" t="n">
        <v>70300</v>
      </c>
      <c r="H98" s="5" t="n">
        <v>50600</v>
      </c>
    </row>
    <row r="99">
      <c r="A99" s="4" t="n">
        <v>46106</v>
      </c>
      <c r="B99" t="inlineStr">
        <is>
          <t>West</t>
        </is>
      </c>
      <c r="C99" t="inlineStr">
        <is>
          <t>Maharashtra</t>
        </is>
      </c>
      <c r="D99" t="inlineStr">
        <is>
          <t>Washing machine</t>
        </is>
      </c>
      <c r="E99" t="inlineStr">
        <is>
          <t>Karan Malhotra</t>
        </is>
      </c>
      <c r="F99" t="n">
        <v>6</v>
      </c>
      <c r="G99" s="5" t="n">
        <v>149500</v>
      </c>
      <c r="H99" s="5" t="n">
        <v>117000</v>
      </c>
    </row>
    <row r="100">
      <c r="A100" s="4" t="n">
        <v>46107</v>
      </c>
      <c r="B100" t="inlineStr">
        <is>
          <t>North</t>
        </is>
      </c>
      <c r="C100" t="inlineStr">
        <is>
          <t>Punjab</t>
        </is>
      </c>
      <c r="D100" t="inlineStr">
        <is>
          <t>Smart TV 43in</t>
        </is>
      </c>
      <c r="E100" t="inlineStr">
        <is>
          <t>Priya Sharma</t>
        </is>
      </c>
      <c r="F100" t="n">
        <v>10</v>
      </c>
      <c r="G100" s="5" t="n">
        <v>277700</v>
      </c>
      <c r="H100" s="5" t="n">
        <v>213600</v>
      </c>
    </row>
    <row r="101">
      <c r="A101" s="4" t="n">
        <v>46107</v>
      </c>
      <c r="B101" t="inlineStr">
        <is>
          <t>North</t>
        </is>
      </c>
      <c r="C101" t="inlineStr">
        <is>
          <t>Punjab</t>
        </is>
      </c>
      <c r="D101" t="inlineStr">
        <is>
          <t>Refrigerator</t>
        </is>
      </c>
      <c r="E101" t="inlineStr">
        <is>
          <t>Sneha Kulkarni</t>
        </is>
      </c>
      <c r="F101" t="n">
        <v>10</v>
      </c>
      <c r="G101" s="5" t="n">
        <v>317900</v>
      </c>
      <c r="H101" s="5" t="n">
        <v>216200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Sales dashboard, FY 2025-26 (built from the SalesData table on sheet S19-02)</t>
        </is>
      </c>
    </row>
    <row r="3">
      <c r="A3" s="3" t="inlineStr">
        <is>
          <t>Total revenue</t>
        </is>
      </c>
      <c r="B3" s="3" t="inlineStr">
        <is>
          <t>Gross margin %</t>
        </is>
      </c>
      <c r="C3" s="3" t="inlineStr">
        <is>
          <t>Orders</t>
        </is>
      </c>
      <c r="D3" s="3" t="inlineStr">
        <is>
          <t>Units</t>
        </is>
      </c>
    </row>
    <row r="4">
      <c r="A4" s="9">
        <f>SUM(SalesData[Revenue])</f>
        <v/>
      </c>
      <c r="B4" s="10">
        <f>1-SUM(SalesData[Cost])/SUM(SalesData[Revenue])</f>
        <v/>
      </c>
      <c r="C4" s="11">
        <f>ROWS(SalesData[Revenue])</f>
        <v/>
      </c>
      <c r="D4" s="11">
        <f>SUM(SalesData[Units])</f>
        <v/>
      </c>
    </row>
    <row r="6">
      <c r="A6" s="3" t="inlineStr">
        <is>
          <t>Region</t>
        </is>
      </c>
      <c r="B6" s="3" t="inlineStr">
        <is>
          <t>Revenue</t>
        </is>
      </c>
      <c r="D6" s="3" t="inlineStr">
        <is>
          <t>Month</t>
        </is>
      </c>
      <c r="E6" s="3" t="inlineStr">
        <is>
          <t>Revenue</t>
        </is>
      </c>
    </row>
    <row r="7">
      <c r="A7" t="inlineStr">
        <is>
          <t>North</t>
        </is>
      </c>
      <c r="B7" s="5">
        <f>SUMIFS(SalesData[Revenue],SalesData[Region],A7)</f>
        <v/>
      </c>
      <c r="D7" s="12" t="n">
        <v>45748</v>
      </c>
      <c r="E7" s="5">
        <f>SUMIFS(SalesData[Revenue],SalesData[Date],"&gt;="&amp;D7,SalesData[Date],"&lt;="&amp;EOMONTH(D7,0))</f>
        <v/>
      </c>
    </row>
    <row r="8">
      <c r="A8" t="inlineStr">
        <is>
          <t>South</t>
        </is>
      </c>
      <c r="B8" s="5">
        <f>SUMIFS(SalesData[Revenue],SalesData[Region],A8)</f>
        <v/>
      </c>
      <c r="D8" s="12" t="n">
        <v>45778</v>
      </c>
      <c r="E8" s="5">
        <f>SUMIFS(SalesData[Revenue],SalesData[Date],"&gt;="&amp;D8,SalesData[Date],"&lt;="&amp;EOMONTH(D8,0))</f>
        <v/>
      </c>
    </row>
    <row r="9">
      <c r="A9" t="inlineStr">
        <is>
          <t>East</t>
        </is>
      </c>
      <c r="B9" s="5">
        <f>SUMIFS(SalesData[Revenue],SalesData[Region],A9)</f>
        <v/>
      </c>
      <c r="D9" s="12" t="n">
        <v>45809</v>
      </c>
      <c r="E9" s="5">
        <f>SUMIFS(SalesData[Revenue],SalesData[Date],"&gt;="&amp;D9,SalesData[Date],"&lt;="&amp;EOMONTH(D9,0))</f>
        <v/>
      </c>
    </row>
    <row r="10">
      <c r="A10" t="inlineStr">
        <is>
          <t>West</t>
        </is>
      </c>
      <c r="B10" s="5">
        <f>SUMIFS(SalesData[Revenue],SalesData[Region],A10)</f>
        <v/>
      </c>
      <c r="D10" s="12" t="n">
        <v>45839</v>
      </c>
      <c r="E10" s="5">
        <f>SUMIFS(SalesData[Revenue],SalesData[Date],"&gt;="&amp;D10,SalesData[Date],"&lt;="&amp;EOMONTH(D10,0))</f>
        <v/>
      </c>
    </row>
    <row r="11">
      <c r="D11" s="12" t="n">
        <v>45870</v>
      </c>
      <c r="E11" s="5">
        <f>SUMIFS(SalesData[Revenue],SalesData[Date],"&gt;="&amp;D11,SalesData[Date],"&lt;="&amp;EOMONTH(D11,0))</f>
        <v/>
      </c>
    </row>
    <row r="12">
      <c r="D12" s="12" t="n">
        <v>45901</v>
      </c>
      <c r="E12" s="5">
        <f>SUMIFS(SalesData[Revenue],SalesData[Date],"&gt;="&amp;D12,SalesData[Date],"&lt;="&amp;EOMONTH(D12,0))</f>
        <v/>
      </c>
    </row>
    <row r="13">
      <c r="D13" s="12" t="n">
        <v>45931</v>
      </c>
      <c r="E13" s="5">
        <f>SUMIFS(SalesData[Revenue],SalesData[Date],"&gt;="&amp;D13,SalesData[Date],"&lt;="&amp;EOMONTH(D13,0))</f>
        <v/>
      </c>
    </row>
    <row r="14">
      <c r="D14" s="12" t="n">
        <v>45962</v>
      </c>
      <c r="E14" s="5">
        <f>SUMIFS(SalesData[Revenue],SalesData[Date],"&gt;="&amp;D14,SalesData[Date],"&lt;="&amp;EOMONTH(D14,0))</f>
        <v/>
      </c>
    </row>
    <row r="15">
      <c r="D15" s="12" t="n">
        <v>45992</v>
      </c>
      <c r="E15" s="5">
        <f>SUMIFS(SalesData[Revenue],SalesData[Date],"&gt;="&amp;D15,SalesData[Date],"&lt;="&amp;EOMONTH(D15,0))</f>
        <v/>
      </c>
    </row>
    <row r="16">
      <c r="D16" s="12" t="n">
        <v>46023</v>
      </c>
      <c r="E16" s="5">
        <f>SUMIFS(SalesData[Revenue],SalesData[Date],"&gt;="&amp;D16,SalesData[Date],"&lt;="&amp;EOMONTH(D16,0))</f>
        <v/>
      </c>
    </row>
    <row r="17">
      <c r="D17" s="12" t="n">
        <v>46054</v>
      </c>
      <c r="E17" s="5">
        <f>SUMIFS(SalesData[Revenue],SalesData[Date],"&gt;="&amp;D17,SalesData[Date],"&lt;="&amp;EOMONTH(D17,0))</f>
        <v/>
      </c>
    </row>
    <row r="18">
      <c r="D18" s="12" t="n">
        <v>46082</v>
      </c>
      <c r="E18" s="5">
        <f>SUMIFS(SalesData[Revenue],SalesData[Date],"&gt;="&amp;D18,SalesData[Date],"&lt;="&amp;EOMONTH(D18,0))</f>
        <v/>
      </c>
    </row>
    <row r="20">
      <c r="A20" s="3" t="inlineStr">
        <is>
          <t>Sales rep</t>
        </is>
      </c>
      <c r="B20" s="3" t="inlineStr">
        <is>
          <t>Revenue</t>
        </is>
      </c>
      <c r="C20" s="3" t="inlineStr">
        <is>
          <t>Rank</t>
        </is>
      </c>
    </row>
    <row r="21">
      <c r="A21" t="inlineStr">
        <is>
          <t>Rohan Mehta</t>
        </is>
      </c>
      <c r="B21" s="5">
        <f>SUMIFS(SalesData[Revenue],SalesData[Sales rep],A21)</f>
        <v/>
      </c>
      <c r="C21">
        <f>RANK.EQ(B21,$B$21:$B$30)</f>
        <v/>
      </c>
    </row>
    <row r="22">
      <c r="A22" t="inlineStr">
        <is>
          <t>Priya Sharma</t>
        </is>
      </c>
      <c r="B22" s="5">
        <f>SUMIFS(SalesData[Revenue],SalesData[Sales rep],A22)</f>
        <v/>
      </c>
      <c r="C22">
        <f>RANK.EQ(B22,$B$21:$B$30)</f>
        <v/>
      </c>
    </row>
    <row r="23">
      <c r="A23" t="inlineStr">
        <is>
          <t>Arjun Nair</t>
        </is>
      </c>
      <c r="B23" s="5">
        <f>SUMIFS(SalesData[Revenue],SalesData[Sales rep],A23)</f>
        <v/>
      </c>
      <c r="C23">
        <f>RANK.EQ(B23,$B$21:$B$30)</f>
        <v/>
      </c>
    </row>
    <row r="24">
      <c r="A24" t="inlineStr">
        <is>
          <t>Sneha Kulkarni</t>
        </is>
      </c>
      <c r="B24" s="5">
        <f>SUMIFS(SalesData[Revenue],SalesData[Sales rep],A24)</f>
        <v/>
      </c>
      <c r="C24">
        <f>RANK.EQ(B24,$B$21:$B$30)</f>
        <v/>
      </c>
    </row>
    <row r="25">
      <c r="A25" t="inlineStr">
        <is>
          <t>Vikram Rao</t>
        </is>
      </c>
      <c r="B25" s="5">
        <f>SUMIFS(SalesData[Revenue],SalesData[Sales rep],A25)</f>
        <v/>
      </c>
      <c r="C25">
        <f>RANK.EQ(B25,$B$21:$B$30)</f>
        <v/>
      </c>
    </row>
    <row r="26">
      <c r="A26" t="inlineStr">
        <is>
          <t>Ananya Iyer</t>
        </is>
      </c>
      <c r="B26" s="5">
        <f>SUMIFS(SalesData[Revenue],SalesData[Sales rep],A26)</f>
        <v/>
      </c>
      <c r="C26">
        <f>RANK.EQ(B26,$B$21:$B$30)</f>
        <v/>
      </c>
    </row>
    <row r="27">
      <c r="A27" t="inlineStr">
        <is>
          <t>Karan Malhotra</t>
        </is>
      </c>
      <c r="B27" s="5">
        <f>SUMIFS(SalesData[Revenue],SalesData[Sales rep],A27)</f>
        <v/>
      </c>
      <c r="C27">
        <f>RANK.EQ(B27,$B$21:$B$30)</f>
        <v/>
      </c>
    </row>
    <row r="28">
      <c r="A28" t="inlineStr">
        <is>
          <t>Divya Menon</t>
        </is>
      </c>
      <c r="B28" s="5">
        <f>SUMIFS(SalesData[Revenue],SalesData[Sales rep],A28)</f>
        <v/>
      </c>
      <c r="C28">
        <f>RANK.EQ(B28,$B$21:$B$30)</f>
        <v/>
      </c>
    </row>
    <row r="29">
      <c r="A29" t="inlineStr">
        <is>
          <t>Aditya Joshi</t>
        </is>
      </c>
      <c r="B29" s="5">
        <f>SUMIFS(SalesData[Revenue],SalesData[Sales rep],A29)</f>
        <v/>
      </c>
      <c r="C29">
        <f>RANK.EQ(B29,$B$21:$B$30)</f>
        <v/>
      </c>
    </row>
    <row r="30">
      <c r="A30" t="inlineStr">
        <is>
          <t>Neha Gupta</t>
        </is>
      </c>
      <c r="B30" s="5">
        <f>SUMIFS(SalesData[Revenue],SalesData[Sales rep],A30)</f>
        <v/>
      </c>
      <c r="C30">
        <f>RANK.EQ(B30,$B$21:$B$30)</f>
        <v/>
      </c>
    </row>
    <row r="32">
      <c r="A32" s="2" t="inlineStr">
        <is>
          <t>Green rows = top 5 sales reps</t>
        </is>
      </c>
    </row>
  </sheetData>
  <conditionalFormatting sqref="A21:C30">
    <cfRule type="expression" priority="1" dxfId="0">
      <formula>$C21&lt;=5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2" customWidth="1" min="4" max="4"/>
    <col width="12" customWidth="1" min="5" max="5"/>
    <col width="12" customWidth="1" min="6" max="6"/>
    <col width="8" customWidth="1" min="7" max="7"/>
    <col width="9" customWidth="1" min="8" max="8"/>
    <col width="9" customWidth="1" min="9" max="9"/>
    <col width="26" customWidth="1" min="11" max="11"/>
    <col width="15" customWidth="1" min="12" max="12"/>
  </cols>
  <sheetData>
    <row r="1">
      <c r="A1" s="3" t="inlineStr">
        <is>
          <t>Invoice No</t>
        </is>
      </c>
      <c r="B1" s="3" t="inlineStr">
        <is>
          <t>Vendor</t>
        </is>
      </c>
      <c r="C1" s="3" t="inlineStr">
        <is>
          <t>GSTIN</t>
        </is>
      </c>
      <c r="D1" s="3" t="inlineStr">
        <is>
          <t>Invoice date</t>
        </is>
      </c>
      <c r="E1" s="3" t="inlineStr">
        <is>
          <t>Due date</t>
        </is>
      </c>
      <c r="F1" s="3" t="inlineStr">
        <is>
          <t>Amount</t>
        </is>
      </c>
      <c r="G1" s="3" t="inlineStr">
        <is>
          <t>Status</t>
        </is>
      </c>
      <c r="K1" s="6" t="inlineStr">
        <is>
          <t>As-of date</t>
        </is>
      </c>
      <c r="L1" s="4" t="n">
        <v>46112</v>
      </c>
    </row>
    <row r="2">
      <c r="A2" t="inlineStr">
        <is>
          <t>INV/25-26/0311</t>
        </is>
      </c>
      <c r="B2" t="inlineStr">
        <is>
          <t>Nilgiri IT Services LLP</t>
        </is>
      </c>
      <c r="C2" t="inlineStr">
        <is>
          <t>33AAQFN5098D1ZB</t>
        </is>
      </c>
      <c r="D2" s="4" t="n">
        <v>45909</v>
      </c>
      <c r="E2" s="4" t="n">
        <v>45939</v>
      </c>
      <c r="F2" s="5" t="n">
        <v>20800</v>
      </c>
      <c r="G2" t="inlineStr">
        <is>
          <t>Unpaid</t>
        </is>
      </c>
    </row>
    <row r="3">
      <c r="A3" t="inlineStr">
        <is>
          <t>INV/25-26/0312</t>
        </is>
      </c>
      <c r="B3" t="inlineStr">
        <is>
          <t>Bharat Steel Traders</t>
        </is>
      </c>
      <c r="C3" t="inlineStr">
        <is>
          <t>24AACFB6612R1Z1</t>
        </is>
      </c>
      <c r="D3" s="4" t="n">
        <v>45916</v>
      </c>
      <c r="E3" s="4" t="n">
        <v>45946</v>
      </c>
      <c r="F3" s="5" t="n">
        <v>305300</v>
      </c>
      <c r="G3" t="inlineStr">
        <is>
          <t>Paid</t>
        </is>
      </c>
      <c r="K3" s="6" t="inlineStr">
        <is>
          <t>Check: unpaid total</t>
        </is>
      </c>
      <c r="L3" s="8" t="n"/>
    </row>
    <row r="4">
      <c r="A4" t="inlineStr">
        <is>
          <t>INV/25-26/0313</t>
        </is>
      </c>
      <c r="B4" t="inlineStr">
        <is>
          <t>Gupta Electricals</t>
        </is>
      </c>
      <c r="C4" t="inlineStr">
        <is>
          <t>07AFKPG3381L1Z6</t>
        </is>
      </c>
      <c r="D4" s="4" t="n">
        <v>45925</v>
      </c>
      <c r="E4" s="4" t="n">
        <v>45970</v>
      </c>
      <c r="F4" s="5" t="n">
        <v>244400</v>
      </c>
      <c r="G4" t="inlineStr">
        <is>
          <t>Unpaid</t>
        </is>
      </c>
      <c r="K4" s="6" t="inlineStr">
        <is>
          <t>Check: unpaid, over 90 days</t>
        </is>
      </c>
      <c r="L4" s="8" t="n"/>
    </row>
    <row r="5">
      <c r="A5" t="inlineStr">
        <is>
          <t>INV/25-26/0314</t>
        </is>
      </c>
      <c r="B5" t="inlineStr">
        <is>
          <t>Shree Packaging Pvt Ltd</t>
        </is>
      </c>
      <c r="C5" t="inlineStr">
        <is>
          <t>27AAKCS4821M1Z3</t>
        </is>
      </c>
      <c r="D5" s="4" t="n">
        <v>45936</v>
      </c>
      <c r="E5" s="4" t="n">
        <v>45951</v>
      </c>
      <c r="F5" s="5" t="n">
        <v>269100</v>
      </c>
      <c r="G5" t="inlineStr">
        <is>
          <t>Unpaid</t>
        </is>
      </c>
    </row>
    <row r="6">
      <c r="A6" t="inlineStr">
        <is>
          <t>INV/25-26/0315</t>
        </is>
      </c>
      <c r="B6" t="inlineStr">
        <is>
          <t>Gupta Electricals</t>
        </is>
      </c>
      <c r="C6" t="inlineStr">
        <is>
          <t>07AFKPG3381L1Z6</t>
        </is>
      </c>
      <c r="D6" s="4" t="n">
        <v>45943</v>
      </c>
      <c r="E6" s="4" t="n">
        <v>45988</v>
      </c>
      <c r="F6" s="5" t="n">
        <v>18400</v>
      </c>
      <c r="G6" t="inlineStr">
        <is>
          <t>Unpaid</t>
        </is>
      </c>
    </row>
    <row r="7">
      <c r="A7" t="inlineStr">
        <is>
          <t>INV/25-26/0316</t>
        </is>
      </c>
      <c r="B7" t="inlineStr">
        <is>
          <t>Kaveri Logistics</t>
        </is>
      </c>
      <c r="C7" t="inlineStr">
        <is>
          <t>29AAFFK7390P1Z8</t>
        </is>
      </c>
      <c r="D7" s="4" t="n">
        <v>45949</v>
      </c>
      <c r="E7" s="4" t="n">
        <v>45994</v>
      </c>
      <c r="F7" s="5" t="n">
        <v>403800</v>
      </c>
      <c r="G7" t="inlineStr">
        <is>
          <t>Paid</t>
        </is>
      </c>
    </row>
    <row r="8">
      <c r="A8" t="inlineStr">
        <is>
          <t>INV/25-26/0317</t>
        </is>
      </c>
      <c r="B8" t="inlineStr">
        <is>
          <t>Nilgiri IT Services LLP</t>
        </is>
      </c>
      <c r="C8" t="inlineStr">
        <is>
          <t>33AAQFN5098D1ZB</t>
        </is>
      </c>
      <c r="D8" s="4" t="n">
        <v>45951</v>
      </c>
      <c r="E8" s="4" t="n">
        <v>45981</v>
      </c>
      <c r="F8" s="5" t="n">
        <v>378600</v>
      </c>
      <c r="G8" t="inlineStr">
        <is>
          <t>Unpaid</t>
        </is>
      </c>
    </row>
    <row r="9">
      <c r="A9" t="inlineStr">
        <is>
          <t>INV/25-26/0318</t>
        </is>
      </c>
      <c r="B9" t="inlineStr">
        <is>
          <t>Bharat Steel Traders</t>
        </is>
      </c>
      <c r="C9" t="inlineStr">
        <is>
          <t>24AACFB6612R1Z1</t>
        </is>
      </c>
      <c r="D9" s="4" t="n">
        <v>45958</v>
      </c>
      <c r="E9" s="4" t="n">
        <v>45988</v>
      </c>
      <c r="F9" s="5" t="n">
        <v>59200</v>
      </c>
      <c r="G9" t="inlineStr">
        <is>
          <t>Unpaid</t>
        </is>
      </c>
    </row>
    <row r="10">
      <c r="A10" t="inlineStr">
        <is>
          <t>INV/25-26/0319</t>
        </is>
      </c>
      <c r="B10" t="inlineStr">
        <is>
          <t>Kaveri Logistics</t>
        </is>
      </c>
      <c r="C10" t="inlineStr">
        <is>
          <t>29AAFFK7390P1Z8</t>
        </is>
      </c>
      <c r="D10" s="4" t="n">
        <v>45960</v>
      </c>
      <c r="E10" s="4" t="n">
        <v>45990</v>
      </c>
      <c r="F10" s="5" t="n">
        <v>264200</v>
      </c>
      <c r="G10" t="inlineStr">
        <is>
          <t>Unpaid</t>
        </is>
      </c>
    </row>
    <row r="11">
      <c r="A11" t="inlineStr">
        <is>
          <t>INV/25-26/0320</t>
        </is>
      </c>
      <c r="B11" t="inlineStr">
        <is>
          <t>Gupta Electricals</t>
        </is>
      </c>
      <c r="C11" t="inlineStr">
        <is>
          <t>07AFKPG3381L1Z6</t>
        </is>
      </c>
      <c r="D11" s="4" t="n">
        <v>45961</v>
      </c>
      <c r="E11" s="4" t="n">
        <v>46006</v>
      </c>
      <c r="F11" s="5" t="n">
        <v>150100</v>
      </c>
      <c r="G11" t="inlineStr">
        <is>
          <t>Unpaid</t>
        </is>
      </c>
    </row>
    <row r="12">
      <c r="A12" t="inlineStr">
        <is>
          <t>INV/25-26/0321</t>
        </is>
      </c>
      <c r="B12" t="inlineStr">
        <is>
          <t>Om Sai Printers</t>
        </is>
      </c>
      <c r="C12" t="inlineStr">
        <is>
          <t>27ABMPO2245Q1ZK</t>
        </is>
      </c>
      <c r="D12" s="4" t="n">
        <v>45964</v>
      </c>
      <c r="E12" s="4" t="n">
        <v>45979</v>
      </c>
      <c r="F12" s="5" t="n">
        <v>315400</v>
      </c>
      <c r="G12" t="inlineStr">
        <is>
          <t>Unpaid</t>
        </is>
      </c>
    </row>
    <row r="13">
      <c r="A13" t="inlineStr">
        <is>
          <t>INV/25-26/0322</t>
        </is>
      </c>
      <c r="B13" t="inlineStr">
        <is>
          <t>Gupta Electricals</t>
        </is>
      </c>
      <c r="C13" t="inlineStr">
        <is>
          <t>07AFKPG3381L1Z6</t>
        </is>
      </c>
      <c r="D13" s="4" t="n">
        <v>45982</v>
      </c>
      <c r="E13" s="4" t="n">
        <v>45997</v>
      </c>
      <c r="F13" s="5" t="n">
        <v>354200</v>
      </c>
      <c r="G13" t="inlineStr">
        <is>
          <t>Unpaid</t>
        </is>
      </c>
    </row>
    <row r="14">
      <c r="A14" t="inlineStr">
        <is>
          <t>INV/25-26/0323</t>
        </is>
      </c>
      <c r="B14" t="inlineStr">
        <is>
          <t>Nilgiri IT Services LLP</t>
        </is>
      </c>
      <c r="C14" t="inlineStr">
        <is>
          <t>33AAQFN5098D1ZB</t>
        </is>
      </c>
      <c r="D14" s="4" t="n">
        <v>45991</v>
      </c>
      <c r="E14" s="4" t="n">
        <v>46006</v>
      </c>
      <c r="F14" s="5" t="n">
        <v>263300</v>
      </c>
      <c r="G14" t="inlineStr">
        <is>
          <t>Unpaid</t>
        </is>
      </c>
    </row>
    <row r="15">
      <c r="A15" t="inlineStr">
        <is>
          <t>INV/25-26/0324</t>
        </is>
      </c>
      <c r="B15" t="inlineStr">
        <is>
          <t>Om Sai Printers</t>
        </is>
      </c>
      <c r="C15" t="inlineStr">
        <is>
          <t>27ABMPO2245Q1ZK</t>
        </is>
      </c>
      <c r="D15" s="4" t="n">
        <v>45992</v>
      </c>
      <c r="E15" s="4" t="n">
        <v>46022</v>
      </c>
      <c r="F15" s="5" t="n">
        <v>180400</v>
      </c>
      <c r="G15" t="inlineStr">
        <is>
          <t>Unpaid</t>
        </is>
      </c>
    </row>
    <row r="16">
      <c r="A16" t="inlineStr">
        <is>
          <t>INV/25-26/0325</t>
        </is>
      </c>
      <c r="B16" t="inlineStr">
        <is>
          <t>Kaveri Logistics</t>
        </is>
      </c>
      <c r="C16" t="inlineStr">
        <is>
          <t>29AAFFK7390P1Z8</t>
        </is>
      </c>
      <c r="D16" s="4" t="n">
        <v>45994</v>
      </c>
      <c r="E16" s="4" t="n">
        <v>46039</v>
      </c>
      <c r="F16" s="5" t="n">
        <v>49300</v>
      </c>
      <c r="G16" t="inlineStr">
        <is>
          <t>Unpaid</t>
        </is>
      </c>
    </row>
    <row r="17">
      <c r="A17" t="inlineStr">
        <is>
          <t>INV/25-26/0326</t>
        </is>
      </c>
      <c r="B17" t="inlineStr">
        <is>
          <t>Om Sai Printers</t>
        </is>
      </c>
      <c r="C17" t="inlineStr">
        <is>
          <t>27ABMPO2245Q1ZK</t>
        </is>
      </c>
      <c r="D17" s="4" t="n">
        <v>46012</v>
      </c>
      <c r="E17" s="4" t="n">
        <v>46057</v>
      </c>
      <c r="F17" s="5" t="n">
        <v>338700</v>
      </c>
      <c r="G17" t="inlineStr">
        <is>
          <t>Unpaid</t>
        </is>
      </c>
    </row>
    <row r="18">
      <c r="A18" t="inlineStr">
        <is>
          <t>INV/25-26/0327</t>
        </is>
      </c>
      <c r="B18" t="inlineStr">
        <is>
          <t>Om Sai Printers</t>
        </is>
      </c>
      <c r="C18" t="inlineStr">
        <is>
          <t>27ABMPO2245Q1ZK</t>
        </is>
      </c>
      <c r="D18" s="4" t="n">
        <v>46039</v>
      </c>
      <c r="E18" s="4" t="n">
        <v>46054</v>
      </c>
      <c r="F18" s="5" t="n">
        <v>316200</v>
      </c>
      <c r="G18" t="inlineStr">
        <is>
          <t>Paid</t>
        </is>
      </c>
    </row>
    <row r="19">
      <c r="A19" t="inlineStr">
        <is>
          <t>INV/25-26/0328</t>
        </is>
      </c>
      <c r="B19" t="inlineStr">
        <is>
          <t>Shree Packaging Pvt Ltd</t>
        </is>
      </c>
      <c r="C19" t="inlineStr">
        <is>
          <t>27AAKCS4821M1Z3</t>
        </is>
      </c>
      <c r="D19" s="4" t="n">
        <v>46045</v>
      </c>
      <c r="E19" s="4" t="n">
        <v>46075</v>
      </c>
      <c r="F19" s="5" t="n">
        <v>163800</v>
      </c>
      <c r="G19" t="inlineStr">
        <is>
          <t>Paid</t>
        </is>
      </c>
    </row>
    <row r="20">
      <c r="A20" t="inlineStr">
        <is>
          <t>INV/25-26/0329</t>
        </is>
      </c>
      <c r="B20" t="inlineStr">
        <is>
          <t>Shree Packaging Pvt Ltd</t>
        </is>
      </c>
      <c r="C20" t="inlineStr">
        <is>
          <t>27AAKCS4821M1Z3</t>
        </is>
      </c>
      <c r="D20" s="4" t="n">
        <v>46071</v>
      </c>
      <c r="E20" s="4" t="n">
        <v>46086</v>
      </c>
      <c r="F20" s="5" t="n">
        <v>273000</v>
      </c>
      <c r="G20" t="inlineStr">
        <is>
          <t>Unpaid</t>
        </is>
      </c>
    </row>
    <row r="21">
      <c r="A21" t="inlineStr">
        <is>
          <t>INV/25-26/0330</t>
        </is>
      </c>
      <c r="B21" t="inlineStr">
        <is>
          <t>Gupta Electricals</t>
        </is>
      </c>
      <c r="C21" t="inlineStr">
        <is>
          <t>07AFKPG3381L1Z6</t>
        </is>
      </c>
      <c r="D21" s="4" t="n">
        <v>46075</v>
      </c>
      <c r="E21" s="4" t="n">
        <v>46105</v>
      </c>
      <c r="F21" s="5" t="n">
        <v>87000</v>
      </c>
      <c r="G21" t="inlineStr">
        <is>
          <t>Paid</t>
        </is>
      </c>
    </row>
    <row r="22">
      <c r="A22" t="inlineStr">
        <is>
          <t>INV/25-26/0331</t>
        </is>
      </c>
      <c r="B22" t="inlineStr">
        <is>
          <t>Bharat Steel Traders</t>
        </is>
      </c>
      <c r="C22" t="inlineStr">
        <is>
          <t>24AACFB6612R1Z1</t>
        </is>
      </c>
      <c r="D22" s="4" t="n">
        <v>46083</v>
      </c>
      <c r="E22" s="4" t="n">
        <v>46113</v>
      </c>
      <c r="F22" s="5" t="n">
        <v>240800</v>
      </c>
      <c r="G22" t="inlineStr">
        <is>
          <t>Paid</t>
        </is>
      </c>
    </row>
    <row r="23">
      <c r="A23" t="inlineStr">
        <is>
          <t>INV/25-26/0332</t>
        </is>
      </c>
      <c r="B23" t="inlineStr">
        <is>
          <t>Gupta Electricals</t>
        </is>
      </c>
      <c r="C23" t="inlineStr">
        <is>
          <t>07AFKPG3381L1Z6</t>
        </is>
      </c>
      <c r="D23" s="4" t="n">
        <v>46088</v>
      </c>
      <c r="E23" s="4" t="n">
        <v>46103</v>
      </c>
      <c r="F23" s="5" t="n">
        <v>371100</v>
      </c>
      <c r="G23" t="inlineStr">
        <is>
          <t>Paid</t>
        </is>
      </c>
    </row>
    <row r="24">
      <c r="A24" t="inlineStr">
        <is>
          <t>INV/25-26/0333</t>
        </is>
      </c>
      <c r="B24" t="inlineStr">
        <is>
          <t>Shree Packaging Pvt Ltd</t>
        </is>
      </c>
      <c r="C24" t="inlineStr">
        <is>
          <t>27AAKCS4821M1Z3</t>
        </is>
      </c>
      <c r="D24" s="4" t="n">
        <v>46088</v>
      </c>
      <c r="E24" s="4" t="n">
        <v>46118</v>
      </c>
      <c r="F24" s="5" t="n">
        <v>28300</v>
      </c>
      <c r="G24" t="inlineStr">
        <is>
          <t>Unpaid</t>
        </is>
      </c>
    </row>
    <row r="25">
      <c r="A25" t="inlineStr">
        <is>
          <t>INV/25-26/0334</t>
        </is>
      </c>
      <c r="B25" t="inlineStr">
        <is>
          <t>Shree Packaging Pvt Ltd</t>
        </is>
      </c>
      <c r="C25" t="inlineStr">
        <is>
          <t>27AAKCS4821M1Z3</t>
        </is>
      </c>
      <c r="D25" s="4" t="n">
        <v>46088</v>
      </c>
      <c r="E25" s="4" t="n">
        <v>46118</v>
      </c>
      <c r="F25" s="5" t="n">
        <v>267900</v>
      </c>
      <c r="G25" t="inlineStr">
        <is>
          <t>Unpaid</t>
        </is>
      </c>
    </row>
    <row r="26">
      <c r="A26" t="inlineStr">
        <is>
          <t>INV/25-26/0335</t>
        </is>
      </c>
      <c r="B26" t="inlineStr">
        <is>
          <t>Bharat Steel Traders</t>
        </is>
      </c>
      <c r="C26" t="inlineStr">
        <is>
          <t>24AACFB6612R1Z1</t>
        </is>
      </c>
      <c r="D26" s="4" t="n">
        <v>46095</v>
      </c>
      <c r="E26" s="4" t="n">
        <v>46110</v>
      </c>
      <c r="F26" s="5" t="n">
        <v>87500</v>
      </c>
      <c r="G26" t="inlineStr">
        <is>
          <t>Unpaid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2" customWidth="1" min="4" max="4"/>
    <col width="12" customWidth="1" min="5" max="5"/>
    <col width="12" customWidth="1" min="6" max="6"/>
    <col width="8" customWidth="1" min="7" max="7"/>
    <col width="9" customWidth="1" min="8" max="8"/>
    <col width="9" customWidth="1" min="9" max="9"/>
    <col width="26" customWidth="1" min="11" max="11"/>
    <col width="15" customWidth="1" min="12" max="12"/>
  </cols>
  <sheetData>
    <row r="1">
      <c r="A1" s="3" t="inlineStr">
        <is>
          <t>Invoice No</t>
        </is>
      </c>
      <c r="B1" s="3" t="inlineStr">
        <is>
          <t>Vendor</t>
        </is>
      </c>
      <c r="C1" s="3" t="inlineStr">
        <is>
          <t>GSTIN</t>
        </is>
      </c>
      <c r="D1" s="3" t="inlineStr">
        <is>
          <t>Invoice date</t>
        </is>
      </c>
      <c r="E1" s="3" t="inlineStr">
        <is>
          <t>Due date</t>
        </is>
      </c>
      <c r="F1" s="3" t="inlineStr">
        <is>
          <t>Amount</t>
        </is>
      </c>
      <c r="G1" s="3" t="inlineStr">
        <is>
          <t>Status</t>
        </is>
      </c>
      <c r="H1" s="3" t="inlineStr">
        <is>
          <t>Days overdue</t>
        </is>
      </c>
      <c r="I1" s="3" t="inlineStr">
        <is>
          <t>Bucket</t>
        </is>
      </c>
      <c r="K1" s="6" t="inlineStr">
        <is>
          <t>As-of date</t>
        </is>
      </c>
      <c r="L1" s="4" t="n">
        <v>46112</v>
      </c>
    </row>
    <row r="2">
      <c r="A2" t="inlineStr">
        <is>
          <t>INV/25-26/0311</t>
        </is>
      </c>
      <c r="B2" t="inlineStr">
        <is>
          <t>Nilgiri IT Services LLP</t>
        </is>
      </c>
      <c r="C2" t="inlineStr">
        <is>
          <t>33AAQFN5098D1ZB</t>
        </is>
      </c>
      <c r="D2" s="4" t="n">
        <v>45909</v>
      </c>
      <c r="E2" s="4" t="n">
        <v>45939</v>
      </c>
      <c r="F2" s="5" t="n">
        <v>20800</v>
      </c>
      <c r="G2" t="inlineStr">
        <is>
          <t>Unpaid</t>
        </is>
      </c>
      <c r="H2">
        <f>IF(G2="Unpaid",MAX(0,$L$1-E2),"")</f>
        <v/>
      </c>
      <c r="I2">
        <f>IF(G2&lt;&gt;"Unpaid","",IF(H2&lt;=30,"0-30",IF(H2&lt;=60,"31-60",IF(H2&lt;=90,"61-90","Over 90"))))</f>
        <v/>
      </c>
    </row>
    <row r="3">
      <c r="A3" t="inlineStr">
        <is>
          <t>INV/25-26/0312</t>
        </is>
      </c>
      <c r="B3" t="inlineStr">
        <is>
          <t>Bharat Steel Traders</t>
        </is>
      </c>
      <c r="C3" t="inlineStr">
        <is>
          <t>24AACFB6612R1Z1</t>
        </is>
      </c>
      <c r="D3" s="4" t="n">
        <v>45916</v>
      </c>
      <c r="E3" s="4" t="n">
        <v>45946</v>
      </c>
      <c r="F3" s="5" t="n">
        <v>305300</v>
      </c>
      <c r="G3" t="inlineStr">
        <is>
          <t>Paid</t>
        </is>
      </c>
      <c r="H3">
        <f>IF(G3="Unpaid",MAX(0,$L$1-E3),"")</f>
        <v/>
      </c>
      <c r="I3">
        <f>IF(G3&lt;&gt;"Unpaid","",IF(H3&lt;=30,"0-30",IF(H3&lt;=60,"31-60",IF(H3&lt;=90,"61-90","Over 90"))))</f>
        <v/>
      </c>
      <c r="K3" s="6" t="inlineStr">
        <is>
          <t>Check: unpaid total</t>
        </is>
      </c>
      <c r="L3" s="8">
        <f>SUMIFS(F2:F26,G2:G26,"Unpaid")</f>
        <v/>
      </c>
    </row>
    <row r="4">
      <c r="A4" t="inlineStr">
        <is>
          <t>INV/25-26/0313</t>
        </is>
      </c>
      <c r="B4" t="inlineStr">
        <is>
          <t>Gupta Electricals</t>
        </is>
      </c>
      <c r="C4" t="inlineStr">
        <is>
          <t>07AFKPG3381L1Z6</t>
        </is>
      </c>
      <c r="D4" s="4" t="n">
        <v>45925</v>
      </c>
      <c r="E4" s="4" t="n">
        <v>45970</v>
      </c>
      <c r="F4" s="5" t="n">
        <v>244400</v>
      </c>
      <c r="G4" t="inlineStr">
        <is>
          <t>Unpaid</t>
        </is>
      </c>
      <c r="H4">
        <f>IF(G4="Unpaid",MAX(0,$L$1-E4),"")</f>
        <v/>
      </c>
      <c r="I4">
        <f>IF(G4&lt;&gt;"Unpaid","",IF(H4&lt;=30,"0-30",IF(H4&lt;=60,"31-60",IF(H4&lt;=90,"61-90","Over 90"))))</f>
        <v/>
      </c>
      <c r="K4" s="6" t="inlineStr">
        <is>
          <t>Check: unpaid, over 90 days</t>
        </is>
      </c>
      <c r="L4" s="8">
        <f>SUMIFS(F2:F26,G2:G26,"Unpaid",E2:E26,"&lt;"&amp;L1-90)</f>
        <v/>
      </c>
    </row>
    <row r="5">
      <c r="A5" t="inlineStr">
        <is>
          <t>INV/25-26/0314</t>
        </is>
      </c>
      <c r="B5" t="inlineStr">
        <is>
          <t>Shree Packaging Pvt Ltd</t>
        </is>
      </c>
      <c r="C5" t="inlineStr">
        <is>
          <t>27AAKCS4821M1Z3</t>
        </is>
      </c>
      <c r="D5" s="4" t="n">
        <v>45936</v>
      </c>
      <c r="E5" s="4" t="n">
        <v>45951</v>
      </c>
      <c r="F5" s="5" t="n">
        <v>269100</v>
      </c>
      <c r="G5" t="inlineStr">
        <is>
          <t>Unpaid</t>
        </is>
      </c>
      <c r="H5">
        <f>IF(G5="Unpaid",MAX(0,$L$1-E5),"")</f>
        <v/>
      </c>
      <c r="I5">
        <f>IF(G5&lt;&gt;"Unpaid","",IF(H5&lt;=30,"0-30",IF(H5&lt;=60,"31-60",IF(H5&lt;=90,"61-90","Over 90"))))</f>
        <v/>
      </c>
    </row>
    <row r="6">
      <c r="A6" t="inlineStr">
        <is>
          <t>INV/25-26/0315</t>
        </is>
      </c>
      <c r="B6" t="inlineStr">
        <is>
          <t>Gupta Electricals</t>
        </is>
      </c>
      <c r="C6" t="inlineStr">
        <is>
          <t>07AFKPG3381L1Z6</t>
        </is>
      </c>
      <c r="D6" s="4" t="n">
        <v>45943</v>
      </c>
      <c r="E6" s="4" t="n">
        <v>45988</v>
      </c>
      <c r="F6" s="5" t="n">
        <v>18400</v>
      </c>
      <c r="G6" t="inlineStr">
        <is>
          <t>Unpaid</t>
        </is>
      </c>
      <c r="H6">
        <f>IF(G6="Unpaid",MAX(0,$L$1-E6),"")</f>
        <v/>
      </c>
      <c r="I6">
        <f>IF(G6&lt;&gt;"Unpaid","",IF(H6&lt;=30,"0-30",IF(H6&lt;=60,"31-60",IF(H6&lt;=90,"61-90","Over 90"))))</f>
        <v/>
      </c>
      <c r="K6" s="3" t="inlineStr">
        <is>
          <t>Bucket</t>
        </is>
      </c>
      <c r="L6" s="3" t="inlineStr">
        <is>
          <t>Unpaid amount</t>
        </is>
      </c>
    </row>
    <row r="7">
      <c r="A7" t="inlineStr">
        <is>
          <t>INV/25-26/0316</t>
        </is>
      </c>
      <c r="B7" t="inlineStr">
        <is>
          <t>Kaveri Logistics</t>
        </is>
      </c>
      <c r="C7" t="inlineStr">
        <is>
          <t>29AAFFK7390P1Z8</t>
        </is>
      </c>
      <c r="D7" s="4" t="n">
        <v>45949</v>
      </c>
      <c r="E7" s="4" t="n">
        <v>45994</v>
      </c>
      <c r="F7" s="5" t="n">
        <v>403800</v>
      </c>
      <c r="G7" t="inlineStr">
        <is>
          <t>Paid</t>
        </is>
      </c>
      <c r="H7">
        <f>IF(G7="Unpaid",MAX(0,$L$1-E7),"")</f>
        <v/>
      </c>
      <c r="I7">
        <f>IF(G7&lt;&gt;"Unpaid","",IF(H7&lt;=30,"0-30",IF(H7&lt;=60,"31-60",IF(H7&lt;=90,"61-90","Over 90"))))</f>
        <v/>
      </c>
      <c r="K7" t="inlineStr">
        <is>
          <t>0-30</t>
        </is>
      </c>
      <c r="L7" s="5">
        <f>SUMIFS($F$2:$F$26,$I$2:$I$26,K7)</f>
        <v/>
      </c>
    </row>
    <row r="8">
      <c r="A8" t="inlineStr">
        <is>
          <t>INV/25-26/0317</t>
        </is>
      </c>
      <c r="B8" t="inlineStr">
        <is>
          <t>Nilgiri IT Services LLP</t>
        </is>
      </c>
      <c r="C8" t="inlineStr">
        <is>
          <t>33AAQFN5098D1ZB</t>
        </is>
      </c>
      <c r="D8" s="4" t="n">
        <v>45951</v>
      </c>
      <c r="E8" s="4" t="n">
        <v>45981</v>
      </c>
      <c r="F8" s="5" t="n">
        <v>378600</v>
      </c>
      <c r="G8" t="inlineStr">
        <is>
          <t>Unpaid</t>
        </is>
      </c>
      <c r="H8">
        <f>IF(G8="Unpaid",MAX(0,$L$1-E8),"")</f>
        <v/>
      </c>
      <c r="I8">
        <f>IF(G8&lt;&gt;"Unpaid","",IF(H8&lt;=30,"0-30",IF(H8&lt;=60,"31-60",IF(H8&lt;=90,"61-90","Over 90"))))</f>
        <v/>
      </c>
      <c r="K8" t="inlineStr">
        <is>
          <t>31-60</t>
        </is>
      </c>
      <c r="L8" s="5">
        <f>SUMIFS($F$2:$F$26,$I$2:$I$26,K8)</f>
        <v/>
      </c>
    </row>
    <row r="9">
      <c r="A9" t="inlineStr">
        <is>
          <t>INV/25-26/0318</t>
        </is>
      </c>
      <c r="B9" t="inlineStr">
        <is>
          <t>Bharat Steel Traders</t>
        </is>
      </c>
      <c r="C9" t="inlineStr">
        <is>
          <t>24AACFB6612R1Z1</t>
        </is>
      </c>
      <c r="D9" s="4" t="n">
        <v>45958</v>
      </c>
      <c r="E9" s="4" t="n">
        <v>45988</v>
      </c>
      <c r="F9" s="5" t="n">
        <v>59200</v>
      </c>
      <c r="G9" t="inlineStr">
        <is>
          <t>Unpaid</t>
        </is>
      </c>
      <c r="H9">
        <f>IF(G9="Unpaid",MAX(0,$L$1-E9),"")</f>
        <v/>
      </c>
      <c r="I9">
        <f>IF(G9&lt;&gt;"Unpaid","",IF(H9&lt;=30,"0-30",IF(H9&lt;=60,"31-60",IF(H9&lt;=90,"61-90","Over 90"))))</f>
        <v/>
      </c>
      <c r="K9" t="inlineStr">
        <is>
          <t>61-90</t>
        </is>
      </c>
      <c r="L9" s="5">
        <f>SUMIFS($F$2:$F$26,$I$2:$I$26,K9)</f>
        <v/>
      </c>
    </row>
    <row r="10">
      <c r="A10" t="inlineStr">
        <is>
          <t>INV/25-26/0319</t>
        </is>
      </c>
      <c r="B10" t="inlineStr">
        <is>
          <t>Kaveri Logistics</t>
        </is>
      </c>
      <c r="C10" t="inlineStr">
        <is>
          <t>29AAFFK7390P1Z8</t>
        </is>
      </c>
      <c r="D10" s="4" t="n">
        <v>45960</v>
      </c>
      <c r="E10" s="4" t="n">
        <v>45990</v>
      </c>
      <c r="F10" s="5" t="n">
        <v>264200</v>
      </c>
      <c r="G10" t="inlineStr">
        <is>
          <t>Unpaid</t>
        </is>
      </c>
      <c r="H10">
        <f>IF(G10="Unpaid",MAX(0,$L$1-E10),"")</f>
        <v/>
      </c>
      <c r="I10">
        <f>IF(G10&lt;&gt;"Unpaid","",IF(H10&lt;=30,"0-30",IF(H10&lt;=60,"31-60",IF(H10&lt;=90,"61-90","Over 90"))))</f>
        <v/>
      </c>
      <c r="K10" t="inlineStr">
        <is>
          <t>Over 90</t>
        </is>
      </c>
      <c r="L10" s="5">
        <f>SUMIFS($F$2:$F$26,$I$2:$I$26,K10)</f>
        <v/>
      </c>
    </row>
    <row r="11">
      <c r="A11" t="inlineStr">
        <is>
          <t>INV/25-26/0320</t>
        </is>
      </c>
      <c r="B11" t="inlineStr">
        <is>
          <t>Gupta Electricals</t>
        </is>
      </c>
      <c r="C11" t="inlineStr">
        <is>
          <t>07AFKPG3381L1Z6</t>
        </is>
      </c>
      <c r="D11" s="4" t="n">
        <v>45961</v>
      </c>
      <c r="E11" s="4" t="n">
        <v>46006</v>
      </c>
      <c r="F11" s="5" t="n">
        <v>150100</v>
      </c>
      <c r="G11" t="inlineStr">
        <is>
          <t>Unpaid</t>
        </is>
      </c>
      <c r="H11">
        <f>IF(G11="Unpaid",MAX(0,$L$1-E11),"")</f>
        <v/>
      </c>
      <c r="I11">
        <f>IF(G11&lt;&gt;"Unpaid","",IF(H11&lt;=30,"0-30",IF(H11&lt;=60,"31-60",IF(H11&lt;=90,"61-90","Over 90"))))</f>
        <v/>
      </c>
    </row>
    <row r="12">
      <c r="A12" t="inlineStr">
        <is>
          <t>INV/25-26/0321</t>
        </is>
      </c>
      <c r="B12" t="inlineStr">
        <is>
          <t>Om Sai Printers</t>
        </is>
      </c>
      <c r="C12" t="inlineStr">
        <is>
          <t>27ABMPO2245Q1ZK</t>
        </is>
      </c>
      <c r="D12" s="4" t="n">
        <v>45964</v>
      </c>
      <c r="E12" s="4" t="n">
        <v>45979</v>
      </c>
      <c r="F12" s="5" t="n">
        <v>315400</v>
      </c>
      <c r="G12" t="inlineStr">
        <is>
          <t>Unpaid</t>
        </is>
      </c>
      <c r="H12">
        <f>IF(G12="Unpaid",MAX(0,$L$1-E12),"")</f>
        <v/>
      </c>
      <c r="I12">
        <f>IF(G12&lt;&gt;"Unpaid","",IF(H12&lt;=30,"0-30",IF(H12&lt;=60,"31-60",IF(H12&lt;=90,"61-90","Over 90"))))</f>
        <v/>
      </c>
    </row>
    <row r="13">
      <c r="A13" t="inlineStr">
        <is>
          <t>INV/25-26/0322</t>
        </is>
      </c>
      <c r="B13" t="inlineStr">
        <is>
          <t>Gupta Electricals</t>
        </is>
      </c>
      <c r="C13" t="inlineStr">
        <is>
          <t>07AFKPG3381L1Z6</t>
        </is>
      </c>
      <c r="D13" s="4" t="n">
        <v>45982</v>
      </c>
      <c r="E13" s="4" t="n">
        <v>45997</v>
      </c>
      <c r="F13" s="5" t="n">
        <v>354200</v>
      </c>
      <c r="G13" t="inlineStr">
        <is>
          <t>Unpaid</t>
        </is>
      </c>
      <c r="H13">
        <f>IF(G13="Unpaid",MAX(0,$L$1-E13),"")</f>
        <v/>
      </c>
      <c r="I13">
        <f>IF(G13&lt;&gt;"Unpaid","",IF(H13&lt;=30,"0-30",IF(H13&lt;=60,"31-60",IF(H13&lt;=90,"61-90","Over 90"))))</f>
        <v/>
      </c>
    </row>
    <row r="14">
      <c r="A14" t="inlineStr">
        <is>
          <t>INV/25-26/0323</t>
        </is>
      </c>
      <c r="B14" t="inlineStr">
        <is>
          <t>Nilgiri IT Services LLP</t>
        </is>
      </c>
      <c r="C14" t="inlineStr">
        <is>
          <t>33AAQFN5098D1ZB</t>
        </is>
      </c>
      <c r="D14" s="4" t="n">
        <v>45991</v>
      </c>
      <c r="E14" s="4" t="n">
        <v>46006</v>
      </c>
      <c r="F14" s="5" t="n">
        <v>263300</v>
      </c>
      <c r="G14" t="inlineStr">
        <is>
          <t>Unpaid</t>
        </is>
      </c>
      <c r="H14">
        <f>IF(G14="Unpaid",MAX(0,$L$1-E14),"")</f>
        <v/>
      </c>
      <c r="I14">
        <f>IF(G14&lt;&gt;"Unpaid","",IF(H14&lt;=30,"0-30",IF(H14&lt;=60,"31-60",IF(H14&lt;=90,"61-90","Over 90"))))</f>
        <v/>
      </c>
    </row>
    <row r="15">
      <c r="A15" t="inlineStr">
        <is>
          <t>INV/25-26/0324</t>
        </is>
      </c>
      <c r="B15" t="inlineStr">
        <is>
          <t>Om Sai Printers</t>
        </is>
      </c>
      <c r="C15" t="inlineStr">
        <is>
          <t>27ABMPO2245Q1ZK</t>
        </is>
      </c>
      <c r="D15" s="4" t="n">
        <v>45992</v>
      </c>
      <c r="E15" s="4" t="n">
        <v>46022</v>
      </c>
      <c r="F15" s="5" t="n">
        <v>180400</v>
      </c>
      <c r="G15" t="inlineStr">
        <is>
          <t>Unpaid</t>
        </is>
      </c>
      <c r="H15">
        <f>IF(G15="Unpaid",MAX(0,$L$1-E15),"")</f>
        <v/>
      </c>
      <c r="I15">
        <f>IF(G15&lt;&gt;"Unpaid","",IF(H15&lt;=30,"0-30",IF(H15&lt;=60,"31-60",IF(H15&lt;=90,"61-90","Over 90"))))</f>
        <v/>
      </c>
    </row>
    <row r="16">
      <c r="A16" t="inlineStr">
        <is>
          <t>INV/25-26/0325</t>
        </is>
      </c>
      <c r="B16" t="inlineStr">
        <is>
          <t>Kaveri Logistics</t>
        </is>
      </c>
      <c r="C16" t="inlineStr">
        <is>
          <t>29AAFFK7390P1Z8</t>
        </is>
      </c>
      <c r="D16" s="4" t="n">
        <v>45994</v>
      </c>
      <c r="E16" s="4" t="n">
        <v>46039</v>
      </c>
      <c r="F16" s="5" t="n">
        <v>49300</v>
      </c>
      <c r="G16" t="inlineStr">
        <is>
          <t>Unpaid</t>
        </is>
      </c>
      <c r="H16">
        <f>IF(G16="Unpaid",MAX(0,$L$1-E16),"")</f>
        <v/>
      </c>
      <c r="I16">
        <f>IF(G16&lt;&gt;"Unpaid","",IF(H16&lt;=30,"0-30",IF(H16&lt;=60,"31-60",IF(H16&lt;=90,"61-90","Over 90"))))</f>
        <v/>
      </c>
    </row>
    <row r="17">
      <c r="A17" t="inlineStr">
        <is>
          <t>INV/25-26/0326</t>
        </is>
      </c>
      <c r="B17" t="inlineStr">
        <is>
          <t>Om Sai Printers</t>
        </is>
      </c>
      <c r="C17" t="inlineStr">
        <is>
          <t>27ABMPO2245Q1ZK</t>
        </is>
      </c>
      <c r="D17" s="4" t="n">
        <v>46012</v>
      </c>
      <c r="E17" s="4" t="n">
        <v>46057</v>
      </c>
      <c r="F17" s="5" t="n">
        <v>338700</v>
      </c>
      <c r="G17" t="inlineStr">
        <is>
          <t>Unpaid</t>
        </is>
      </c>
      <c r="H17">
        <f>IF(G17="Unpaid",MAX(0,$L$1-E17),"")</f>
        <v/>
      </c>
      <c r="I17">
        <f>IF(G17&lt;&gt;"Unpaid","",IF(H17&lt;=30,"0-30",IF(H17&lt;=60,"31-60",IF(H17&lt;=90,"61-90","Over 90"))))</f>
        <v/>
      </c>
    </row>
    <row r="18">
      <c r="A18" t="inlineStr">
        <is>
          <t>INV/25-26/0327</t>
        </is>
      </c>
      <c r="B18" t="inlineStr">
        <is>
          <t>Om Sai Printers</t>
        </is>
      </c>
      <c r="C18" t="inlineStr">
        <is>
          <t>27ABMPO2245Q1ZK</t>
        </is>
      </c>
      <c r="D18" s="4" t="n">
        <v>46039</v>
      </c>
      <c r="E18" s="4" t="n">
        <v>46054</v>
      </c>
      <c r="F18" s="5" t="n">
        <v>316200</v>
      </c>
      <c r="G18" t="inlineStr">
        <is>
          <t>Paid</t>
        </is>
      </c>
      <c r="H18">
        <f>IF(G18="Unpaid",MAX(0,$L$1-E18),"")</f>
        <v/>
      </c>
      <c r="I18">
        <f>IF(G18&lt;&gt;"Unpaid","",IF(H18&lt;=30,"0-30",IF(H18&lt;=60,"31-60",IF(H18&lt;=90,"61-90","Over 90"))))</f>
        <v/>
      </c>
    </row>
    <row r="19">
      <c r="A19" t="inlineStr">
        <is>
          <t>INV/25-26/0328</t>
        </is>
      </c>
      <c r="B19" t="inlineStr">
        <is>
          <t>Shree Packaging Pvt Ltd</t>
        </is>
      </c>
      <c r="C19" t="inlineStr">
        <is>
          <t>27AAKCS4821M1Z3</t>
        </is>
      </c>
      <c r="D19" s="4" t="n">
        <v>46045</v>
      </c>
      <c r="E19" s="4" t="n">
        <v>46075</v>
      </c>
      <c r="F19" s="5" t="n">
        <v>163800</v>
      </c>
      <c r="G19" t="inlineStr">
        <is>
          <t>Paid</t>
        </is>
      </c>
      <c r="H19">
        <f>IF(G19="Unpaid",MAX(0,$L$1-E19),"")</f>
        <v/>
      </c>
      <c r="I19">
        <f>IF(G19&lt;&gt;"Unpaid","",IF(H19&lt;=30,"0-30",IF(H19&lt;=60,"31-60",IF(H19&lt;=90,"61-90","Over 90"))))</f>
        <v/>
      </c>
    </row>
    <row r="20">
      <c r="A20" t="inlineStr">
        <is>
          <t>INV/25-26/0329</t>
        </is>
      </c>
      <c r="B20" t="inlineStr">
        <is>
          <t>Shree Packaging Pvt Ltd</t>
        </is>
      </c>
      <c r="C20" t="inlineStr">
        <is>
          <t>27AAKCS4821M1Z3</t>
        </is>
      </c>
      <c r="D20" s="4" t="n">
        <v>46071</v>
      </c>
      <c r="E20" s="4" t="n">
        <v>46086</v>
      </c>
      <c r="F20" s="5" t="n">
        <v>273000</v>
      </c>
      <c r="G20" t="inlineStr">
        <is>
          <t>Unpaid</t>
        </is>
      </c>
      <c r="H20">
        <f>IF(G20="Unpaid",MAX(0,$L$1-E20),"")</f>
        <v/>
      </c>
      <c r="I20">
        <f>IF(G20&lt;&gt;"Unpaid","",IF(H20&lt;=30,"0-30",IF(H20&lt;=60,"31-60",IF(H20&lt;=90,"61-90","Over 90"))))</f>
        <v/>
      </c>
    </row>
    <row r="21">
      <c r="A21" t="inlineStr">
        <is>
          <t>INV/25-26/0330</t>
        </is>
      </c>
      <c r="B21" t="inlineStr">
        <is>
          <t>Gupta Electricals</t>
        </is>
      </c>
      <c r="C21" t="inlineStr">
        <is>
          <t>07AFKPG3381L1Z6</t>
        </is>
      </c>
      <c r="D21" s="4" t="n">
        <v>46075</v>
      </c>
      <c r="E21" s="4" t="n">
        <v>46105</v>
      </c>
      <c r="F21" s="5" t="n">
        <v>87000</v>
      </c>
      <c r="G21" t="inlineStr">
        <is>
          <t>Paid</t>
        </is>
      </c>
      <c r="H21">
        <f>IF(G21="Unpaid",MAX(0,$L$1-E21),"")</f>
        <v/>
      </c>
      <c r="I21">
        <f>IF(G21&lt;&gt;"Unpaid","",IF(H21&lt;=30,"0-30",IF(H21&lt;=60,"31-60",IF(H21&lt;=90,"61-90","Over 90"))))</f>
        <v/>
      </c>
    </row>
    <row r="22">
      <c r="A22" t="inlineStr">
        <is>
          <t>INV/25-26/0331</t>
        </is>
      </c>
      <c r="B22" t="inlineStr">
        <is>
          <t>Bharat Steel Traders</t>
        </is>
      </c>
      <c r="C22" t="inlineStr">
        <is>
          <t>24AACFB6612R1Z1</t>
        </is>
      </c>
      <c r="D22" s="4" t="n">
        <v>46083</v>
      </c>
      <c r="E22" s="4" t="n">
        <v>46113</v>
      </c>
      <c r="F22" s="5" t="n">
        <v>240800</v>
      </c>
      <c r="G22" t="inlineStr">
        <is>
          <t>Paid</t>
        </is>
      </c>
      <c r="H22">
        <f>IF(G22="Unpaid",MAX(0,$L$1-E22),"")</f>
        <v/>
      </c>
      <c r="I22">
        <f>IF(G22&lt;&gt;"Unpaid","",IF(H22&lt;=30,"0-30",IF(H22&lt;=60,"31-60",IF(H22&lt;=90,"61-90","Over 90"))))</f>
        <v/>
      </c>
    </row>
    <row r="23">
      <c r="A23" t="inlineStr">
        <is>
          <t>INV/25-26/0332</t>
        </is>
      </c>
      <c r="B23" t="inlineStr">
        <is>
          <t>Gupta Electricals</t>
        </is>
      </c>
      <c r="C23" t="inlineStr">
        <is>
          <t>07AFKPG3381L1Z6</t>
        </is>
      </c>
      <c r="D23" s="4" t="n">
        <v>46088</v>
      </c>
      <c r="E23" s="4" t="n">
        <v>46103</v>
      </c>
      <c r="F23" s="5" t="n">
        <v>371100</v>
      </c>
      <c r="G23" t="inlineStr">
        <is>
          <t>Paid</t>
        </is>
      </c>
      <c r="H23">
        <f>IF(G23="Unpaid",MAX(0,$L$1-E23),"")</f>
        <v/>
      </c>
      <c r="I23">
        <f>IF(G23&lt;&gt;"Unpaid","",IF(H23&lt;=30,"0-30",IF(H23&lt;=60,"31-60",IF(H23&lt;=90,"61-90","Over 90"))))</f>
        <v/>
      </c>
    </row>
    <row r="24">
      <c r="A24" t="inlineStr">
        <is>
          <t>INV/25-26/0333</t>
        </is>
      </c>
      <c r="B24" t="inlineStr">
        <is>
          <t>Shree Packaging Pvt Ltd</t>
        </is>
      </c>
      <c r="C24" t="inlineStr">
        <is>
          <t>27AAKCS4821M1Z3</t>
        </is>
      </c>
      <c r="D24" s="4" t="n">
        <v>46088</v>
      </c>
      <c r="E24" s="4" t="n">
        <v>46118</v>
      </c>
      <c r="F24" s="5" t="n">
        <v>28300</v>
      </c>
      <c r="G24" t="inlineStr">
        <is>
          <t>Unpaid</t>
        </is>
      </c>
      <c r="H24">
        <f>IF(G24="Unpaid",MAX(0,$L$1-E24),"")</f>
        <v/>
      </c>
      <c r="I24">
        <f>IF(G24&lt;&gt;"Unpaid","",IF(H24&lt;=30,"0-30",IF(H24&lt;=60,"31-60",IF(H24&lt;=90,"61-90","Over 90"))))</f>
        <v/>
      </c>
    </row>
    <row r="25">
      <c r="A25" t="inlineStr">
        <is>
          <t>INV/25-26/0334</t>
        </is>
      </c>
      <c r="B25" t="inlineStr">
        <is>
          <t>Shree Packaging Pvt Ltd</t>
        </is>
      </c>
      <c r="C25" t="inlineStr">
        <is>
          <t>27AAKCS4821M1Z3</t>
        </is>
      </c>
      <c r="D25" s="4" t="n">
        <v>46088</v>
      </c>
      <c r="E25" s="4" t="n">
        <v>46118</v>
      </c>
      <c r="F25" s="5" t="n">
        <v>267900</v>
      </c>
      <c r="G25" t="inlineStr">
        <is>
          <t>Unpaid</t>
        </is>
      </c>
      <c r="H25">
        <f>IF(G25="Unpaid",MAX(0,$L$1-E25),"")</f>
        <v/>
      </c>
      <c r="I25">
        <f>IF(G25&lt;&gt;"Unpaid","",IF(H25&lt;=30,"0-30",IF(H25&lt;=60,"31-60",IF(H25&lt;=90,"61-90","Over 90"))))</f>
        <v/>
      </c>
    </row>
    <row r="26">
      <c r="A26" t="inlineStr">
        <is>
          <t>INV/25-26/0335</t>
        </is>
      </c>
      <c r="B26" t="inlineStr">
        <is>
          <t>Bharat Steel Traders</t>
        </is>
      </c>
      <c r="C26" t="inlineStr">
        <is>
          <t>24AACFB6612R1Z1</t>
        </is>
      </c>
      <c r="D26" s="4" t="n">
        <v>46095</v>
      </c>
      <c r="E26" s="4" t="n">
        <v>46110</v>
      </c>
      <c r="F26" s="5" t="n">
        <v>87500</v>
      </c>
      <c r="G26" t="inlineStr">
        <is>
          <t>Unpaid</t>
        </is>
      </c>
      <c r="H26">
        <f>IF(G26="Unpaid",MAX(0,$L$1-E26),"")</f>
        <v/>
      </c>
      <c r="I26">
        <f>IF(G26&lt;&gt;"Unpaid","",IF(H26&lt;=30,"0-30",IF(H26&lt;=60,"31-60",IF(H26&lt;=90,"61-90","Over 90"))))</f>
        <v/>
      </c>
    </row>
  </sheetData>
  <conditionalFormatting sqref="I2:I26">
    <cfRule type="cellIs" priority="1" operator="equal" dxfId="1">
      <formula>"Over 90"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3" customWidth="1" min="4" max="4"/>
    <col width="8" customWidth="1" min="5" max="5"/>
    <col width="12" customWidth="1" min="6" max="6"/>
    <col width="26" customWidth="1" min="8" max="8"/>
    <col width="14" customWidth="1" min="9" max="9"/>
    <col width="15" customWidth="1" min="11" max="11"/>
  </cols>
  <sheetData>
    <row r="1">
      <c r="A1" s="3" t="inlineStr">
        <is>
          <t>Invoice No</t>
        </is>
      </c>
      <c r="B1" s="3" t="inlineStr">
        <is>
          <t>Customer</t>
        </is>
      </c>
      <c r="C1" s="3" t="inlineStr">
        <is>
          <t>State</t>
        </is>
      </c>
      <c r="D1" s="3" t="inlineStr">
        <is>
          <t>Taxable value</t>
        </is>
      </c>
      <c r="E1" s="3" t="inlineStr">
        <is>
          <t>GST rate</t>
        </is>
      </c>
      <c r="F1" s="3" t="inlineStr">
        <is>
          <t>GST amount</t>
        </is>
      </c>
      <c r="H1" s="6" t="inlineStr">
        <is>
          <t>Summary built by AI last week</t>
        </is>
      </c>
      <c r="K1" s="6" t="inlineStr">
        <is>
          <t>Your hand check</t>
        </is>
      </c>
    </row>
    <row r="2">
      <c r="A2" t="inlineStr">
        <is>
          <t>TI-2601</t>
        </is>
      </c>
      <c r="B2" t="inlineStr">
        <is>
          <t>Sai Enterprises</t>
        </is>
      </c>
      <c r="C2" t="inlineStr">
        <is>
          <t>Maharashtra</t>
        </is>
      </c>
      <c r="D2" s="5" t="n">
        <v>300200</v>
      </c>
      <c r="E2" s="13" t="n">
        <v>0.05</v>
      </c>
      <c r="F2" s="5">
        <f>D2*E2</f>
        <v/>
      </c>
      <c r="H2" t="inlineStr">
        <is>
          <t>Total taxable value</t>
        </is>
      </c>
      <c r="I2" s="5">
        <f>SUM(D2:D20)</f>
        <v/>
      </c>
      <c r="K2" s="8" t="n"/>
    </row>
    <row r="3">
      <c r="A3" t="inlineStr">
        <is>
          <t>TI-2602</t>
        </is>
      </c>
      <c r="B3" t="inlineStr">
        <is>
          <t>Sai Enterprises</t>
        </is>
      </c>
      <c r="C3" t="inlineStr">
        <is>
          <t>Maharashtra</t>
        </is>
      </c>
      <c r="D3" s="5" t="n">
        <v>310000</v>
      </c>
      <c r="E3" s="13" t="n">
        <v>0.05</v>
      </c>
      <c r="F3" s="5">
        <f>D3*E3</f>
        <v/>
      </c>
      <c r="H3" t="inlineStr">
        <is>
          <t>Total GST</t>
        </is>
      </c>
      <c r="I3" s="5">
        <f>SUM(F2:F21)</f>
        <v/>
      </c>
    </row>
    <row r="4">
      <c r="A4" t="inlineStr">
        <is>
          <t>TI-2603</t>
        </is>
      </c>
      <c r="B4" t="inlineStr">
        <is>
          <t>Navkar Supplies</t>
        </is>
      </c>
      <c r="C4" t="inlineStr">
        <is>
          <t>Gujarat</t>
        </is>
      </c>
      <c r="D4" s="5" t="n">
        <v>370900</v>
      </c>
      <c r="E4" s="13" t="n">
        <v>0.05</v>
      </c>
      <c r="F4" s="5">
        <f>D4*E4</f>
        <v/>
      </c>
      <c r="H4" t="inlineStr">
        <is>
          <t>Total invoice value</t>
        </is>
      </c>
      <c r="I4" s="5">
        <f>I2+I3</f>
        <v/>
      </c>
    </row>
    <row r="5">
      <c r="A5" t="inlineStr">
        <is>
          <t>TI-2604</t>
        </is>
      </c>
      <c r="B5" t="inlineStr">
        <is>
          <t>Royal Book House</t>
        </is>
      </c>
      <c r="C5" t="inlineStr">
        <is>
          <t>Delhi</t>
        </is>
      </c>
      <c r="D5" s="5" t="n">
        <v>199600</v>
      </c>
      <c r="E5" s="13" t="n">
        <v>0.18</v>
      </c>
      <c r="F5" s="5">
        <f>D5*E5</f>
        <v/>
      </c>
      <c r="H5" t="inlineStr">
        <is>
          <t>Average invoice value</t>
        </is>
      </c>
      <c r="I5" s="5">
        <f>I4/19</f>
        <v/>
      </c>
      <c r="K5" s="8" t="n"/>
    </row>
    <row r="6">
      <c r="A6" t="inlineStr">
        <is>
          <t>TI-2605</t>
        </is>
      </c>
      <c r="B6" t="inlineStr">
        <is>
          <t>Lakshmi Agencies</t>
        </is>
      </c>
      <c r="C6" t="inlineStr">
        <is>
          <t>Tamil Nadu</t>
        </is>
      </c>
      <c r="D6" s="5" t="n">
        <v>333000</v>
      </c>
      <c r="E6" s="13" t="n">
        <v>0.05</v>
      </c>
      <c r="F6" s="5">
        <f>D6*E6</f>
        <v/>
      </c>
      <c r="H6" t="inlineStr">
        <is>
          <t>Maharashtra taxable value</t>
        </is>
      </c>
      <c r="I6" s="5">
        <f>SUMIFS(D2:D21,C2:C21,"Maharashtra")</f>
        <v/>
      </c>
    </row>
    <row r="7">
      <c r="A7" t="inlineStr">
        <is>
          <t>TI-2606</t>
        </is>
      </c>
      <c r="B7" t="inlineStr">
        <is>
          <t>Ganga Retail</t>
        </is>
      </c>
      <c r="C7" t="inlineStr">
        <is>
          <t>Uttar Pradesh</t>
        </is>
      </c>
      <c r="D7" s="5" t="n">
        <v>296600</v>
      </c>
      <c r="E7" s="13" t="n">
        <v>0.18</v>
      </c>
      <c r="F7" s="5">
        <f>D7*E7</f>
        <v/>
      </c>
    </row>
    <row r="8">
      <c r="A8" t="inlineStr">
        <is>
          <t>TI-2607</t>
        </is>
      </c>
      <c r="B8" t="inlineStr">
        <is>
          <t>Ganga Retail</t>
        </is>
      </c>
      <c r="C8" t="inlineStr">
        <is>
          <t>Uttar Pradesh</t>
        </is>
      </c>
      <c r="D8" s="5" t="n">
        <v>63500</v>
      </c>
      <c r="E8" s="13" t="n">
        <v>0.05</v>
      </c>
      <c r="F8" s="5">
        <f>D8*E8</f>
        <v/>
      </c>
    </row>
    <row r="9">
      <c r="A9" t="inlineStr">
        <is>
          <t>TI-2608</t>
        </is>
      </c>
      <c r="B9" t="inlineStr">
        <is>
          <t>Kaveri Traders</t>
        </is>
      </c>
      <c r="C9" t="inlineStr">
        <is>
          <t>Karnataka</t>
        </is>
      </c>
      <c r="D9" s="5" t="n">
        <v>198600</v>
      </c>
      <c r="E9" s="13" t="n">
        <v>0.18</v>
      </c>
      <c r="F9" s="5">
        <f>D9*E9</f>
        <v/>
      </c>
    </row>
    <row r="10">
      <c r="A10" t="inlineStr">
        <is>
          <t>TI-2609</t>
        </is>
      </c>
      <c r="B10" t="inlineStr">
        <is>
          <t>Sai Enterprises</t>
        </is>
      </c>
      <c r="C10" t="inlineStr">
        <is>
          <t>Maharashtra</t>
        </is>
      </c>
      <c r="D10" s="5" t="n">
        <v>114100</v>
      </c>
      <c r="E10" s="13" t="n">
        <v>0.18</v>
      </c>
      <c r="F10" s="5">
        <f>D10*E10</f>
        <v/>
      </c>
    </row>
    <row r="11">
      <c r="A11" t="inlineStr">
        <is>
          <t>TI-2610</t>
        </is>
      </c>
      <c r="B11" t="inlineStr">
        <is>
          <t>Sai Enterprises</t>
        </is>
      </c>
      <c r="C11" t="inlineStr">
        <is>
          <t>Maharashtra</t>
        </is>
      </c>
      <c r="D11" s="5" t="n">
        <v>21900</v>
      </c>
      <c r="E11" s="13" t="n">
        <v>0.18</v>
      </c>
      <c r="F11" s="5">
        <f>D11*E11</f>
        <v/>
      </c>
    </row>
    <row r="12">
      <c r="A12" t="inlineStr">
        <is>
          <t>TI-2611</t>
        </is>
      </c>
      <c r="B12" t="inlineStr">
        <is>
          <t>Navkar Supplies</t>
        </is>
      </c>
      <c r="C12" t="inlineStr">
        <is>
          <t>Gujarat</t>
        </is>
      </c>
      <c r="D12" s="5" t="n">
        <v>77800</v>
      </c>
      <c r="E12" s="13" t="n">
        <v>0.18</v>
      </c>
      <c r="F12" s="5">
        <f>D12*E12</f>
        <v/>
      </c>
    </row>
    <row r="13">
      <c r="A13" t="inlineStr">
        <is>
          <t>TI-2612</t>
        </is>
      </c>
      <c r="B13" t="inlineStr">
        <is>
          <t>Mahalaxmi Mart</t>
        </is>
      </c>
      <c r="C13" t="inlineStr">
        <is>
          <t>Maharashtra</t>
        </is>
      </c>
      <c r="D13" s="5" t="n">
        <v>376600</v>
      </c>
      <c r="E13" s="13" t="n">
        <v>0.05</v>
      </c>
      <c r="F13" s="5">
        <f>D13*E13</f>
        <v/>
      </c>
    </row>
    <row r="14">
      <c r="A14" t="inlineStr">
        <is>
          <t>TI-2613</t>
        </is>
      </c>
      <c r="B14" t="inlineStr">
        <is>
          <t>Sai Enterprises</t>
        </is>
      </c>
      <c r="C14" t="inlineStr">
        <is>
          <t>Maharashtra</t>
        </is>
      </c>
      <c r="D14" s="5" t="n">
        <v>328700</v>
      </c>
      <c r="E14" s="13" t="n">
        <v>0.05</v>
      </c>
      <c r="F14" s="5">
        <f>D14*E14</f>
        <v/>
      </c>
    </row>
    <row r="15">
      <c r="A15" t="inlineStr">
        <is>
          <t>TI-2614</t>
        </is>
      </c>
      <c r="B15" t="inlineStr">
        <is>
          <t>Sai Enterprises</t>
        </is>
      </c>
      <c r="C15" t="inlineStr">
        <is>
          <t>Maharashtra</t>
        </is>
      </c>
      <c r="D15" s="5" t="n">
        <v>33600</v>
      </c>
      <c r="E15" s="13" t="n">
        <v>0.18</v>
      </c>
      <c r="F15" s="5">
        <f>D15*E15</f>
        <v/>
      </c>
    </row>
    <row r="16">
      <c r="A16" t="inlineStr">
        <is>
          <t>TI-2615</t>
        </is>
      </c>
      <c r="B16" t="inlineStr">
        <is>
          <t>Ganga Retail</t>
        </is>
      </c>
      <c r="C16" t="inlineStr">
        <is>
          <t>Uttar Pradesh</t>
        </is>
      </c>
      <c r="D16" s="5" t="n">
        <v>63300</v>
      </c>
      <c r="E16" s="13" t="n">
        <v>0.18</v>
      </c>
      <c r="F16" s="5">
        <f>D16*E16</f>
        <v/>
      </c>
    </row>
    <row r="17">
      <c r="A17" t="inlineStr">
        <is>
          <t>TI-2616</t>
        </is>
      </c>
      <c r="B17" t="inlineStr">
        <is>
          <t>Mahalaxmi Mart</t>
        </is>
      </c>
      <c r="C17" t="inlineStr">
        <is>
          <t>Maharashtra</t>
        </is>
      </c>
      <c r="D17" s="5" t="n">
        <v>112700</v>
      </c>
      <c r="E17" s="13" t="n">
        <v>0.18</v>
      </c>
      <c r="F17" s="5">
        <f>D17*E17</f>
        <v/>
      </c>
    </row>
    <row r="18">
      <c r="A18" t="inlineStr">
        <is>
          <t>TI-2617</t>
        </is>
      </c>
      <c r="B18" t="inlineStr">
        <is>
          <t>Navkar Supplies</t>
        </is>
      </c>
      <c r="C18" t="inlineStr">
        <is>
          <t>Gujarat</t>
        </is>
      </c>
      <c r="D18" s="5" t="n">
        <v>277800</v>
      </c>
      <c r="E18" s="13" t="n">
        <v>0.18</v>
      </c>
      <c r="F18" s="5">
        <f>D18*E18</f>
        <v/>
      </c>
    </row>
    <row r="19">
      <c r="A19" t="inlineStr">
        <is>
          <t>TI-2618</t>
        </is>
      </c>
      <c r="B19" t="inlineStr">
        <is>
          <t>Kaveri Traders</t>
        </is>
      </c>
      <c r="C19" t="inlineStr">
        <is>
          <t>Karnataka</t>
        </is>
      </c>
      <c r="D19" s="5" t="n">
        <v>270300</v>
      </c>
      <c r="E19" s="13" t="n">
        <v>0.18</v>
      </c>
      <c r="F19" s="5">
        <f>D19*E19</f>
        <v/>
      </c>
    </row>
    <row r="20">
      <c r="A20" t="inlineStr">
        <is>
          <t>TI-2619</t>
        </is>
      </c>
      <c r="B20" t="inlineStr">
        <is>
          <t>Lakshmi Agencies</t>
        </is>
      </c>
      <c r="C20" t="inlineStr">
        <is>
          <t>Tamil Nadu</t>
        </is>
      </c>
      <c r="D20" s="5" t="n">
        <v>340200</v>
      </c>
      <c r="E20" s="13" t="n">
        <v>0.18</v>
      </c>
      <c r="F20" s="5">
        <f>D20*E20</f>
        <v/>
      </c>
    </row>
    <row r="21">
      <c r="A21" t="inlineStr">
        <is>
          <t>TI-2620</t>
        </is>
      </c>
      <c r="B21" t="inlineStr">
        <is>
          <t>Ganga Retail</t>
        </is>
      </c>
      <c r="C21" t="inlineStr">
        <is>
          <t>Maharashtra</t>
        </is>
      </c>
      <c r="D21" s="5" t="n">
        <v>412500</v>
      </c>
      <c r="E21" s="13" t="n">
        <v>0.05</v>
      </c>
      <c r="F21" s="5">
        <f>D21*E21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3" customWidth="1" min="4" max="4"/>
    <col width="8" customWidth="1" min="5" max="5"/>
    <col width="12" customWidth="1" min="6" max="6"/>
    <col width="26" customWidth="1" min="8" max="8"/>
    <col width="14" customWidth="1" min="9" max="9"/>
    <col width="15" customWidth="1" min="11" max="11"/>
  </cols>
  <sheetData>
    <row r="1">
      <c r="A1" s="3" t="inlineStr">
        <is>
          <t>Invoice No</t>
        </is>
      </c>
      <c r="B1" s="3" t="inlineStr">
        <is>
          <t>Customer</t>
        </is>
      </c>
      <c r="C1" s="3" t="inlineStr">
        <is>
          <t>State</t>
        </is>
      </c>
      <c r="D1" s="3" t="inlineStr">
        <is>
          <t>Taxable value</t>
        </is>
      </c>
      <c r="E1" s="3" t="inlineStr">
        <is>
          <t>GST rate</t>
        </is>
      </c>
      <c r="F1" s="3" t="inlineStr">
        <is>
          <t>GST amount</t>
        </is>
      </c>
      <c r="H1" s="6" t="inlineStr">
        <is>
          <t>Summary built by AI last week</t>
        </is>
      </c>
      <c r="K1" s="6" t="inlineStr">
        <is>
          <t>Your hand check</t>
        </is>
      </c>
    </row>
    <row r="2">
      <c r="A2" t="inlineStr">
        <is>
          <t>TI-2601</t>
        </is>
      </c>
      <c r="B2" t="inlineStr">
        <is>
          <t>Sai Enterprises</t>
        </is>
      </c>
      <c r="C2" t="inlineStr">
        <is>
          <t>Maharashtra</t>
        </is>
      </c>
      <c r="D2" s="5" t="n">
        <v>300200</v>
      </c>
      <c r="E2" s="13" t="n">
        <v>0.05</v>
      </c>
      <c r="F2" s="5">
        <f>D2*E2</f>
        <v/>
      </c>
      <c r="H2" t="inlineStr">
        <is>
          <t>Total taxable value</t>
        </is>
      </c>
      <c r="I2" s="5">
        <f>SUM(D2:D21)</f>
        <v/>
      </c>
      <c r="K2" s="8">
        <f>SUM(D2:D21)</f>
        <v/>
      </c>
    </row>
    <row r="3">
      <c r="A3" t="inlineStr">
        <is>
          <t>TI-2602</t>
        </is>
      </c>
      <c r="B3" t="inlineStr">
        <is>
          <t>Sai Enterprises</t>
        </is>
      </c>
      <c r="C3" t="inlineStr">
        <is>
          <t>Maharashtra</t>
        </is>
      </c>
      <c r="D3" s="5" t="n">
        <v>310000</v>
      </c>
      <c r="E3" s="13" t="n">
        <v>0.05</v>
      </c>
      <c r="F3" s="5">
        <f>D3*E3</f>
        <v/>
      </c>
      <c r="H3" t="inlineStr">
        <is>
          <t>Total GST</t>
        </is>
      </c>
      <c r="I3" s="5">
        <f>SUM(F2:F21)</f>
        <v/>
      </c>
    </row>
    <row r="4">
      <c r="A4" t="inlineStr">
        <is>
          <t>TI-2603</t>
        </is>
      </c>
      <c r="B4" t="inlineStr">
        <is>
          <t>Navkar Supplies</t>
        </is>
      </c>
      <c r="C4" t="inlineStr">
        <is>
          <t>Gujarat</t>
        </is>
      </c>
      <c r="D4" s="5" t="n">
        <v>370900</v>
      </c>
      <c r="E4" s="13" t="n">
        <v>0.05</v>
      </c>
      <c r="F4" s="5">
        <f>D4*E4</f>
        <v/>
      </c>
      <c r="H4" t="inlineStr">
        <is>
          <t>Total invoice value</t>
        </is>
      </c>
      <c r="I4" s="5">
        <f>I2+I3</f>
        <v/>
      </c>
    </row>
    <row r="5">
      <c r="A5" t="inlineStr">
        <is>
          <t>TI-2604</t>
        </is>
      </c>
      <c r="B5" t="inlineStr">
        <is>
          <t>Royal Book House</t>
        </is>
      </c>
      <c r="C5" t="inlineStr">
        <is>
          <t>Delhi</t>
        </is>
      </c>
      <c r="D5" s="5" t="n">
        <v>199600</v>
      </c>
      <c r="E5" s="13" t="n">
        <v>0.18</v>
      </c>
      <c r="F5" s="5">
        <f>D5*E5</f>
        <v/>
      </c>
      <c r="H5" t="inlineStr">
        <is>
          <t>Average invoice value</t>
        </is>
      </c>
      <c r="I5" s="5">
        <f>I4/COUNTA(A2:A21)</f>
        <v/>
      </c>
      <c r="K5" s="8">
        <f>AVERAGE(D2:D21)+AVERAGE(F2:F21)</f>
        <v/>
      </c>
    </row>
    <row r="6">
      <c r="A6" t="inlineStr">
        <is>
          <t>TI-2605</t>
        </is>
      </c>
      <c r="B6" t="inlineStr">
        <is>
          <t>Lakshmi Agencies</t>
        </is>
      </c>
      <c r="C6" t="inlineStr">
        <is>
          <t>Tamil Nadu</t>
        </is>
      </c>
      <c r="D6" s="5" t="n">
        <v>333000</v>
      </c>
      <c r="E6" s="13" t="n">
        <v>0.05</v>
      </c>
      <c r="F6" s="5">
        <f>D6*E6</f>
        <v/>
      </c>
      <c r="H6" t="inlineStr">
        <is>
          <t>Maharashtra taxable value</t>
        </is>
      </c>
      <c r="I6" s="5">
        <f>SUMIFS(D2:D21,C2:C21,"Maharashtra")</f>
        <v/>
      </c>
    </row>
    <row r="7">
      <c r="A7" t="inlineStr">
        <is>
          <t>TI-2606</t>
        </is>
      </c>
      <c r="B7" t="inlineStr">
        <is>
          <t>Ganga Retail</t>
        </is>
      </c>
      <c r="C7" t="inlineStr">
        <is>
          <t>Uttar Pradesh</t>
        </is>
      </c>
      <c r="D7" s="5" t="n">
        <v>296600</v>
      </c>
      <c r="E7" s="13" t="n">
        <v>0.18</v>
      </c>
      <c r="F7" s="5">
        <f>D7*E7</f>
        <v/>
      </c>
    </row>
    <row r="8">
      <c r="A8" t="inlineStr">
        <is>
          <t>TI-2607</t>
        </is>
      </c>
      <c r="B8" t="inlineStr">
        <is>
          <t>Ganga Retail</t>
        </is>
      </c>
      <c r="C8" t="inlineStr">
        <is>
          <t>Uttar Pradesh</t>
        </is>
      </c>
      <c r="D8" s="5" t="n">
        <v>63500</v>
      </c>
      <c r="E8" s="13" t="n">
        <v>0.05</v>
      </c>
      <c r="F8" s="5">
        <f>D8*E8</f>
        <v/>
      </c>
      <c r="H8" s="2" t="inlineStr">
        <is>
          <t>Fixed: I2 now covers rows 2 to 21; I5 counts invoices instead of a typed 19.</t>
        </is>
      </c>
    </row>
    <row r="9">
      <c r="A9" t="inlineStr">
        <is>
          <t>TI-2608</t>
        </is>
      </c>
      <c r="B9" t="inlineStr">
        <is>
          <t>Kaveri Traders</t>
        </is>
      </c>
      <c r="C9" t="inlineStr">
        <is>
          <t>Karnataka</t>
        </is>
      </c>
      <c r="D9" s="5" t="n">
        <v>198600</v>
      </c>
      <c r="E9" s="13" t="n">
        <v>0.18</v>
      </c>
      <c r="F9" s="5">
        <f>D9*E9</f>
        <v/>
      </c>
    </row>
    <row r="10">
      <c r="A10" t="inlineStr">
        <is>
          <t>TI-2609</t>
        </is>
      </c>
      <c r="B10" t="inlineStr">
        <is>
          <t>Sai Enterprises</t>
        </is>
      </c>
      <c r="C10" t="inlineStr">
        <is>
          <t>Maharashtra</t>
        </is>
      </c>
      <c r="D10" s="5" t="n">
        <v>114100</v>
      </c>
      <c r="E10" s="13" t="n">
        <v>0.18</v>
      </c>
      <c r="F10" s="5">
        <f>D10*E10</f>
        <v/>
      </c>
    </row>
    <row r="11">
      <c r="A11" t="inlineStr">
        <is>
          <t>TI-2610</t>
        </is>
      </c>
      <c r="B11" t="inlineStr">
        <is>
          <t>Sai Enterprises</t>
        </is>
      </c>
      <c r="C11" t="inlineStr">
        <is>
          <t>Maharashtra</t>
        </is>
      </c>
      <c r="D11" s="5" t="n">
        <v>21900</v>
      </c>
      <c r="E11" s="13" t="n">
        <v>0.18</v>
      </c>
      <c r="F11" s="5">
        <f>D11*E11</f>
        <v/>
      </c>
    </row>
    <row r="12">
      <c r="A12" t="inlineStr">
        <is>
          <t>TI-2611</t>
        </is>
      </c>
      <c r="B12" t="inlineStr">
        <is>
          <t>Navkar Supplies</t>
        </is>
      </c>
      <c r="C12" t="inlineStr">
        <is>
          <t>Gujarat</t>
        </is>
      </c>
      <c r="D12" s="5" t="n">
        <v>77800</v>
      </c>
      <c r="E12" s="13" t="n">
        <v>0.18</v>
      </c>
      <c r="F12" s="5">
        <f>D12*E12</f>
        <v/>
      </c>
    </row>
    <row r="13">
      <c r="A13" t="inlineStr">
        <is>
          <t>TI-2612</t>
        </is>
      </c>
      <c r="B13" t="inlineStr">
        <is>
          <t>Mahalaxmi Mart</t>
        </is>
      </c>
      <c r="C13" t="inlineStr">
        <is>
          <t>Maharashtra</t>
        </is>
      </c>
      <c r="D13" s="5" t="n">
        <v>376600</v>
      </c>
      <c r="E13" s="13" t="n">
        <v>0.05</v>
      </c>
      <c r="F13" s="5">
        <f>D13*E13</f>
        <v/>
      </c>
    </row>
    <row r="14">
      <c r="A14" t="inlineStr">
        <is>
          <t>TI-2613</t>
        </is>
      </c>
      <c r="B14" t="inlineStr">
        <is>
          <t>Sai Enterprises</t>
        </is>
      </c>
      <c r="C14" t="inlineStr">
        <is>
          <t>Maharashtra</t>
        </is>
      </c>
      <c r="D14" s="5" t="n">
        <v>328700</v>
      </c>
      <c r="E14" s="13" t="n">
        <v>0.05</v>
      </c>
      <c r="F14" s="5">
        <f>D14*E14</f>
        <v/>
      </c>
    </row>
    <row r="15">
      <c r="A15" t="inlineStr">
        <is>
          <t>TI-2614</t>
        </is>
      </c>
      <c r="B15" t="inlineStr">
        <is>
          <t>Sai Enterprises</t>
        </is>
      </c>
      <c r="C15" t="inlineStr">
        <is>
          <t>Maharashtra</t>
        </is>
      </c>
      <c r="D15" s="5" t="n">
        <v>33600</v>
      </c>
      <c r="E15" s="13" t="n">
        <v>0.18</v>
      </c>
      <c r="F15" s="5">
        <f>D15*E15</f>
        <v/>
      </c>
    </row>
    <row r="16">
      <c r="A16" t="inlineStr">
        <is>
          <t>TI-2615</t>
        </is>
      </c>
      <c r="B16" t="inlineStr">
        <is>
          <t>Ganga Retail</t>
        </is>
      </c>
      <c r="C16" t="inlineStr">
        <is>
          <t>Uttar Pradesh</t>
        </is>
      </c>
      <c r="D16" s="5" t="n">
        <v>63300</v>
      </c>
      <c r="E16" s="13" t="n">
        <v>0.18</v>
      </c>
      <c r="F16" s="5">
        <f>D16*E16</f>
        <v/>
      </c>
    </row>
    <row r="17">
      <c r="A17" t="inlineStr">
        <is>
          <t>TI-2616</t>
        </is>
      </c>
      <c r="B17" t="inlineStr">
        <is>
          <t>Mahalaxmi Mart</t>
        </is>
      </c>
      <c r="C17" t="inlineStr">
        <is>
          <t>Maharashtra</t>
        </is>
      </c>
      <c r="D17" s="5" t="n">
        <v>112700</v>
      </c>
      <c r="E17" s="13" t="n">
        <v>0.18</v>
      </c>
      <c r="F17" s="5">
        <f>D17*E17</f>
        <v/>
      </c>
    </row>
    <row r="18">
      <c r="A18" t="inlineStr">
        <is>
          <t>TI-2617</t>
        </is>
      </c>
      <c r="B18" t="inlineStr">
        <is>
          <t>Navkar Supplies</t>
        </is>
      </c>
      <c r="C18" t="inlineStr">
        <is>
          <t>Gujarat</t>
        </is>
      </c>
      <c r="D18" s="5" t="n">
        <v>277800</v>
      </c>
      <c r="E18" s="13" t="n">
        <v>0.18</v>
      </c>
      <c r="F18" s="5">
        <f>D18*E18</f>
        <v/>
      </c>
    </row>
    <row r="19">
      <c r="A19" t="inlineStr">
        <is>
          <t>TI-2618</t>
        </is>
      </c>
      <c r="B19" t="inlineStr">
        <is>
          <t>Kaveri Traders</t>
        </is>
      </c>
      <c r="C19" t="inlineStr">
        <is>
          <t>Karnataka</t>
        </is>
      </c>
      <c r="D19" s="5" t="n">
        <v>270300</v>
      </c>
      <c r="E19" s="13" t="n">
        <v>0.18</v>
      </c>
      <c r="F19" s="5">
        <f>D19*E19</f>
        <v/>
      </c>
    </row>
    <row r="20">
      <c r="A20" t="inlineStr">
        <is>
          <t>TI-2619</t>
        </is>
      </c>
      <c r="B20" t="inlineStr">
        <is>
          <t>Lakshmi Agencies</t>
        </is>
      </c>
      <c r="C20" t="inlineStr">
        <is>
          <t>Tamil Nadu</t>
        </is>
      </c>
      <c r="D20" s="5" t="n">
        <v>340200</v>
      </c>
      <c r="E20" s="13" t="n">
        <v>0.18</v>
      </c>
      <c r="F20" s="5">
        <f>D20*E20</f>
        <v/>
      </c>
    </row>
    <row r="21">
      <c r="A21" t="inlineStr">
        <is>
          <t>TI-2620</t>
        </is>
      </c>
      <c r="B21" t="inlineStr">
        <is>
          <t>Ganga Retail</t>
        </is>
      </c>
      <c r="C21" t="inlineStr">
        <is>
          <t>Maharashtra</t>
        </is>
      </c>
      <c r="D21" s="5" t="n">
        <v>412500</v>
      </c>
      <c r="E21" s="13" t="n">
        <v>0.05</v>
      </c>
      <c r="F21" s="5">
        <f>D21*E21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2026-10-23T10:16:05Z</dcterms:created>
  <dcterms:modified xmlns:dcterms="http://purl.org/dc/terms/" xmlns:xsi="http://www.w3.org/2001/XMLSchema-instance" xsi:type="dcterms:W3CDTF">2026-10-23T10:16:05Z</dcterms:modified>
</cp:coreProperties>
</file>