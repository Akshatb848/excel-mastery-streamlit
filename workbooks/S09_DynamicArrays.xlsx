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09-01" sheetId="2" state="visible" r:id="rId2"/>
    <sheet xmlns:r="http://schemas.openxmlformats.org/officeDocument/2006/relationships" name="S09-01 Done" sheetId="3" state="visible" r:id="rId3"/>
    <sheet xmlns:r="http://schemas.openxmlformats.org/officeDocument/2006/relationships" name="S09-02" sheetId="4" state="visible" r:id="rId4"/>
    <sheet xmlns:r="http://schemas.openxmlformats.org/officeDocument/2006/relationships" name="S09-02 Done" sheetId="5" state="visible" r:id="rId5"/>
    <sheet xmlns:r="http://schemas.openxmlformats.org/officeDocument/2006/relationships" name="S09-03" sheetId="6" state="visible" r:id="rId6"/>
    <sheet xmlns:r="http://schemas.openxmlformats.org/officeDocument/2006/relationships" name="S09-03 Done" sheetId="7" state="visible" r:id="rId7"/>
    <sheet xmlns:r="http://schemas.openxmlformats.org/officeDocument/2006/relationships" name="S09-04" sheetId="8" state="visible" r:id="rId8"/>
    <sheet xmlns:r="http://schemas.openxmlformats.org/officeDocument/2006/relationships" name="S09-04 Done" sheetId="9" state="visible" r:id="rId9"/>
    <sheet xmlns:r="http://schemas.openxmlformats.org/officeDocument/2006/relationships" name="S09-05" sheetId="10" state="visible" r:id="rId10"/>
    <sheet xmlns:r="http://schemas.openxmlformats.org/officeDocument/2006/relationships" name="S09-05 Done" sheetId="11" state="visible" r:id="rId11"/>
    <sheet xmlns:r="http://schemas.openxmlformats.org/officeDocument/2006/relationships" name="S09-06" sheetId="12" state="visible" r:id="rId12"/>
    <sheet xmlns:r="http://schemas.openxmlformats.org/officeDocument/2006/relationships" name="S09-06 Done" sheetId="13" state="visible" r:id="rId13"/>
    <sheet xmlns:r="http://schemas.openxmlformats.org/officeDocument/2006/relationships" name="S09-07" sheetId="14" state="visible" r:id="rId14"/>
    <sheet xmlns:r="http://schemas.openxmlformats.org/officeDocument/2006/relationships" name="S09-07 Done" sheetId="15" state="visible" r:id="rId15"/>
    <sheet xmlns:r="http://schemas.openxmlformats.org/officeDocument/2006/relationships" name="S09-08" sheetId="16" state="visible" r:id="rId16"/>
    <sheet xmlns:r="http://schemas.openxmlformats.org/officeDocument/2006/relationships" name="S09-08 Done" sheetId="17" state="visible" r:id="rId17"/>
    <sheet xmlns:r="http://schemas.openxmlformats.org/officeDocument/2006/relationships" name="S09-09" sheetId="18" state="visible" r:id="rId18"/>
    <sheet xmlns:r="http://schemas.openxmlformats.org/officeDocument/2006/relationships" name="S09-09 Done" sheetId="19" state="visible" r:id="rId19"/>
    <sheet xmlns:r="http://schemas.openxmlformats.org/officeDocument/2006/relationships" name="S09-10" sheetId="20" state="visible" r:id="rId20"/>
    <sheet xmlns:r="http://schemas.openxmlformats.org/officeDocument/2006/relationships" name="S09-10 Done" sheetId="21" state="visible" r:id="rId21"/>
    <sheet xmlns:r="http://schemas.openxmlformats.org/officeDocument/2006/relationships" name="S09-11" sheetId="22" state="visible" r:id="rId22"/>
    <sheet xmlns:r="http://schemas.openxmlformats.org/officeDocument/2006/relationships" name="S09-11 Done" sheetId="23" state="visible" r:id="rId23"/>
    <sheet xmlns:r="http://schemas.openxmlformats.org/officeDocument/2006/relationships" name="Apr26" sheetId="24" state="visible" r:id="rId24"/>
    <sheet xmlns:r="http://schemas.openxmlformats.org/officeDocument/2006/relationships" name="May26" sheetId="25" state="visible" r:id="rId25"/>
    <sheet xmlns:r="http://schemas.openxmlformats.org/officeDocument/2006/relationships" name="Jun26" sheetId="26" state="visible" r:id="rId26"/>
  </sheets>
  <definedNames>
    <definedName name="GSTINCL" localSheetId="20">_xlfn.LAMBDA(_xlpm.amt,_xlpm.rate,_xlpm.amt*(1+_xlpm.rate))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7">
    <numFmt numFmtId="164" formatCode="[&gt;=10000000]&quot;₹&quot;##\,##\,##\,##0;[&gt;=100000]&quot;₹&quot;##\,##\,##0;&quot;₹&quot;##,##0"/>
    <numFmt numFmtId="165" formatCode="yyyy-mm-dd"/>
    <numFmt numFmtId="166" formatCode="DD-MM-YYYY"/>
    <numFmt numFmtId="167" formatCode="0.0%"/>
    <numFmt numFmtId="168" formatCode="&quot;₹&quot;#,##0.00"/>
    <numFmt numFmtId="169" formatCode="d"/>
    <numFmt numFmtId="170" formatCode="MMM-YY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4E78"/>
    </font>
    <font>
      <i val="1"/>
      <color rgb="00595959"/>
    </font>
    <font>
      <b val="1"/>
      <color rgb="001F4E78"/>
      <sz val="16"/>
    </font>
    <font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0" fontId="2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169" fontId="0" fillId="3" borderId="0" pivotButton="0" quotePrefix="0" xfId="0"/>
    <xf numFmtId="169" fontId="0" fillId="0" borderId="0" pivotButton="0" quotePrefix="0" xfId="0"/>
    <xf numFmtId="170" fontId="0" fillId="3" borderId="0" pivotButton="0" quotePrefix="0" xfId="0"/>
    <xf numFmtId="170" fontId="0" fillId="0" borderId="0" pivotButton="0" quotePrefix="0" xfId="0"/>
    <xf numFmtId="0" fontId="4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6" fontId="0" fillId="3" borderId="0" pivotButton="0" quotePrefix="0" xfId="0"/>
    <xf numFmtId="168" fontId="0" fillId="0" borderId="0" pivotButton="0" quotePrefix="0" xfId="0"/>
    <xf numFmtId="0" fontId="0" fillId="0" borderId="1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Relationship Id="rIdMeta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1" customWidth="1" min="3" max="3"/>
    <col width="15" customWidth="1" min="4" max="4"/>
    <col width="17" customWidth="1" min="5" max="5"/>
  </cols>
  <sheetData>
    <row r="1">
      <c r="A1" s="1" t="inlineStr">
        <is>
          <t>S09: Dynamic arrays and modern formulas</t>
        </is>
      </c>
    </row>
    <row r="2">
      <c r="A2" s="2" t="inlineStr">
        <is>
          <t>Excel Mastery for Mac. Practice workbook. Yellow cells are for you to fill in.</t>
        </is>
      </c>
    </row>
    <row r="4">
      <c r="A4" s="3" t="inlineStr">
        <is>
          <t>Lesson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Practice sheet</t>
        </is>
      </c>
      <c r="E4" s="3" t="inlineStr">
        <is>
          <t>Finished sheet</t>
        </is>
      </c>
    </row>
    <row r="5">
      <c r="A5" t="inlineStr">
        <is>
          <t>S09-01</t>
        </is>
      </c>
      <c r="B5" t="inlineStr">
        <is>
          <t>Spill ranges, # and @</t>
        </is>
      </c>
      <c r="C5" t="inlineStr">
        <is>
          <t>demo</t>
        </is>
      </c>
      <c r="D5" t="inlineStr">
        <is>
          <t>S09-01</t>
        </is>
      </c>
      <c r="E5" t="inlineStr">
        <is>
          <t>S09-01 Done</t>
        </is>
      </c>
    </row>
    <row r="6">
      <c r="A6" t="inlineStr">
        <is>
          <t>S09-02</t>
        </is>
      </c>
      <c r="B6" t="inlineStr">
        <is>
          <t>UNIQUE, SORT and SORTBY</t>
        </is>
      </c>
      <c r="C6" t="inlineStr">
        <is>
          <t>demo</t>
        </is>
      </c>
      <c r="D6" t="inlineStr">
        <is>
          <t>S09-02</t>
        </is>
      </c>
      <c r="E6" t="inlineStr">
        <is>
          <t>S09-02 Done</t>
        </is>
      </c>
    </row>
    <row r="7">
      <c r="A7" t="inlineStr">
        <is>
          <t>S09-03</t>
        </is>
      </c>
      <c r="B7" t="inlineStr">
        <is>
          <t>FILTER with one or many conditions</t>
        </is>
      </c>
      <c r="C7" t="inlineStr">
        <is>
          <t>demo</t>
        </is>
      </c>
      <c r="D7" t="inlineStr">
        <is>
          <t>S09-03</t>
        </is>
      </c>
      <c r="E7" t="inlineStr">
        <is>
          <t>S09-03 Done</t>
        </is>
      </c>
    </row>
    <row r="8">
      <c r="A8" t="inlineStr">
        <is>
          <t>S09-04</t>
        </is>
      </c>
      <c r="B8" t="inlineStr">
        <is>
          <t>SEQUENCE and RANDARRAY</t>
        </is>
      </c>
      <c r="C8" t="inlineStr">
        <is>
          <t>demo</t>
        </is>
      </c>
      <c r="D8" t="inlineStr">
        <is>
          <t>S09-04</t>
        </is>
      </c>
      <c r="E8" t="inlineStr">
        <is>
          <t>S09-04 Done</t>
        </is>
      </c>
    </row>
    <row r="9">
      <c r="A9" t="inlineStr">
        <is>
          <t>S09-05</t>
        </is>
      </c>
      <c r="B9" t="inlineStr">
        <is>
          <t>TAKE, DROP and EXPAND</t>
        </is>
      </c>
      <c r="C9" t="inlineStr">
        <is>
          <t>demo</t>
        </is>
      </c>
      <c r="D9" t="inlineStr">
        <is>
          <t>S09-05</t>
        </is>
      </c>
      <c r="E9" t="inlineStr">
        <is>
          <t>S09-05 Done</t>
        </is>
      </c>
    </row>
    <row r="10">
      <c r="A10" t="inlineStr">
        <is>
          <t>S09-06</t>
        </is>
      </c>
      <c r="B10" t="inlineStr">
        <is>
          <t>VSTACK, HSTACK, TOCOL, TOROW, WRAPROWS, WRAPCOLS</t>
        </is>
      </c>
      <c r="C10" t="inlineStr">
        <is>
          <t>demo</t>
        </is>
      </c>
      <c r="D10" t="inlineStr">
        <is>
          <t>S09-06</t>
        </is>
      </c>
      <c r="E10" t="inlineStr">
        <is>
          <t>S09-06 Done</t>
        </is>
      </c>
    </row>
    <row r="11">
      <c r="A11" t="inlineStr">
        <is>
          <t>S09-07</t>
        </is>
      </c>
      <c r="B11" t="inlineStr">
        <is>
          <t>GROUPBY, PIVOTBY and PERCENTOF</t>
        </is>
      </c>
      <c r="C11" t="inlineStr">
        <is>
          <t>demo</t>
        </is>
      </c>
      <c r="D11" t="inlineStr">
        <is>
          <t>S09-07</t>
        </is>
      </c>
      <c r="E11" t="inlineStr">
        <is>
          <t>S09-07 Done</t>
        </is>
      </c>
    </row>
    <row r="12">
      <c r="A12" t="inlineStr">
        <is>
          <t>S09-08</t>
        </is>
      </c>
      <c r="B12" t="inlineStr">
        <is>
          <t>TRIMRANGE and dot references</t>
        </is>
      </c>
      <c r="C12" t="inlineStr">
        <is>
          <t>demo</t>
        </is>
      </c>
      <c r="D12" t="inlineStr">
        <is>
          <t>S09-08</t>
        </is>
      </c>
      <c r="E12" t="inlineStr">
        <is>
          <t>S09-08 Done</t>
        </is>
      </c>
    </row>
    <row r="13">
      <c r="A13" t="inlineStr">
        <is>
          <t>S09-09</t>
        </is>
      </c>
      <c r="B13" t="inlineStr">
        <is>
          <t>LET: readable formulas</t>
        </is>
      </c>
      <c r="C13" t="inlineStr">
        <is>
          <t>demo</t>
        </is>
      </c>
      <c r="D13" t="inlineStr">
        <is>
          <t>S09-09</t>
        </is>
      </c>
      <c r="E13" t="inlineStr">
        <is>
          <t>S09-09 Done</t>
        </is>
      </c>
    </row>
    <row r="14">
      <c r="A14" t="inlineStr">
        <is>
          <t>S09-10</t>
        </is>
      </c>
      <c r="B14" t="inlineStr">
        <is>
          <t>LAMBDA and its helpers</t>
        </is>
      </c>
      <c r="C14" t="inlineStr">
        <is>
          <t>demo</t>
        </is>
      </c>
      <c r="D14" t="inlineStr">
        <is>
          <t>S09-10</t>
        </is>
      </c>
      <c r="E14" t="inlineStr">
        <is>
          <t>S09-10 Done</t>
        </is>
      </c>
    </row>
    <row r="15">
      <c r="A15" t="inlineStr">
        <is>
          <t>S09-11</t>
        </is>
      </c>
      <c r="B15" t="inlineStr">
        <is>
          <t>IMAGE and pictures in cells</t>
        </is>
      </c>
      <c r="C15" t="inlineStr">
        <is>
          <t>demo</t>
        </is>
      </c>
      <c r="D15" t="inlineStr">
        <is>
          <t>S09-11</t>
        </is>
      </c>
      <c r="E15" t="inlineStr">
        <is>
          <t>S09-11 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9" customWidth="1" min="3" max="3"/>
    <col width="3" customWidth="1" min="4" max="4"/>
    <col width="11" customWidth="1" min="5" max="5"/>
    <col width="3" customWidth="1" min="6" max="6"/>
    <col width="14" customWidth="1" min="7" max="7"/>
    <col width="3" customWidth="1" min="8" max="8"/>
    <col width="11" customWidth="1" min="9" max="9"/>
    <col width="3" customWidth="1" min="10" max="10"/>
    <col width="12" customWidth="1" min="11" max="11"/>
    <col width="12" customWidth="1" min="12" max="12"/>
  </cols>
  <sheetData>
    <row r="1">
      <c r="A1" s="3" t="inlineStr">
        <is>
          <t>Product</t>
        </is>
      </c>
      <c r="B1" s="3" t="inlineStr">
        <is>
          <t>Units</t>
        </is>
      </c>
      <c r="C1" s="3" t="inlineStr">
        <is>
          <t>Price</t>
        </is>
      </c>
      <c r="E1" s="3" t="inlineStr">
        <is>
          <t>Revenue</t>
        </is>
      </c>
      <c r="G1" s="3" t="inlineStr">
        <is>
          <t>Total revenue</t>
        </is>
      </c>
      <c r="I1" s="3" t="inlineStr">
        <is>
          <t>Units (@)</t>
        </is>
      </c>
      <c r="K1" s="3" t="inlineStr">
        <is>
          <t>Price + GST</t>
        </is>
      </c>
      <c r="L1" s="3" t="inlineStr">
        <is>
          <t>Total + GST</t>
        </is>
      </c>
    </row>
    <row r="2">
      <c r="A2" t="inlineStr">
        <is>
          <t>Assam Tea 1 kg</t>
        </is>
      </c>
      <c r="B2" t="n">
        <v>40</v>
      </c>
      <c r="C2" s="4" t="n">
        <v>420</v>
      </c>
      <c r="E2" s="5" t="n"/>
      <c r="G2" s="5" t="n"/>
      <c r="I2" s="6" t="n"/>
      <c r="K2" s="5" t="n"/>
      <c r="L2" s="5" t="n"/>
    </row>
    <row r="3">
      <c r="A3" t="inlineStr">
        <is>
          <t>Coorg Coffee 500 g</t>
        </is>
      </c>
      <c r="B3" t="n">
        <v>25</v>
      </c>
      <c r="C3" s="4" t="n">
        <v>380</v>
      </c>
      <c r="E3" s="4" t="n"/>
      <c r="I3" s="6" t="n"/>
      <c r="K3" s="4" t="n"/>
      <c r="L3" s="4" t="n"/>
    </row>
    <row r="4">
      <c r="A4" t="inlineStr">
        <is>
          <t>Basmati Rice 5 kg</t>
        </is>
      </c>
      <c r="B4" t="n">
        <v>18</v>
      </c>
      <c r="C4" s="4" t="n">
        <v>640</v>
      </c>
      <c r="E4" s="4" t="n"/>
      <c r="I4" s="6" t="n"/>
      <c r="K4" s="4" t="n"/>
      <c r="L4" s="4" t="n"/>
    </row>
    <row r="5">
      <c r="A5" t="inlineStr">
        <is>
          <t>Toor Dal 1 kg</t>
        </is>
      </c>
      <c r="B5" t="n">
        <v>60</v>
      </c>
      <c r="C5" s="4" t="n">
        <v>165</v>
      </c>
      <c r="E5" s="4" t="n"/>
      <c r="I5" s="6" t="n"/>
      <c r="K5" s="4" t="n"/>
      <c r="L5" s="4" t="n"/>
    </row>
    <row r="6">
      <c r="A6" t="inlineStr">
        <is>
          <t>Sunflower Oil 1 L</t>
        </is>
      </c>
      <c r="B6" t="n">
        <v>75</v>
      </c>
      <c r="C6" s="4" t="n">
        <v>155</v>
      </c>
      <c r="E6" s="4" t="n"/>
      <c r="I6" s="6" t="n"/>
      <c r="K6" s="4" t="n"/>
      <c r="L6" s="4" t="n"/>
    </row>
    <row r="7">
      <c r="A7" t="inlineStr">
        <is>
          <t>Steel Bottle 1 L</t>
        </is>
      </c>
      <c r="B7" t="n">
        <v>22</v>
      </c>
      <c r="C7" s="4" t="n">
        <v>450</v>
      </c>
      <c r="E7" s="4" t="n"/>
      <c r="I7" s="6" t="n"/>
      <c r="K7" s="4" t="n"/>
      <c r="L7" s="4" t="n"/>
    </row>
    <row r="8">
      <c r="A8" t="inlineStr">
        <is>
          <t>Pressure Cooker 5 L</t>
        </is>
      </c>
      <c r="B8" t="n">
        <v>6</v>
      </c>
      <c r="C8" s="4" t="n">
        <v>2350</v>
      </c>
      <c r="E8" s="4" t="n"/>
      <c r="I8" s="6" t="n"/>
      <c r="K8" s="4" t="n"/>
      <c r="L8" s="4" t="n"/>
    </row>
    <row r="9">
      <c r="A9" t="inlineStr">
        <is>
          <t>LED Bulb 9 W</t>
        </is>
      </c>
      <c r="B9" t="n">
        <v>120</v>
      </c>
      <c r="C9" s="4" t="n">
        <v>99</v>
      </c>
      <c r="E9" s="4" t="n"/>
      <c r="I9" s="6" t="n"/>
      <c r="K9" s="4" t="n"/>
      <c r="L9" s="4" t="n"/>
    </row>
    <row r="10">
      <c r="A10" t="inlineStr">
        <is>
          <t>Ceiling Fan 1200 mm</t>
        </is>
      </c>
      <c r="B10" t="n">
        <v>5</v>
      </c>
      <c r="C10" s="4" t="n">
        <v>2890</v>
      </c>
      <c r="E10" s="4" t="n"/>
      <c r="I10" s="6" t="n"/>
      <c r="K10" s="4" t="n"/>
      <c r="L10" s="4" t="n"/>
    </row>
    <row r="11">
      <c r="A11" t="inlineStr">
        <is>
          <t>Extension Board</t>
        </is>
      </c>
      <c r="B11" t="n">
        <v>14</v>
      </c>
      <c r="C11" s="4" t="n">
        <v>549</v>
      </c>
      <c r="E11" s="4" t="n"/>
      <c r="I11" s="6" t="n"/>
      <c r="K11" s="4" t="n"/>
      <c r="L1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9" customWidth="1" min="3" max="3"/>
    <col width="3" customWidth="1" min="4" max="4"/>
    <col width="11" customWidth="1" min="5" max="5"/>
    <col width="3" customWidth="1" min="6" max="6"/>
    <col width="14" customWidth="1" min="7" max="7"/>
    <col width="3" customWidth="1" min="8" max="8"/>
    <col width="11" customWidth="1" min="9" max="9"/>
    <col width="3" customWidth="1" min="10" max="10"/>
    <col width="12" customWidth="1" min="11" max="11"/>
    <col width="12" customWidth="1" min="12" max="12"/>
  </cols>
  <sheetData>
    <row r="1">
      <c r="A1" s="3" t="inlineStr">
        <is>
          <t>Product</t>
        </is>
      </c>
      <c r="B1" s="3" t="inlineStr">
        <is>
          <t>Units</t>
        </is>
      </c>
      <c r="C1" s="3" t="inlineStr">
        <is>
          <t>Price</t>
        </is>
      </c>
      <c r="E1" s="3" t="inlineStr">
        <is>
          <t>Revenue</t>
        </is>
      </c>
      <c r="G1" s="3" t="inlineStr">
        <is>
          <t>Total revenue</t>
        </is>
      </c>
      <c r="I1" s="3" t="inlineStr">
        <is>
          <t>Units (@)</t>
        </is>
      </c>
      <c r="K1" s="3" t="inlineStr">
        <is>
          <t>Price + GST</t>
        </is>
      </c>
      <c r="L1" s="3" t="inlineStr">
        <is>
          <t>Total + GST</t>
        </is>
      </c>
    </row>
    <row r="2">
      <c r="A2" t="inlineStr">
        <is>
          <t>Assam Tea 1 kg</t>
        </is>
      </c>
      <c r="B2" t="n">
        <v>40</v>
      </c>
      <c r="C2" s="4" t="n">
        <v>420</v>
      </c>
      <c r="E2" s="4" cm="1">
        <f t="array" ref="E2:E11">B2:B11*C2:C11</f>
        <v/>
      </c>
      <c r="G2" s="4" cm="1">
        <f t="array" ref="G2">SUM(_xlfn.ANCHORARRAY(E2))</f>
        <v/>
      </c>
      <c r="I2">
        <f>_xlfn.SINGLE(B2:B11)</f>
        <v/>
      </c>
      <c r="K2" s="4" cm="1">
        <f t="array" ref="K2:K11">C2:C11*1.18</f>
        <v/>
      </c>
      <c r="L2" s="4" cm="1">
        <f t="array" ref="L2">SUM(_xlfn.ANCHORARRAY(K2))</f>
        <v/>
      </c>
    </row>
    <row r="3">
      <c r="A3" t="inlineStr">
        <is>
          <t>Coorg Coffee 500 g</t>
        </is>
      </c>
      <c r="B3" t="n">
        <v>25</v>
      </c>
      <c r="C3" s="4" t="n">
        <v>380</v>
      </c>
      <c r="E3" s="4" t="n"/>
      <c r="I3">
        <f>_xlfn.SINGLE(B2:B11)</f>
        <v/>
      </c>
      <c r="K3" s="4" t="n"/>
      <c r="L3" s="4" t="n"/>
    </row>
    <row r="4">
      <c r="A4" t="inlineStr">
        <is>
          <t>Basmati Rice 5 kg</t>
        </is>
      </c>
      <c r="B4" t="n">
        <v>18</v>
      </c>
      <c r="C4" s="4" t="n">
        <v>640</v>
      </c>
      <c r="E4" s="4" t="n"/>
      <c r="I4">
        <f>_xlfn.SINGLE(B2:B11)</f>
        <v/>
      </c>
      <c r="K4" s="4" t="n"/>
      <c r="L4" s="4" t="n"/>
    </row>
    <row r="5">
      <c r="A5" t="inlineStr">
        <is>
          <t>Toor Dal 1 kg</t>
        </is>
      </c>
      <c r="B5" t="n">
        <v>60</v>
      </c>
      <c r="C5" s="4" t="n">
        <v>165</v>
      </c>
      <c r="E5" s="4" t="n"/>
      <c r="I5">
        <f>_xlfn.SINGLE(B2:B11)</f>
        <v/>
      </c>
      <c r="K5" s="4" t="n"/>
      <c r="L5" s="4" t="n"/>
    </row>
    <row r="6">
      <c r="A6" t="inlineStr">
        <is>
          <t>Sunflower Oil 1 L</t>
        </is>
      </c>
      <c r="B6" t="n">
        <v>75</v>
      </c>
      <c r="C6" s="4" t="n">
        <v>155</v>
      </c>
      <c r="E6" s="4" t="n"/>
      <c r="I6">
        <f>_xlfn.SINGLE(B2:B11)</f>
        <v/>
      </c>
      <c r="K6" s="4" t="n"/>
      <c r="L6" s="4" t="n"/>
    </row>
    <row r="7">
      <c r="A7" t="inlineStr">
        <is>
          <t>Steel Bottle 1 L</t>
        </is>
      </c>
      <c r="B7" t="n">
        <v>22</v>
      </c>
      <c r="C7" s="4" t="n">
        <v>450</v>
      </c>
      <c r="E7" s="4" t="n"/>
      <c r="I7">
        <f>_xlfn.SINGLE(B2:B11)</f>
        <v/>
      </c>
      <c r="K7" s="4" t="n"/>
      <c r="L7" s="4" t="n"/>
    </row>
    <row r="8">
      <c r="A8" t="inlineStr">
        <is>
          <t>Pressure Cooker 5 L</t>
        </is>
      </c>
      <c r="B8" t="n">
        <v>6</v>
      </c>
      <c r="C8" s="4" t="n">
        <v>2350</v>
      </c>
      <c r="E8" s="4" t="n"/>
      <c r="I8">
        <f>_xlfn.SINGLE(B2:B11)</f>
        <v/>
      </c>
      <c r="K8" s="4" t="n"/>
      <c r="L8" s="4" t="n"/>
    </row>
    <row r="9">
      <c r="A9" t="inlineStr">
        <is>
          <t>LED Bulb 9 W</t>
        </is>
      </c>
      <c r="B9" t="n">
        <v>120</v>
      </c>
      <c r="C9" s="4" t="n">
        <v>99</v>
      </c>
      <c r="E9" s="4" t="n"/>
      <c r="I9">
        <f>_xlfn.SINGLE(B2:B11)</f>
        <v/>
      </c>
      <c r="K9" s="4" t="n"/>
      <c r="L9" s="4" t="n"/>
    </row>
    <row r="10">
      <c r="A10" t="inlineStr">
        <is>
          <t>Ceiling Fan 1200 mm</t>
        </is>
      </c>
      <c r="B10" t="n">
        <v>5</v>
      </c>
      <c r="C10" s="4" t="n">
        <v>2890</v>
      </c>
      <c r="E10" s="4" t="n"/>
      <c r="I10">
        <f>_xlfn.SINGLE(B2:B11)</f>
        <v/>
      </c>
      <c r="K10" s="4" t="n"/>
      <c r="L10" s="4" t="n"/>
    </row>
    <row r="11">
      <c r="A11" t="inlineStr">
        <is>
          <t>Extension Board</t>
        </is>
      </c>
      <c r="B11" t="n">
        <v>14</v>
      </c>
      <c r="C11" s="4" t="n">
        <v>549</v>
      </c>
      <c r="E11" s="4" t="n"/>
      <c r="I11">
        <f>_xlfn.SINGLE(B2:B11)</f>
        <v/>
      </c>
      <c r="K11" s="4" t="n"/>
      <c r="L11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6" customWidth="1" min="3" max="3"/>
    <col width="11" customWidth="1" min="4" max="4"/>
    <col width="3" customWidth="1" min="5" max="5"/>
    <col width="21" customWidth="1" min="6" max="6"/>
    <col width="3" customWidth="1" min="7" max="7"/>
    <col width="16" customWidth="1" min="8" max="8"/>
    <col width="11" customWidth="1" min="9" max="9"/>
    <col width="3" customWidth="1" min="10" max="10"/>
    <col width="16" customWidth="1" min="11" max="11"/>
    <col width="11" customWidth="1" min="12" max="12"/>
    <col width="3" customWidth="1" min="13" max="13"/>
    <col width="21" customWidth="1" min="14" max="14"/>
  </cols>
  <sheetData>
    <row r="1">
      <c r="A1" s="3" t="inlineStr">
        <is>
          <t>Customer</t>
        </is>
      </c>
      <c r="B1" s="3" t="inlineStr">
        <is>
          <t>City</t>
        </is>
      </c>
      <c r="C1" s="3" t="inlineStr">
        <is>
          <t>Salesperson</t>
        </is>
      </c>
      <c r="D1" s="3" t="inlineStr">
        <is>
          <t>Sales</t>
        </is>
      </c>
      <c r="F1" s="3" t="inlineStr">
        <is>
          <t>Customers</t>
        </is>
      </c>
      <c r="H1" s="3" t="inlineStr">
        <is>
          <t>Salesperson</t>
        </is>
      </c>
      <c r="I1" s="3" t="inlineStr">
        <is>
          <t>Total</t>
        </is>
      </c>
      <c r="K1" s="3" t="inlineStr">
        <is>
          <t>Leaderboard</t>
        </is>
      </c>
      <c r="L1" s="3" t="inlineStr">
        <is>
          <t>Total</t>
        </is>
      </c>
      <c r="N1" s="3" t="inlineStr">
        <is>
          <t>Bought once</t>
        </is>
      </c>
    </row>
    <row r="2">
      <c r="A2" t="inlineStr">
        <is>
          <t>Mehta &amp; Sons</t>
        </is>
      </c>
      <c r="B2" t="inlineStr">
        <is>
          <t>Mumbai</t>
        </is>
      </c>
      <c r="C2" t="inlineStr">
        <is>
          <t>Farhan Shaikh</t>
        </is>
      </c>
      <c r="D2" s="4" t="n">
        <v>165000</v>
      </c>
      <c r="F2" s="6" t="n"/>
      <c r="H2" s="6" t="n"/>
      <c r="I2" s="5" t="n"/>
      <c r="K2" s="6" t="n"/>
      <c r="L2" s="5" t="n"/>
      <c r="N2" s="6" t="n"/>
    </row>
    <row r="3">
      <c r="A3" t="inlineStr">
        <is>
          <t>Om Sai Enterprises</t>
        </is>
      </c>
      <c r="B3" t="inlineStr">
        <is>
          <t>Nashik</t>
        </is>
      </c>
      <c r="C3" t="inlineStr">
        <is>
          <t>Sneha Patil</t>
        </is>
      </c>
      <c r="D3" s="4" t="n">
        <v>35500</v>
      </c>
      <c r="I3" s="4" t="n"/>
      <c r="L3" s="4" t="n"/>
    </row>
    <row r="4">
      <c r="A4" t="inlineStr">
        <is>
          <t>Mehta &amp; Sons</t>
        </is>
      </c>
      <c r="B4" t="inlineStr">
        <is>
          <t>Mumbai</t>
        </is>
      </c>
      <c r="C4" t="inlineStr">
        <is>
          <t>Rahul Wankhede</t>
        </is>
      </c>
      <c r="D4" s="4" t="n">
        <v>93500</v>
      </c>
      <c r="I4" s="4" t="n"/>
      <c r="L4" s="4" t="n"/>
    </row>
    <row r="5">
      <c r="A5" t="inlineStr">
        <is>
          <t>Shree Ganesh Traders</t>
        </is>
      </c>
      <c r="B5" t="inlineStr">
        <is>
          <t>Pune</t>
        </is>
      </c>
      <c r="C5" t="inlineStr">
        <is>
          <t>Amit Deshpande</t>
        </is>
      </c>
      <c r="D5" s="4" t="n">
        <v>104400</v>
      </c>
      <c r="I5" s="4" t="n"/>
      <c r="L5" s="4" t="n"/>
    </row>
    <row r="6">
      <c r="A6" t="inlineStr">
        <is>
          <t>Balaji Agencies</t>
        </is>
      </c>
      <c r="B6" t="inlineStr">
        <is>
          <t>Solapur</t>
        </is>
      </c>
      <c r="C6" t="inlineStr">
        <is>
          <t>Sneha Patil</t>
        </is>
      </c>
      <c r="D6" s="4" t="n">
        <v>32600</v>
      </c>
      <c r="I6" s="4" t="n"/>
      <c r="L6" s="4" t="n"/>
    </row>
    <row r="7">
      <c r="A7" t="inlineStr">
        <is>
          <t>Kumar Stores</t>
        </is>
      </c>
      <c r="B7" t="inlineStr">
        <is>
          <t>Nagpur</t>
        </is>
      </c>
      <c r="C7" t="inlineStr">
        <is>
          <t>Rahul Wankhede</t>
        </is>
      </c>
      <c r="D7" s="4" t="n">
        <v>211200</v>
      </c>
      <c r="I7" s="4" t="n"/>
      <c r="L7" s="4" t="n"/>
    </row>
    <row r="8">
      <c r="A8" t="inlineStr">
        <is>
          <t>Kumar Stores</t>
        </is>
      </c>
      <c r="B8" t="inlineStr">
        <is>
          <t>Nagpur</t>
        </is>
      </c>
      <c r="C8" t="inlineStr">
        <is>
          <t>Rahul Wankhede</t>
        </is>
      </c>
      <c r="D8" s="4" t="n">
        <v>172300</v>
      </c>
      <c r="I8" s="4" t="n"/>
      <c r="L8" s="4" t="n"/>
    </row>
    <row r="9">
      <c r="A9" t="inlineStr">
        <is>
          <t>Lakshmi Textiles</t>
        </is>
      </c>
      <c r="B9" t="inlineStr">
        <is>
          <t>Aurangabad</t>
        </is>
      </c>
      <c r="C9" t="inlineStr">
        <is>
          <t>Amit Deshpande</t>
        </is>
      </c>
      <c r="D9" s="4" t="n">
        <v>110500</v>
      </c>
    </row>
    <row r="10">
      <c r="A10" t="inlineStr">
        <is>
          <t>Balaji Agencies</t>
        </is>
      </c>
      <c r="B10" t="inlineStr">
        <is>
          <t>Solapur</t>
        </is>
      </c>
      <c r="C10" t="inlineStr">
        <is>
          <t>Farhan Shaikh</t>
        </is>
      </c>
      <c r="D10" s="4" t="n">
        <v>97800</v>
      </c>
    </row>
    <row r="11">
      <c r="A11" t="inlineStr">
        <is>
          <t>Patil Electricals</t>
        </is>
      </c>
      <c r="B11" t="inlineStr">
        <is>
          <t>Kolhapur</t>
        </is>
      </c>
      <c r="C11" t="inlineStr">
        <is>
          <t>Sneha Patil</t>
        </is>
      </c>
      <c r="D11" s="4" t="n">
        <v>67800</v>
      </c>
    </row>
    <row r="12">
      <c r="A12" t="inlineStr">
        <is>
          <t>Patil Electricals</t>
        </is>
      </c>
      <c r="B12" t="inlineStr">
        <is>
          <t>Kolhapur</t>
        </is>
      </c>
      <c r="C12" t="inlineStr">
        <is>
          <t>Sneha Patil</t>
        </is>
      </c>
      <c r="D12" s="4" t="n">
        <v>19100</v>
      </c>
    </row>
    <row r="13">
      <c r="A13" t="inlineStr">
        <is>
          <t>Royal Furnishers</t>
        </is>
      </c>
      <c r="B13" t="inlineStr">
        <is>
          <t>Thane</t>
        </is>
      </c>
      <c r="C13" t="inlineStr">
        <is>
          <t>Amit Deshpande</t>
        </is>
      </c>
      <c r="D13" s="4" t="n">
        <v>155100</v>
      </c>
    </row>
    <row r="14">
      <c r="A14" t="inlineStr">
        <is>
          <t>Royal Furnishers</t>
        </is>
      </c>
      <c r="B14" t="inlineStr">
        <is>
          <t>Thane</t>
        </is>
      </c>
      <c r="C14" t="inlineStr">
        <is>
          <t>Sneha Patil</t>
        </is>
      </c>
      <c r="D14" s="4" t="n">
        <v>118200</v>
      </c>
    </row>
    <row r="15">
      <c r="A15" t="inlineStr">
        <is>
          <t>Shree Ganesh Traders</t>
        </is>
      </c>
      <c r="B15" t="inlineStr">
        <is>
          <t>Pune</t>
        </is>
      </c>
      <c r="C15" t="inlineStr">
        <is>
          <t>Pooja Thakre</t>
        </is>
      </c>
      <c r="D15" s="4" t="n">
        <v>176000</v>
      </c>
    </row>
    <row r="16">
      <c r="A16" t="inlineStr">
        <is>
          <t>Kumar Stores</t>
        </is>
      </c>
      <c r="B16" t="inlineStr">
        <is>
          <t>Nagpur</t>
        </is>
      </c>
      <c r="C16" t="inlineStr">
        <is>
          <t>Amit Deshpande</t>
        </is>
      </c>
      <c r="D16" s="4" t="n">
        <v>124400</v>
      </c>
    </row>
    <row r="17">
      <c r="A17" t="inlineStr">
        <is>
          <t>Patil Electricals</t>
        </is>
      </c>
      <c r="B17" t="inlineStr">
        <is>
          <t>Kolhapur</t>
        </is>
      </c>
      <c r="C17" t="inlineStr">
        <is>
          <t>Farhan Shaikh</t>
        </is>
      </c>
      <c r="D17" s="4" t="n">
        <v>134700</v>
      </c>
    </row>
    <row r="18">
      <c r="A18" t="inlineStr">
        <is>
          <t>Royal Furnishers</t>
        </is>
      </c>
      <c r="B18" t="inlineStr">
        <is>
          <t>Thane</t>
        </is>
      </c>
      <c r="C18" t="inlineStr">
        <is>
          <t>Pooja Thakre</t>
        </is>
      </c>
      <c r="D18" s="4" t="n">
        <v>19400</v>
      </c>
    </row>
    <row r="19">
      <c r="A19" t="inlineStr">
        <is>
          <t>Mehta &amp; Sons</t>
        </is>
      </c>
      <c r="B19" t="inlineStr">
        <is>
          <t>Mumbai</t>
        </is>
      </c>
      <c r="C19" t="inlineStr">
        <is>
          <t>Rahul Wankhede</t>
        </is>
      </c>
      <c r="D19" s="4" t="n">
        <v>123900</v>
      </c>
    </row>
    <row r="20">
      <c r="A20" t="inlineStr">
        <is>
          <t>Om Sai Enterprises</t>
        </is>
      </c>
      <c r="B20" t="inlineStr">
        <is>
          <t>Nashik</t>
        </is>
      </c>
      <c r="C20" t="inlineStr">
        <is>
          <t>Rahul Wankhede</t>
        </is>
      </c>
      <c r="D20" s="4" t="n">
        <v>117600</v>
      </c>
    </row>
    <row r="21">
      <c r="A21" t="inlineStr">
        <is>
          <t>Shree Ganesh Traders</t>
        </is>
      </c>
      <c r="B21" t="inlineStr">
        <is>
          <t>Pune</t>
        </is>
      </c>
      <c r="C21" t="inlineStr">
        <is>
          <t>Farhan Shaikh</t>
        </is>
      </c>
      <c r="D21" s="4" t="n">
        <v>189300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6" customWidth="1" min="3" max="3"/>
    <col width="11" customWidth="1" min="4" max="4"/>
    <col width="3" customWidth="1" min="5" max="5"/>
    <col width="21" customWidth="1" min="6" max="6"/>
    <col width="3" customWidth="1" min="7" max="7"/>
    <col width="16" customWidth="1" min="8" max="8"/>
    <col width="11" customWidth="1" min="9" max="9"/>
    <col width="3" customWidth="1" min="10" max="10"/>
    <col width="16" customWidth="1" min="11" max="11"/>
    <col width="11" customWidth="1" min="12" max="12"/>
    <col width="3" customWidth="1" min="13" max="13"/>
    <col width="21" customWidth="1" min="14" max="14"/>
  </cols>
  <sheetData>
    <row r="1">
      <c r="A1" s="3" t="inlineStr">
        <is>
          <t>Customer</t>
        </is>
      </c>
      <c r="B1" s="3" t="inlineStr">
        <is>
          <t>City</t>
        </is>
      </c>
      <c r="C1" s="3" t="inlineStr">
        <is>
          <t>Salesperson</t>
        </is>
      </c>
      <c r="D1" s="3" t="inlineStr">
        <is>
          <t>Sales</t>
        </is>
      </c>
      <c r="F1" s="3" t="inlineStr">
        <is>
          <t>Customers</t>
        </is>
      </c>
      <c r="H1" s="3" t="inlineStr">
        <is>
          <t>Salesperson</t>
        </is>
      </c>
      <c r="I1" s="3" t="inlineStr">
        <is>
          <t>Total</t>
        </is>
      </c>
      <c r="K1" s="3" t="inlineStr">
        <is>
          <t>Leaderboard</t>
        </is>
      </c>
      <c r="L1" s="3" t="inlineStr">
        <is>
          <t>Total</t>
        </is>
      </c>
      <c r="N1" s="3" t="inlineStr">
        <is>
          <t>Bought once</t>
        </is>
      </c>
    </row>
    <row r="2">
      <c r="A2" t="inlineStr">
        <is>
          <t>Mehta &amp; Sons</t>
        </is>
      </c>
      <c r="B2" t="inlineStr">
        <is>
          <t>Mumbai</t>
        </is>
      </c>
      <c r="C2" t="inlineStr">
        <is>
          <t>Farhan Shaikh</t>
        </is>
      </c>
      <c r="D2" s="4" t="n">
        <v>165000</v>
      </c>
      <c r="F2" cm="1">
        <f t="array" ref="F2:F9">_xlfn._xlws.SORT(_xlfn.UNIQUE(A2:A21))</f>
        <v/>
      </c>
      <c r="H2" cm="1">
        <f t="array" ref="H2:H6">_xlfn.UNIQUE(C2:C21)</f>
        <v/>
      </c>
      <c r="I2" s="4" cm="1">
        <f t="array" ref="I2:I6">SUMIFS(D2:D21,C2:C21,_xlfn.ANCHORARRAY(H2))</f>
        <v/>
      </c>
      <c r="K2" cm="1">
        <f t="array" ref="K2:K6">_xlfn.SORTBY(_xlfn.ANCHORARRAY(H2),_xlfn.ANCHORARRAY(I2),-1)</f>
        <v/>
      </c>
      <c r="L2" s="4" cm="1">
        <f t="array" ref="L2:L6">_xlfn._xlws.SORT(_xlfn.ANCHORARRAY(I2),,-1)</f>
        <v/>
      </c>
      <c r="N2" cm="1">
        <f t="array" ref="N2:N3">_xlfn.UNIQUE(A2:A21,,TRUE)</f>
        <v/>
      </c>
    </row>
    <row r="3">
      <c r="A3" t="inlineStr">
        <is>
          <t>Om Sai Enterprises</t>
        </is>
      </c>
      <c r="B3" t="inlineStr">
        <is>
          <t>Nashik</t>
        </is>
      </c>
      <c r="C3" t="inlineStr">
        <is>
          <t>Sneha Patil</t>
        </is>
      </c>
      <c r="D3" s="4" t="n">
        <v>35500</v>
      </c>
      <c r="I3" s="4" t="n"/>
      <c r="L3" s="4" t="n"/>
    </row>
    <row r="4">
      <c r="A4" t="inlineStr">
        <is>
          <t>Mehta &amp; Sons</t>
        </is>
      </c>
      <c r="B4" t="inlineStr">
        <is>
          <t>Mumbai</t>
        </is>
      </c>
      <c r="C4" t="inlineStr">
        <is>
          <t>Rahul Wankhede</t>
        </is>
      </c>
      <c r="D4" s="4" t="n">
        <v>93500</v>
      </c>
      <c r="I4" s="4" t="n"/>
      <c r="L4" s="4" t="n"/>
    </row>
    <row r="5">
      <c r="A5" t="inlineStr">
        <is>
          <t>Shree Ganesh Traders</t>
        </is>
      </c>
      <c r="B5" t="inlineStr">
        <is>
          <t>Pune</t>
        </is>
      </c>
      <c r="C5" t="inlineStr">
        <is>
          <t>Amit Deshpande</t>
        </is>
      </c>
      <c r="D5" s="4" t="n">
        <v>104400</v>
      </c>
      <c r="I5" s="4" t="n"/>
      <c r="L5" s="4" t="n"/>
    </row>
    <row r="6">
      <c r="A6" t="inlineStr">
        <is>
          <t>Balaji Agencies</t>
        </is>
      </c>
      <c r="B6" t="inlineStr">
        <is>
          <t>Solapur</t>
        </is>
      </c>
      <c r="C6" t="inlineStr">
        <is>
          <t>Sneha Patil</t>
        </is>
      </c>
      <c r="D6" s="4" t="n">
        <v>32600</v>
      </c>
      <c r="I6" s="4" t="n"/>
      <c r="L6" s="4" t="n"/>
    </row>
    <row r="7">
      <c r="A7" t="inlineStr">
        <is>
          <t>Kumar Stores</t>
        </is>
      </c>
      <c r="B7" t="inlineStr">
        <is>
          <t>Nagpur</t>
        </is>
      </c>
      <c r="C7" t="inlineStr">
        <is>
          <t>Rahul Wankhede</t>
        </is>
      </c>
      <c r="D7" s="4" t="n">
        <v>211200</v>
      </c>
      <c r="I7" s="4" t="n"/>
      <c r="L7" s="4" t="n"/>
    </row>
    <row r="8">
      <c r="A8" t="inlineStr">
        <is>
          <t>Kumar Stores</t>
        </is>
      </c>
      <c r="B8" t="inlineStr">
        <is>
          <t>Nagpur</t>
        </is>
      </c>
      <c r="C8" t="inlineStr">
        <is>
          <t>Rahul Wankhede</t>
        </is>
      </c>
      <c r="D8" s="4" t="n">
        <v>172300</v>
      </c>
      <c r="I8" s="4" t="n"/>
      <c r="L8" s="4" t="n"/>
    </row>
    <row r="9">
      <c r="A9" t="inlineStr">
        <is>
          <t>Lakshmi Textiles</t>
        </is>
      </c>
      <c r="B9" t="inlineStr">
        <is>
          <t>Aurangabad</t>
        </is>
      </c>
      <c r="C9" t="inlineStr">
        <is>
          <t>Amit Deshpande</t>
        </is>
      </c>
      <c r="D9" s="4" t="n">
        <v>110500</v>
      </c>
    </row>
    <row r="10">
      <c r="A10" t="inlineStr">
        <is>
          <t>Balaji Agencies</t>
        </is>
      </c>
      <c r="B10" t="inlineStr">
        <is>
          <t>Solapur</t>
        </is>
      </c>
      <c r="C10" t="inlineStr">
        <is>
          <t>Farhan Shaikh</t>
        </is>
      </c>
      <c r="D10" s="4" t="n">
        <v>97800</v>
      </c>
    </row>
    <row r="11">
      <c r="A11" t="inlineStr">
        <is>
          <t>Patil Electricals</t>
        </is>
      </c>
      <c r="B11" t="inlineStr">
        <is>
          <t>Kolhapur</t>
        </is>
      </c>
      <c r="C11" t="inlineStr">
        <is>
          <t>Sneha Patil</t>
        </is>
      </c>
      <c r="D11" s="4" t="n">
        <v>67800</v>
      </c>
    </row>
    <row r="12">
      <c r="A12" t="inlineStr">
        <is>
          <t>Patil Electricals</t>
        </is>
      </c>
      <c r="B12" t="inlineStr">
        <is>
          <t>Kolhapur</t>
        </is>
      </c>
      <c r="C12" t="inlineStr">
        <is>
          <t>Sneha Patil</t>
        </is>
      </c>
      <c r="D12" s="4" t="n">
        <v>19100</v>
      </c>
    </row>
    <row r="13">
      <c r="A13" t="inlineStr">
        <is>
          <t>Royal Furnishers</t>
        </is>
      </c>
      <c r="B13" t="inlineStr">
        <is>
          <t>Thane</t>
        </is>
      </c>
      <c r="C13" t="inlineStr">
        <is>
          <t>Amit Deshpande</t>
        </is>
      </c>
      <c r="D13" s="4" t="n">
        <v>155100</v>
      </c>
    </row>
    <row r="14">
      <c r="A14" t="inlineStr">
        <is>
          <t>Royal Furnishers</t>
        </is>
      </c>
      <c r="B14" t="inlineStr">
        <is>
          <t>Thane</t>
        </is>
      </c>
      <c r="C14" t="inlineStr">
        <is>
          <t>Sneha Patil</t>
        </is>
      </c>
      <c r="D14" s="4" t="n">
        <v>118200</v>
      </c>
    </row>
    <row r="15">
      <c r="A15" t="inlineStr">
        <is>
          <t>Shree Ganesh Traders</t>
        </is>
      </c>
      <c r="B15" t="inlineStr">
        <is>
          <t>Pune</t>
        </is>
      </c>
      <c r="C15" t="inlineStr">
        <is>
          <t>Pooja Thakre</t>
        </is>
      </c>
      <c r="D15" s="4" t="n">
        <v>176000</v>
      </c>
    </row>
    <row r="16">
      <c r="A16" t="inlineStr">
        <is>
          <t>Kumar Stores</t>
        </is>
      </c>
      <c r="B16" t="inlineStr">
        <is>
          <t>Nagpur</t>
        </is>
      </c>
      <c r="C16" t="inlineStr">
        <is>
          <t>Amit Deshpande</t>
        </is>
      </c>
      <c r="D16" s="4" t="n">
        <v>124400</v>
      </c>
    </row>
    <row r="17">
      <c r="A17" t="inlineStr">
        <is>
          <t>Patil Electricals</t>
        </is>
      </c>
      <c r="B17" t="inlineStr">
        <is>
          <t>Kolhapur</t>
        </is>
      </c>
      <c r="C17" t="inlineStr">
        <is>
          <t>Farhan Shaikh</t>
        </is>
      </c>
      <c r="D17" s="4" t="n">
        <v>134700</v>
      </c>
    </row>
    <row r="18">
      <c r="A18" t="inlineStr">
        <is>
          <t>Royal Furnishers</t>
        </is>
      </c>
      <c r="B18" t="inlineStr">
        <is>
          <t>Thane</t>
        </is>
      </c>
      <c r="C18" t="inlineStr">
        <is>
          <t>Pooja Thakre</t>
        </is>
      </c>
      <c r="D18" s="4" t="n">
        <v>19400</v>
      </c>
    </row>
    <row r="19">
      <c r="A19" t="inlineStr">
        <is>
          <t>Mehta &amp; Sons</t>
        </is>
      </c>
      <c r="B19" t="inlineStr">
        <is>
          <t>Mumbai</t>
        </is>
      </c>
      <c r="C19" t="inlineStr">
        <is>
          <t>Rahul Wankhede</t>
        </is>
      </c>
      <c r="D19" s="4" t="n">
        <v>123900</v>
      </c>
    </row>
    <row r="20">
      <c r="A20" t="inlineStr">
        <is>
          <t>Om Sai Enterprises</t>
        </is>
      </c>
      <c r="B20" t="inlineStr">
        <is>
          <t>Nashik</t>
        </is>
      </c>
      <c r="C20" t="inlineStr">
        <is>
          <t>Rahul Wankhede</t>
        </is>
      </c>
      <c r="D20" s="4" t="n">
        <v>117600</v>
      </c>
    </row>
    <row r="21">
      <c r="A21" t="inlineStr">
        <is>
          <t>Shree Ganesh Traders</t>
        </is>
      </c>
      <c r="B21" t="inlineStr">
        <is>
          <t>Pune</t>
        </is>
      </c>
      <c r="C21" t="inlineStr">
        <is>
          <t>Farhan Shaikh</t>
        </is>
      </c>
      <c r="D21" s="4" t="n">
        <v>189300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12" customWidth="1" min="4" max="4"/>
    <col width="18" customWidth="1" min="5" max="5"/>
    <col width="10" customWidth="1" min="6" max="6"/>
    <col width="3" customWidth="1" min="7" max="7"/>
    <col width="11" customWidth="1" min="8" max="8"/>
    <col width="11" customWidth="1" min="9" max="9"/>
    <col width="8" customWidth="1" min="10" max="10"/>
    <col width="12" customWidth="1" min="11" max="11"/>
    <col width="18" customWidth="1" min="12" max="12"/>
    <col width="10" customWidth="1" min="13" max="13"/>
  </cols>
  <sheetData>
    <row r="1">
      <c r="A1" s="3" t="inlineStr">
        <is>
          <t>Order ID</t>
        </is>
      </c>
      <c r="B1" s="3" t="inlineStr">
        <is>
          <t>Date</t>
        </is>
      </c>
      <c r="C1" s="3" t="inlineStr">
        <is>
          <t>Region</t>
        </is>
      </c>
      <c r="D1" s="3" t="inlineStr">
        <is>
          <t>Category</t>
        </is>
      </c>
      <c r="E1" s="3" t="inlineStr">
        <is>
          <t>Salesperson</t>
        </is>
      </c>
      <c r="F1" s="3" t="inlineStr">
        <is>
          <t>Amount</t>
        </is>
      </c>
      <c r="H1" s="7" t="inlineStr">
        <is>
          <t>Region</t>
        </is>
      </c>
      <c r="I1" s="6" t="inlineStr">
        <is>
          <t>West</t>
        </is>
      </c>
    </row>
    <row r="2">
      <c r="A2" t="inlineStr">
        <is>
          <t>SO-3301</t>
        </is>
      </c>
      <c r="B2" s="8" t="n">
        <v>46204</v>
      </c>
      <c r="C2" t="inlineStr">
        <is>
          <t>North</t>
        </is>
      </c>
      <c r="D2" t="inlineStr">
        <is>
          <t>Furniture</t>
        </is>
      </c>
      <c r="E2" t="inlineStr">
        <is>
          <t>Neeraj Kapoor</t>
        </is>
      </c>
      <c r="F2" s="4" t="n">
        <v>72000</v>
      </c>
      <c r="H2" s="7" t="inlineStr">
        <is>
          <t>Min amount</t>
        </is>
      </c>
      <c r="I2" s="5" t="n">
        <v>50000</v>
      </c>
    </row>
    <row r="3">
      <c r="A3" t="inlineStr">
        <is>
          <t>SO-3302</t>
        </is>
      </c>
      <c r="B3" s="8" t="n">
        <v>46208</v>
      </c>
      <c r="C3" t="inlineStr">
        <is>
          <t>West</t>
        </is>
      </c>
      <c r="D3" t="inlineStr">
        <is>
          <t>Furniture</t>
        </is>
      </c>
      <c r="E3" t="inlineStr">
        <is>
          <t>Kiran Desai</t>
        </is>
      </c>
      <c r="F3" s="4" t="n">
        <v>13100</v>
      </c>
    </row>
    <row r="4">
      <c r="A4" t="inlineStr">
        <is>
          <t>SO-3303</t>
        </is>
      </c>
      <c r="B4" s="8" t="n">
        <v>46212</v>
      </c>
      <c r="C4" t="inlineStr">
        <is>
          <t>South</t>
        </is>
      </c>
      <c r="D4" t="inlineStr">
        <is>
          <t>Stationery</t>
        </is>
      </c>
      <c r="E4" t="inlineStr">
        <is>
          <t>Lakshmi Srinivasan</t>
        </is>
      </c>
      <c r="F4" s="4" t="n">
        <v>27800</v>
      </c>
      <c r="H4" s="6" t="n"/>
    </row>
    <row r="5">
      <c r="A5" t="inlineStr">
        <is>
          <t>SO-3304</t>
        </is>
      </c>
      <c r="B5" s="8" t="n">
        <v>46216</v>
      </c>
      <c r="C5" t="inlineStr">
        <is>
          <t>North</t>
        </is>
      </c>
      <c r="D5" t="inlineStr">
        <is>
          <t>Electronics</t>
        </is>
      </c>
      <c r="E5" t="inlineStr">
        <is>
          <t>Neeraj Kapoor</t>
        </is>
      </c>
      <c r="F5" s="4" t="n">
        <v>23600</v>
      </c>
      <c r="H5" s="6" t="n"/>
      <c r="I5" s="8" t="n"/>
      <c r="M5" s="4" t="n"/>
    </row>
    <row r="6">
      <c r="A6" t="inlineStr">
        <is>
          <t>SO-3305</t>
        </is>
      </c>
      <c r="B6" s="8" t="n">
        <v>46220</v>
      </c>
      <c r="C6" t="inlineStr">
        <is>
          <t>West</t>
        </is>
      </c>
      <c r="D6" t="inlineStr">
        <is>
          <t>Furniture</t>
        </is>
      </c>
      <c r="E6" t="inlineStr">
        <is>
          <t>Kiran Desai</t>
        </is>
      </c>
      <c r="F6" s="4" t="n">
        <v>45500</v>
      </c>
      <c r="I6" s="8" t="n"/>
      <c r="M6" s="4" t="n"/>
    </row>
    <row r="7">
      <c r="A7" t="inlineStr">
        <is>
          <t>SO-3306</t>
        </is>
      </c>
      <c r="B7" s="8" t="n">
        <v>46224</v>
      </c>
      <c r="C7" t="inlineStr">
        <is>
          <t>South</t>
        </is>
      </c>
      <c r="D7" t="inlineStr">
        <is>
          <t>Furniture</t>
        </is>
      </c>
      <c r="E7" t="inlineStr">
        <is>
          <t>Lakshmi Srinivasan</t>
        </is>
      </c>
      <c r="F7" s="4" t="n">
        <v>101900</v>
      </c>
      <c r="I7" s="8" t="n"/>
      <c r="M7" s="4" t="n"/>
    </row>
    <row r="8">
      <c r="A8" t="inlineStr">
        <is>
          <t>SO-3307</t>
        </is>
      </c>
      <c r="B8" s="8" t="n">
        <v>46228</v>
      </c>
      <c r="C8" t="inlineStr">
        <is>
          <t>West</t>
        </is>
      </c>
      <c r="D8" t="inlineStr">
        <is>
          <t>Electronics</t>
        </is>
      </c>
      <c r="E8" t="inlineStr">
        <is>
          <t>Kiran Desai</t>
        </is>
      </c>
      <c r="F8" s="4" t="n">
        <v>43700</v>
      </c>
      <c r="I8" s="8" t="n"/>
      <c r="M8" s="4" t="n"/>
    </row>
    <row r="9">
      <c r="A9" t="inlineStr">
        <is>
          <t>SO-3308</t>
        </is>
      </c>
      <c r="B9" s="8" t="n">
        <v>46232</v>
      </c>
      <c r="C9" t="inlineStr">
        <is>
          <t>North</t>
        </is>
      </c>
      <c r="D9" t="inlineStr">
        <is>
          <t>Furniture</t>
        </is>
      </c>
      <c r="E9" t="inlineStr">
        <is>
          <t>Neeraj Kapoor</t>
        </is>
      </c>
      <c r="F9" s="4" t="n">
        <v>81800</v>
      </c>
      <c r="I9" s="8" t="n"/>
      <c r="M9" s="4" t="n"/>
    </row>
    <row r="10">
      <c r="A10" t="inlineStr">
        <is>
          <t>SO-3309</t>
        </is>
      </c>
      <c r="B10" s="8" t="n">
        <v>46236</v>
      </c>
      <c r="C10" t="inlineStr">
        <is>
          <t>South</t>
        </is>
      </c>
      <c r="D10" t="inlineStr">
        <is>
          <t>Electronics</t>
        </is>
      </c>
      <c r="E10" t="inlineStr">
        <is>
          <t>Lakshmi Srinivasan</t>
        </is>
      </c>
      <c r="F10" s="4" t="n">
        <v>27500</v>
      </c>
      <c r="I10" s="8" t="n"/>
      <c r="M10" s="4" t="n"/>
    </row>
    <row r="11">
      <c r="A11" t="inlineStr">
        <is>
          <t>SO-3310</t>
        </is>
      </c>
      <c r="B11" s="8" t="n">
        <v>46240</v>
      </c>
      <c r="C11" t="inlineStr">
        <is>
          <t>East</t>
        </is>
      </c>
      <c r="D11" t="inlineStr">
        <is>
          <t>Electronics</t>
        </is>
      </c>
      <c r="E11" t="inlineStr">
        <is>
          <t>Arindam Ghosh</t>
        </is>
      </c>
      <c r="F11" s="4" t="n">
        <v>60000</v>
      </c>
      <c r="I11" s="8" t="n"/>
      <c r="M11" s="4" t="n"/>
    </row>
    <row r="12">
      <c r="A12" t="inlineStr">
        <is>
          <t>SO-3311</t>
        </is>
      </c>
      <c r="B12" s="8" t="n">
        <v>46244</v>
      </c>
      <c r="C12" t="inlineStr">
        <is>
          <t>East</t>
        </is>
      </c>
      <c r="D12" t="inlineStr">
        <is>
          <t>Electronics</t>
        </is>
      </c>
      <c r="E12" t="inlineStr">
        <is>
          <t>Arindam Ghosh</t>
        </is>
      </c>
      <c r="F12" s="4" t="n">
        <v>72400</v>
      </c>
      <c r="I12" s="8" t="n"/>
      <c r="M12" s="4" t="n"/>
    </row>
    <row r="13">
      <c r="A13" t="inlineStr">
        <is>
          <t>SO-3312</t>
        </is>
      </c>
      <c r="B13" s="8" t="n">
        <v>46248</v>
      </c>
      <c r="C13" t="inlineStr">
        <is>
          <t>West</t>
        </is>
      </c>
      <c r="D13" t="inlineStr">
        <is>
          <t>Furniture</t>
        </is>
      </c>
      <c r="E13" t="inlineStr">
        <is>
          <t>Kiran Desai</t>
        </is>
      </c>
      <c r="F13" s="4" t="n">
        <v>36400</v>
      </c>
      <c r="I13" s="8" t="n"/>
      <c r="M13" s="4" t="n"/>
    </row>
    <row r="14">
      <c r="A14" t="inlineStr">
        <is>
          <t>SO-3313</t>
        </is>
      </c>
      <c r="B14" s="8" t="n">
        <v>46252</v>
      </c>
      <c r="C14" t="inlineStr">
        <is>
          <t>West</t>
        </is>
      </c>
      <c r="D14" t="inlineStr">
        <is>
          <t>Furniture</t>
        </is>
      </c>
      <c r="E14" t="inlineStr">
        <is>
          <t>Kiran Desai</t>
        </is>
      </c>
      <c r="F14" s="4" t="n">
        <v>88100</v>
      </c>
      <c r="I14" s="8" t="n"/>
      <c r="M14" s="4" t="n"/>
    </row>
    <row r="15">
      <c r="A15" t="inlineStr">
        <is>
          <t>SO-3314</t>
        </is>
      </c>
      <c r="B15" s="8" t="n">
        <v>46256</v>
      </c>
      <c r="C15" t="inlineStr">
        <is>
          <t>South</t>
        </is>
      </c>
      <c r="D15" t="inlineStr">
        <is>
          <t>Electronics</t>
        </is>
      </c>
      <c r="E15" t="inlineStr">
        <is>
          <t>Lakshmi Srinivasan</t>
        </is>
      </c>
      <c r="F15" s="4" t="n">
        <v>24800</v>
      </c>
      <c r="I15" s="8" t="n"/>
      <c r="M15" s="4" t="n"/>
    </row>
    <row r="16">
      <c r="A16" t="inlineStr">
        <is>
          <t>SO-3315</t>
        </is>
      </c>
      <c r="B16" s="8" t="n">
        <v>46260</v>
      </c>
      <c r="C16" t="inlineStr">
        <is>
          <t>North</t>
        </is>
      </c>
      <c r="D16" t="inlineStr">
        <is>
          <t>Stationery</t>
        </is>
      </c>
      <c r="E16" t="inlineStr">
        <is>
          <t>Neeraj Kapoor</t>
        </is>
      </c>
      <c r="F16" s="4" t="n">
        <v>14400</v>
      </c>
    </row>
    <row r="17">
      <c r="A17" t="inlineStr">
        <is>
          <t>SO-3316</t>
        </is>
      </c>
      <c r="B17" s="8" t="n">
        <v>46264</v>
      </c>
      <c r="C17" t="inlineStr">
        <is>
          <t>East</t>
        </is>
      </c>
      <c r="D17" t="inlineStr">
        <is>
          <t>Furniture</t>
        </is>
      </c>
      <c r="E17" t="inlineStr">
        <is>
          <t>Arindam Ghosh</t>
        </is>
      </c>
      <c r="F17" s="4" t="n">
        <v>70300</v>
      </c>
      <c r="H17" s="9" t="inlineStr">
        <is>
          <t>Challenge: Electronics OR Furniture</t>
        </is>
      </c>
    </row>
    <row r="18">
      <c r="A18" t="inlineStr">
        <is>
          <t>SO-3317</t>
        </is>
      </c>
      <c r="B18" s="8" t="n">
        <v>46268</v>
      </c>
      <c r="C18" t="inlineStr">
        <is>
          <t>South</t>
        </is>
      </c>
      <c r="D18" t="inlineStr">
        <is>
          <t>Furniture</t>
        </is>
      </c>
      <c r="E18" t="inlineStr">
        <is>
          <t>Lakshmi Srinivasan</t>
        </is>
      </c>
      <c r="F18" s="4" t="n">
        <v>70500</v>
      </c>
      <c r="H18" s="6" t="n"/>
      <c r="I18" s="8" t="n"/>
      <c r="M18" s="4" t="n"/>
    </row>
    <row r="19">
      <c r="A19" t="inlineStr">
        <is>
          <t>SO-3318</t>
        </is>
      </c>
      <c r="B19" s="8" t="n">
        <v>46272</v>
      </c>
      <c r="C19" t="inlineStr">
        <is>
          <t>West</t>
        </is>
      </c>
      <c r="D19" t="inlineStr">
        <is>
          <t>Electronics</t>
        </is>
      </c>
      <c r="E19" t="inlineStr">
        <is>
          <t>Kiran Desai</t>
        </is>
      </c>
      <c r="F19" s="4" t="n">
        <v>89800</v>
      </c>
      <c r="I19" s="8" t="n"/>
      <c r="M19" s="4" t="n"/>
    </row>
    <row r="20">
      <c r="A20" t="inlineStr">
        <is>
          <t>SO-3319</t>
        </is>
      </c>
      <c r="B20" s="8" t="n">
        <v>46276</v>
      </c>
      <c r="C20" t="inlineStr">
        <is>
          <t>East</t>
        </is>
      </c>
      <c r="D20" t="inlineStr">
        <is>
          <t>Stationery</t>
        </is>
      </c>
      <c r="E20" t="inlineStr">
        <is>
          <t>Arindam Ghosh</t>
        </is>
      </c>
      <c r="F20" s="4" t="n">
        <v>91200</v>
      </c>
      <c r="I20" s="8" t="n"/>
      <c r="M20" s="4" t="n"/>
    </row>
    <row r="21">
      <c r="A21" t="inlineStr">
        <is>
          <t>SO-3320</t>
        </is>
      </c>
      <c r="B21" s="8" t="n">
        <v>46280</v>
      </c>
      <c r="C21" t="inlineStr">
        <is>
          <t>North</t>
        </is>
      </c>
      <c r="D21" t="inlineStr">
        <is>
          <t>Furniture</t>
        </is>
      </c>
      <c r="E21" t="inlineStr">
        <is>
          <t>Neeraj Kapoor</t>
        </is>
      </c>
      <c r="F21" s="4" t="n">
        <v>62800</v>
      </c>
      <c r="I21" s="8" t="n"/>
      <c r="M21" s="4" t="n"/>
    </row>
    <row r="22">
      <c r="I22" s="8" t="n"/>
      <c r="M22" s="4" t="n"/>
    </row>
    <row r="23">
      <c r="I23" s="8" t="n"/>
      <c r="M23" s="4" t="n"/>
    </row>
    <row r="24">
      <c r="I24" s="8" t="n"/>
      <c r="M24" s="4" t="n"/>
    </row>
    <row r="25">
      <c r="I25" s="8" t="n"/>
      <c r="M25" s="4" t="n"/>
    </row>
    <row r="26">
      <c r="I26" s="8" t="n"/>
      <c r="M26" s="4" t="n"/>
    </row>
    <row r="27">
      <c r="I27" s="8" t="n"/>
      <c r="M27" s="4" t="n"/>
    </row>
    <row r="28">
      <c r="I28" s="8" t="n"/>
      <c r="M28" s="4" t="n"/>
    </row>
    <row r="29">
      <c r="I29" s="8" t="n"/>
      <c r="M29" s="4" t="n"/>
    </row>
    <row r="30">
      <c r="I30" s="8" t="n"/>
      <c r="M30" s="4" t="n"/>
    </row>
    <row r="31">
      <c r="I31" s="8" t="n"/>
      <c r="M31" s="4" t="n"/>
    </row>
    <row r="32">
      <c r="I32" s="8" t="n"/>
      <c r="M32" s="4" t="n"/>
    </row>
    <row r="33">
      <c r="I33" s="8" t="n"/>
      <c r="M33" s="4" t="n"/>
    </row>
    <row r="34">
      <c r="I34" s="8" t="n"/>
      <c r="M34" s="4" t="n"/>
    </row>
    <row r="35">
      <c r="I35" s="8" t="n"/>
      <c r="M35" s="4" t="n"/>
    </row>
    <row r="36">
      <c r="I36" s="8" t="n"/>
      <c r="M36" s="4" t="n"/>
    </row>
    <row r="37">
      <c r="I37" s="8" t="n"/>
      <c r="M37" s="4" t="n"/>
    </row>
    <row r="38">
      <c r="I38" s="8" t="n"/>
      <c r="M38" s="4" t="n"/>
    </row>
    <row r="39">
      <c r="I39" s="8" t="n"/>
      <c r="M39" s="4" t="n"/>
    </row>
    <row r="40">
      <c r="I40" s="8" t="n"/>
      <c r="M40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12" customWidth="1" min="4" max="4"/>
    <col width="18" customWidth="1" min="5" max="5"/>
    <col width="10" customWidth="1" min="6" max="6"/>
    <col width="3" customWidth="1" min="7" max="7"/>
    <col width="11" customWidth="1" min="8" max="8"/>
    <col width="11" customWidth="1" min="9" max="9"/>
    <col width="8" customWidth="1" min="10" max="10"/>
    <col width="12" customWidth="1" min="11" max="11"/>
    <col width="18" customWidth="1" min="12" max="12"/>
    <col width="10" customWidth="1" min="13" max="13"/>
  </cols>
  <sheetData>
    <row r="1">
      <c r="A1" s="3" t="inlineStr">
        <is>
          <t>Order ID</t>
        </is>
      </c>
      <c r="B1" s="3" t="inlineStr">
        <is>
          <t>Date</t>
        </is>
      </c>
      <c r="C1" s="3" t="inlineStr">
        <is>
          <t>Region</t>
        </is>
      </c>
      <c r="D1" s="3" t="inlineStr">
        <is>
          <t>Category</t>
        </is>
      </c>
      <c r="E1" s="3" t="inlineStr">
        <is>
          <t>Salesperson</t>
        </is>
      </c>
      <c r="F1" s="3" t="inlineStr">
        <is>
          <t>Amount</t>
        </is>
      </c>
      <c r="H1" s="7" t="inlineStr">
        <is>
          <t>Region</t>
        </is>
      </c>
      <c r="I1" s="6" t="inlineStr">
        <is>
          <t>West</t>
        </is>
      </c>
    </row>
    <row r="2">
      <c r="A2" t="inlineStr">
        <is>
          <t>SO-3301</t>
        </is>
      </c>
      <c r="B2" s="8" t="n">
        <v>46204</v>
      </c>
      <c r="C2" t="inlineStr">
        <is>
          <t>North</t>
        </is>
      </c>
      <c r="D2" t="inlineStr">
        <is>
          <t>Furniture</t>
        </is>
      </c>
      <c r="E2" t="inlineStr">
        <is>
          <t>Neeraj Kapoor</t>
        </is>
      </c>
      <c r="F2" s="4" t="n">
        <v>72000</v>
      </c>
      <c r="H2" s="7" t="inlineStr">
        <is>
          <t>Min amount</t>
        </is>
      </c>
      <c r="I2" s="5" t="n">
        <v>50000</v>
      </c>
    </row>
    <row r="3">
      <c r="A3" t="inlineStr">
        <is>
          <t>SO-3302</t>
        </is>
      </c>
      <c r="B3" s="8" t="n">
        <v>46208</v>
      </c>
      <c r="C3" t="inlineStr">
        <is>
          <t>West</t>
        </is>
      </c>
      <c r="D3" t="inlineStr">
        <is>
          <t>Furniture</t>
        </is>
      </c>
      <c r="E3" t="inlineStr">
        <is>
          <t>Kiran Desai</t>
        </is>
      </c>
      <c r="F3" s="4" t="n">
        <v>13100</v>
      </c>
    </row>
    <row r="4">
      <c r="A4" t="inlineStr">
        <is>
          <t>SO-3303</t>
        </is>
      </c>
      <c r="B4" s="8" t="n">
        <v>46212</v>
      </c>
      <c r="C4" t="inlineStr">
        <is>
          <t>South</t>
        </is>
      </c>
      <c r="D4" t="inlineStr">
        <is>
          <t>Stationery</t>
        </is>
      </c>
      <c r="E4" t="inlineStr">
        <is>
          <t>Lakshmi Srinivasan</t>
        </is>
      </c>
      <c r="F4" s="4" t="n">
        <v>27800</v>
      </c>
      <c r="H4" cm="1">
        <f t="array" ref="H4:M4">A1:F1</f>
        <v/>
      </c>
    </row>
    <row r="5">
      <c r="A5" t="inlineStr">
        <is>
          <t>SO-3304</t>
        </is>
      </c>
      <c r="B5" s="8" t="n">
        <v>46216</v>
      </c>
      <c r="C5" t="inlineStr">
        <is>
          <t>North</t>
        </is>
      </c>
      <c r="D5" t="inlineStr">
        <is>
          <t>Electronics</t>
        </is>
      </c>
      <c r="E5" t="inlineStr">
        <is>
          <t>Neeraj Kapoor</t>
        </is>
      </c>
      <c r="F5" s="4" t="n">
        <v>23600</v>
      </c>
      <c r="H5" cm="1">
        <f t="array" ref="H5:M6">_xlfn._xlws.FILTER(A2:F21,(C2:C21=I1)*(F2:F21&gt;=I2),"No orders")</f>
        <v/>
      </c>
      <c r="I5" s="8" t="n"/>
      <c r="M5" s="4" t="n"/>
    </row>
    <row r="6">
      <c r="A6" t="inlineStr">
        <is>
          <t>SO-3305</t>
        </is>
      </c>
      <c r="B6" s="8" t="n">
        <v>46220</v>
      </c>
      <c r="C6" t="inlineStr">
        <is>
          <t>West</t>
        </is>
      </c>
      <c r="D6" t="inlineStr">
        <is>
          <t>Furniture</t>
        </is>
      </c>
      <c r="E6" t="inlineStr">
        <is>
          <t>Kiran Desai</t>
        </is>
      </c>
      <c r="F6" s="4" t="n">
        <v>45500</v>
      </c>
      <c r="I6" s="8" t="n"/>
      <c r="M6" s="4" t="n"/>
    </row>
    <row r="7">
      <c r="A7" t="inlineStr">
        <is>
          <t>SO-3306</t>
        </is>
      </c>
      <c r="B7" s="8" t="n">
        <v>46224</v>
      </c>
      <c r="C7" t="inlineStr">
        <is>
          <t>South</t>
        </is>
      </c>
      <c r="D7" t="inlineStr">
        <is>
          <t>Furniture</t>
        </is>
      </c>
      <c r="E7" t="inlineStr">
        <is>
          <t>Lakshmi Srinivasan</t>
        </is>
      </c>
      <c r="F7" s="4" t="n">
        <v>101900</v>
      </c>
      <c r="I7" s="8" t="n"/>
      <c r="M7" s="4" t="n"/>
    </row>
    <row r="8">
      <c r="A8" t="inlineStr">
        <is>
          <t>SO-3307</t>
        </is>
      </c>
      <c r="B8" s="8" t="n">
        <v>46228</v>
      </c>
      <c r="C8" t="inlineStr">
        <is>
          <t>West</t>
        </is>
      </c>
      <c r="D8" t="inlineStr">
        <is>
          <t>Electronics</t>
        </is>
      </c>
      <c r="E8" t="inlineStr">
        <is>
          <t>Kiran Desai</t>
        </is>
      </c>
      <c r="F8" s="4" t="n">
        <v>43700</v>
      </c>
      <c r="I8" s="8" t="n"/>
      <c r="M8" s="4" t="n"/>
    </row>
    <row r="9">
      <c r="A9" t="inlineStr">
        <is>
          <t>SO-3308</t>
        </is>
      </c>
      <c r="B9" s="8" t="n">
        <v>46232</v>
      </c>
      <c r="C9" t="inlineStr">
        <is>
          <t>North</t>
        </is>
      </c>
      <c r="D9" t="inlineStr">
        <is>
          <t>Furniture</t>
        </is>
      </c>
      <c r="E9" t="inlineStr">
        <is>
          <t>Neeraj Kapoor</t>
        </is>
      </c>
      <c r="F9" s="4" t="n">
        <v>81800</v>
      </c>
      <c r="I9" s="8" t="n"/>
      <c r="M9" s="4" t="n"/>
    </row>
    <row r="10">
      <c r="A10" t="inlineStr">
        <is>
          <t>SO-3309</t>
        </is>
      </c>
      <c r="B10" s="8" t="n">
        <v>46236</v>
      </c>
      <c r="C10" t="inlineStr">
        <is>
          <t>South</t>
        </is>
      </c>
      <c r="D10" t="inlineStr">
        <is>
          <t>Electronics</t>
        </is>
      </c>
      <c r="E10" t="inlineStr">
        <is>
          <t>Lakshmi Srinivasan</t>
        </is>
      </c>
      <c r="F10" s="4" t="n">
        <v>27500</v>
      </c>
      <c r="I10" s="8" t="n"/>
      <c r="M10" s="4" t="n"/>
    </row>
    <row r="11">
      <c r="A11" t="inlineStr">
        <is>
          <t>SO-3310</t>
        </is>
      </c>
      <c r="B11" s="8" t="n">
        <v>46240</v>
      </c>
      <c r="C11" t="inlineStr">
        <is>
          <t>East</t>
        </is>
      </c>
      <c r="D11" t="inlineStr">
        <is>
          <t>Electronics</t>
        </is>
      </c>
      <c r="E11" t="inlineStr">
        <is>
          <t>Arindam Ghosh</t>
        </is>
      </c>
      <c r="F11" s="4" t="n">
        <v>60000</v>
      </c>
      <c r="I11" s="8" t="n"/>
      <c r="M11" s="4" t="n"/>
    </row>
    <row r="12">
      <c r="A12" t="inlineStr">
        <is>
          <t>SO-3311</t>
        </is>
      </c>
      <c r="B12" s="8" t="n">
        <v>46244</v>
      </c>
      <c r="C12" t="inlineStr">
        <is>
          <t>East</t>
        </is>
      </c>
      <c r="D12" t="inlineStr">
        <is>
          <t>Electronics</t>
        </is>
      </c>
      <c r="E12" t="inlineStr">
        <is>
          <t>Arindam Ghosh</t>
        </is>
      </c>
      <c r="F12" s="4" t="n">
        <v>72400</v>
      </c>
      <c r="I12" s="8" t="n"/>
      <c r="M12" s="4" t="n"/>
    </row>
    <row r="13">
      <c r="A13" t="inlineStr">
        <is>
          <t>SO-3312</t>
        </is>
      </c>
      <c r="B13" s="8" t="n">
        <v>46248</v>
      </c>
      <c r="C13" t="inlineStr">
        <is>
          <t>West</t>
        </is>
      </c>
      <c r="D13" t="inlineStr">
        <is>
          <t>Furniture</t>
        </is>
      </c>
      <c r="E13" t="inlineStr">
        <is>
          <t>Kiran Desai</t>
        </is>
      </c>
      <c r="F13" s="4" t="n">
        <v>36400</v>
      </c>
      <c r="I13" s="8" t="n"/>
      <c r="M13" s="4" t="n"/>
    </row>
    <row r="14">
      <c r="A14" t="inlineStr">
        <is>
          <t>SO-3313</t>
        </is>
      </c>
      <c r="B14" s="8" t="n">
        <v>46252</v>
      </c>
      <c r="C14" t="inlineStr">
        <is>
          <t>West</t>
        </is>
      </c>
      <c r="D14" t="inlineStr">
        <is>
          <t>Furniture</t>
        </is>
      </c>
      <c r="E14" t="inlineStr">
        <is>
          <t>Kiran Desai</t>
        </is>
      </c>
      <c r="F14" s="4" t="n">
        <v>88100</v>
      </c>
      <c r="I14" s="8" t="n"/>
      <c r="M14" s="4" t="n"/>
    </row>
    <row r="15">
      <c r="A15" t="inlineStr">
        <is>
          <t>SO-3314</t>
        </is>
      </c>
      <c r="B15" s="8" t="n">
        <v>46256</v>
      </c>
      <c r="C15" t="inlineStr">
        <is>
          <t>South</t>
        </is>
      </c>
      <c r="D15" t="inlineStr">
        <is>
          <t>Electronics</t>
        </is>
      </c>
      <c r="E15" t="inlineStr">
        <is>
          <t>Lakshmi Srinivasan</t>
        </is>
      </c>
      <c r="F15" s="4" t="n">
        <v>24800</v>
      </c>
      <c r="I15" s="8" t="n"/>
      <c r="M15" s="4" t="n"/>
    </row>
    <row r="16">
      <c r="A16" t="inlineStr">
        <is>
          <t>SO-3315</t>
        </is>
      </c>
      <c r="B16" s="8" t="n">
        <v>46260</v>
      </c>
      <c r="C16" t="inlineStr">
        <is>
          <t>North</t>
        </is>
      </c>
      <c r="D16" t="inlineStr">
        <is>
          <t>Stationery</t>
        </is>
      </c>
      <c r="E16" t="inlineStr">
        <is>
          <t>Neeraj Kapoor</t>
        </is>
      </c>
      <c r="F16" s="4" t="n">
        <v>14400</v>
      </c>
    </row>
    <row r="17">
      <c r="A17" t="inlineStr">
        <is>
          <t>SO-3316</t>
        </is>
      </c>
      <c r="B17" s="8" t="n">
        <v>46264</v>
      </c>
      <c r="C17" t="inlineStr">
        <is>
          <t>East</t>
        </is>
      </c>
      <c r="D17" t="inlineStr">
        <is>
          <t>Furniture</t>
        </is>
      </c>
      <c r="E17" t="inlineStr">
        <is>
          <t>Arindam Ghosh</t>
        </is>
      </c>
      <c r="F17" s="4" t="n">
        <v>70300</v>
      </c>
      <c r="H17" s="9" t="inlineStr">
        <is>
          <t>Challenge: Electronics OR Furniture</t>
        </is>
      </c>
    </row>
    <row r="18">
      <c r="A18" t="inlineStr">
        <is>
          <t>SO-3317</t>
        </is>
      </c>
      <c r="B18" s="8" t="n">
        <v>46268</v>
      </c>
      <c r="C18" t="inlineStr">
        <is>
          <t>South</t>
        </is>
      </c>
      <c r="D18" t="inlineStr">
        <is>
          <t>Furniture</t>
        </is>
      </c>
      <c r="E18" t="inlineStr">
        <is>
          <t>Lakshmi Srinivasan</t>
        </is>
      </c>
      <c r="F18" s="4" t="n">
        <v>70500</v>
      </c>
      <c r="H18" cm="1">
        <f t="array" ref="H18:M34">_xlfn._xlws.FILTER(A2:F21,(D2:D21="Electronics")+(D2:D21="Furniture"),"No orders")</f>
        <v/>
      </c>
      <c r="I18" s="8" t="n"/>
      <c r="M18" s="4" t="n"/>
    </row>
    <row r="19">
      <c r="A19" t="inlineStr">
        <is>
          <t>SO-3318</t>
        </is>
      </c>
      <c r="B19" s="8" t="n">
        <v>46272</v>
      </c>
      <c r="C19" t="inlineStr">
        <is>
          <t>West</t>
        </is>
      </c>
      <c r="D19" t="inlineStr">
        <is>
          <t>Electronics</t>
        </is>
      </c>
      <c r="E19" t="inlineStr">
        <is>
          <t>Kiran Desai</t>
        </is>
      </c>
      <c r="F19" s="4" t="n">
        <v>89800</v>
      </c>
      <c r="I19" s="8" t="n"/>
      <c r="M19" s="4" t="n"/>
    </row>
    <row r="20">
      <c r="A20" t="inlineStr">
        <is>
          <t>SO-3319</t>
        </is>
      </c>
      <c r="B20" s="8" t="n">
        <v>46276</v>
      </c>
      <c r="C20" t="inlineStr">
        <is>
          <t>East</t>
        </is>
      </c>
      <c r="D20" t="inlineStr">
        <is>
          <t>Stationery</t>
        </is>
      </c>
      <c r="E20" t="inlineStr">
        <is>
          <t>Arindam Ghosh</t>
        </is>
      </c>
      <c r="F20" s="4" t="n">
        <v>91200</v>
      </c>
      <c r="I20" s="8" t="n"/>
      <c r="M20" s="4" t="n"/>
    </row>
    <row r="21">
      <c r="A21" t="inlineStr">
        <is>
          <t>SO-3320</t>
        </is>
      </c>
      <c r="B21" s="8" t="n">
        <v>46280</v>
      </c>
      <c r="C21" t="inlineStr">
        <is>
          <t>North</t>
        </is>
      </c>
      <c r="D21" t="inlineStr">
        <is>
          <t>Furniture</t>
        </is>
      </c>
      <c r="E21" t="inlineStr">
        <is>
          <t>Neeraj Kapoor</t>
        </is>
      </c>
      <c r="F21" s="4" t="n">
        <v>62800</v>
      </c>
      <c r="I21" s="8" t="n"/>
      <c r="M21" s="4" t="n"/>
    </row>
    <row r="22">
      <c r="I22" s="8" t="n"/>
      <c r="M22" s="4" t="n"/>
    </row>
    <row r="23">
      <c r="I23" s="8" t="n"/>
      <c r="M23" s="4" t="n"/>
    </row>
    <row r="24">
      <c r="I24" s="8" t="n"/>
      <c r="M24" s="4" t="n"/>
    </row>
    <row r="25">
      <c r="I25" s="8" t="n"/>
      <c r="M25" s="4" t="n"/>
    </row>
    <row r="26">
      <c r="I26" s="8" t="n"/>
      <c r="M26" s="4" t="n"/>
    </row>
    <row r="27">
      <c r="I27" s="8" t="n"/>
      <c r="M27" s="4" t="n"/>
    </row>
    <row r="28">
      <c r="I28" s="8" t="n"/>
      <c r="M28" s="4" t="n"/>
    </row>
    <row r="29">
      <c r="I29" s="8" t="n"/>
      <c r="M29" s="4" t="n"/>
    </row>
    <row r="30">
      <c r="I30" s="8" t="n"/>
      <c r="M30" s="4" t="n"/>
    </row>
    <row r="31">
      <c r="I31" s="8" t="n"/>
      <c r="M31" s="4" t="n"/>
    </row>
    <row r="32">
      <c r="I32" s="8" t="n"/>
      <c r="M32" s="4" t="n"/>
    </row>
    <row r="33">
      <c r="I33" s="8" t="n"/>
      <c r="M33" s="4" t="n"/>
    </row>
    <row r="34">
      <c r="I34" s="8" t="n"/>
      <c r="M34" s="4" t="n"/>
    </row>
    <row r="35">
      <c r="I35" s="8" t="n"/>
      <c r="M35" s="4" t="n"/>
    </row>
    <row r="36">
      <c r="I36" s="8" t="n"/>
      <c r="M36" s="4" t="n"/>
    </row>
    <row r="37">
      <c r="I37" s="8" t="n"/>
      <c r="M37" s="4" t="n"/>
    </row>
    <row r="38">
      <c r="I38" s="8" t="n"/>
      <c r="M38" s="4" t="n"/>
    </row>
    <row r="39">
      <c r="I39" s="8" t="n"/>
      <c r="M39" s="4" t="n"/>
    </row>
    <row r="40">
      <c r="I40" s="8" t="n"/>
      <c r="M40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1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13" customWidth="1" min="12" max="12"/>
    <col width="3" customWidth="1" min="13" max="13"/>
    <col width="26" customWidth="1" min="14" max="14"/>
  </cols>
  <sheetData>
    <row r="1">
      <c r="A1" s="3" t="inlineStr">
        <is>
          <t>No.</t>
        </is>
      </c>
      <c r="B1" s="3" t="inlineStr">
        <is>
          <t>Invoice No</t>
        </is>
      </c>
      <c r="D1" s="3" t="inlineStr">
        <is>
          <t>Mon</t>
        </is>
      </c>
      <c r="E1" s="3" t="inlineStr">
        <is>
          <t>Tue</t>
        </is>
      </c>
      <c r="F1" s="3" t="inlineStr">
        <is>
          <t>Wed</t>
        </is>
      </c>
      <c r="G1" s="3" t="inlineStr">
        <is>
          <t>Thu</t>
        </is>
      </c>
      <c r="H1" s="3" t="inlineStr">
        <is>
          <t>Fri</t>
        </is>
      </c>
      <c r="I1" s="3" t="inlineStr">
        <is>
          <t>Sat</t>
        </is>
      </c>
      <c r="J1" s="3" t="inlineStr">
        <is>
          <t>Sun</t>
        </is>
      </c>
      <c r="L1" s="3" t="inlineStr">
        <is>
          <t>Random sales</t>
        </is>
      </c>
      <c r="N1" s="3" t="inlineStr">
        <is>
          <t>Challenge: FY month starts</t>
        </is>
      </c>
    </row>
    <row r="2">
      <c r="A2" s="6" t="n"/>
      <c r="B2" s="6" t="n"/>
      <c r="D2" s="10" t="n"/>
      <c r="E2" s="11" t="n"/>
      <c r="F2" s="11" t="n"/>
      <c r="G2" s="11" t="n"/>
      <c r="H2" s="11" t="n"/>
      <c r="I2" s="11" t="n"/>
      <c r="J2" s="11" t="n"/>
      <c r="L2" s="5" t="n"/>
      <c r="N2" s="12" t="n"/>
    </row>
    <row r="3">
      <c r="D3" s="11" t="n"/>
      <c r="E3" s="11" t="n"/>
      <c r="F3" s="11" t="n"/>
      <c r="G3" s="11" t="n"/>
      <c r="H3" s="11" t="n"/>
      <c r="I3" s="11" t="n"/>
      <c r="J3" s="11" t="n"/>
      <c r="L3" s="4" t="n"/>
      <c r="N3" s="13" t="n"/>
    </row>
    <row r="4">
      <c r="D4" s="11" t="n"/>
      <c r="E4" s="11" t="n"/>
      <c r="F4" s="11" t="n"/>
      <c r="G4" s="11" t="n"/>
      <c r="H4" s="11" t="n"/>
      <c r="I4" s="11" t="n"/>
      <c r="J4" s="11" t="n"/>
      <c r="L4" s="4" t="n"/>
      <c r="N4" s="13" t="n"/>
    </row>
    <row r="5">
      <c r="D5" s="11" t="n"/>
      <c r="E5" s="11" t="n"/>
      <c r="F5" s="11" t="n"/>
      <c r="G5" s="11" t="n"/>
      <c r="H5" s="11" t="n"/>
      <c r="I5" s="11" t="n"/>
      <c r="J5" s="11" t="n"/>
      <c r="L5" s="4" t="n"/>
      <c r="N5" s="13" t="n"/>
    </row>
    <row r="6">
      <c r="D6" s="11" t="n"/>
      <c r="E6" s="11" t="n"/>
      <c r="F6" s="11" t="n"/>
      <c r="G6" s="11" t="n"/>
      <c r="H6" s="11" t="n"/>
      <c r="I6" s="11" t="n"/>
      <c r="J6" s="11" t="n"/>
      <c r="L6" s="4" t="n"/>
      <c r="N6" s="13" t="n"/>
    </row>
    <row r="7">
      <c r="L7" s="4" t="n"/>
      <c r="N7" s="13" t="n"/>
    </row>
    <row r="8">
      <c r="D8" s="14" t="inlineStr">
        <is>
          <t>Calendar starts Monday 26-10-2026 (week of 1 November 2026)</t>
        </is>
      </c>
      <c r="L8" s="4" t="n"/>
      <c r="N8" s="13" t="n"/>
    </row>
    <row r="9">
      <c r="L9" s="4" t="n"/>
      <c r="N9" s="13" t="n"/>
    </row>
    <row r="10">
      <c r="L10" s="4" t="n"/>
      <c r="N10" s="13" t="n"/>
    </row>
    <row r="11">
      <c r="L11" s="4" t="n"/>
      <c r="N11" s="13" t="n"/>
    </row>
    <row r="12">
      <c r="N12" s="13" t="n"/>
    </row>
    <row r="13">
      <c r="N13" s="13" t="n"/>
    </row>
    <row r="14">
      <c r="A14" s="7" t="inlineStr">
        <is>
          <t>Loan amount</t>
        </is>
      </c>
      <c r="B14" s="4" t="n">
        <v>500000</v>
      </c>
    </row>
    <row r="15">
      <c r="A15" s="7" t="inlineStr">
        <is>
          <t>Annual rate</t>
        </is>
      </c>
      <c r="B15" s="15" t="n">
        <v>0.09</v>
      </c>
    </row>
    <row r="16">
      <c r="A16" s="7" t="inlineStr">
        <is>
          <t>Months</t>
        </is>
      </c>
      <c r="B16" t="n">
        <v>12</v>
      </c>
    </row>
    <row r="17">
      <c r="A17" s="7" t="inlineStr">
        <is>
          <t>EMI</t>
        </is>
      </c>
      <c r="B17" s="16" t="n"/>
    </row>
    <row r="19">
      <c r="A19" s="3" t="inlineStr">
        <is>
          <t>Month</t>
        </is>
      </c>
      <c r="B19" s="3" t="inlineStr">
        <is>
          <t>Due date</t>
        </is>
      </c>
      <c r="C19" s="3" t="inlineStr">
        <is>
          <t>Interest</t>
        </is>
      </c>
      <c r="D19" s="3" t="inlineStr">
        <is>
          <t>Principal</t>
        </is>
      </c>
    </row>
    <row r="20">
      <c r="A20" s="6" t="n"/>
      <c r="B20" s="17" t="n"/>
      <c r="C20" s="16" t="n"/>
      <c r="D20" s="16" t="n"/>
    </row>
    <row r="21">
      <c r="B21" s="8" t="n"/>
      <c r="C21" s="18" t="n"/>
      <c r="D21" s="18" t="n"/>
    </row>
    <row r="22">
      <c r="B22" s="8" t="n"/>
      <c r="C22" s="18" t="n"/>
      <c r="D22" s="18" t="n"/>
    </row>
    <row r="23">
      <c r="B23" s="8" t="n"/>
      <c r="C23" s="18" t="n"/>
      <c r="D23" s="18" t="n"/>
    </row>
    <row r="24">
      <c r="B24" s="8" t="n"/>
      <c r="C24" s="18" t="n"/>
      <c r="D24" s="18" t="n"/>
    </row>
    <row r="25">
      <c r="B25" s="8" t="n"/>
      <c r="C25" s="18" t="n"/>
      <c r="D25" s="18" t="n"/>
    </row>
    <row r="26">
      <c r="B26" s="8" t="n"/>
      <c r="C26" s="18" t="n"/>
      <c r="D26" s="18" t="n"/>
    </row>
    <row r="27">
      <c r="B27" s="8" t="n"/>
      <c r="C27" s="18" t="n"/>
      <c r="D27" s="18" t="n"/>
    </row>
    <row r="28">
      <c r="B28" s="8" t="n"/>
      <c r="C28" s="18" t="n"/>
      <c r="D28" s="18" t="n"/>
    </row>
    <row r="29">
      <c r="B29" s="8" t="n"/>
      <c r="C29" s="18" t="n"/>
      <c r="D29" s="18" t="n"/>
    </row>
    <row r="30">
      <c r="B30" s="8" t="n"/>
      <c r="C30" s="18" t="n"/>
      <c r="D30" s="18" t="n"/>
    </row>
    <row r="31">
      <c r="B31" s="8" t="n"/>
      <c r="C31" s="18" t="n"/>
      <c r="D31" s="1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1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13" customWidth="1" min="12" max="12"/>
    <col width="3" customWidth="1" min="13" max="13"/>
    <col width="26" customWidth="1" min="14" max="14"/>
  </cols>
  <sheetData>
    <row r="1">
      <c r="A1" s="3" t="inlineStr">
        <is>
          <t>No.</t>
        </is>
      </c>
      <c r="B1" s="3" t="inlineStr">
        <is>
          <t>Invoice No</t>
        </is>
      </c>
      <c r="D1" s="3" t="inlineStr">
        <is>
          <t>Mon</t>
        </is>
      </c>
      <c r="E1" s="3" t="inlineStr">
        <is>
          <t>Tue</t>
        </is>
      </c>
      <c r="F1" s="3" t="inlineStr">
        <is>
          <t>Wed</t>
        </is>
      </c>
      <c r="G1" s="3" t="inlineStr">
        <is>
          <t>Thu</t>
        </is>
      </c>
      <c r="H1" s="3" t="inlineStr">
        <is>
          <t>Fri</t>
        </is>
      </c>
      <c r="I1" s="3" t="inlineStr">
        <is>
          <t>Sat</t>
        </is>
      </c>
      <c r="J1" s="3" t="inlineStr">
        <is>
          <t>Sun</t>
        </is>
      </c>
      <c r="L1" s="3" t="inlineStr">
        <is>
          <t>Random sales</t>
        </is>
      </c>
      <c r="N1" s="3" t="inlineStr">
        <is>
          <t>Challenge: FY month starts</t>
        </is>
      </c>
    </row>
    <row r="2">
      <c r="A2" cm="1">
        <f t="array" ref="A2:A11">_xlfn.SEQUENCE(10)</f>
        <v/>
      </c>
      <c r="B2" cm="1">
        <f t="array" ref="B2:B11">"INV-"&amp;TEXT(_xlfn.SEQUENCE(10,1,101),"0000")</f>
        <v/>
      </c>
      <c r="D2" s="11" cm="1">
        <f t="array" ref="D2:J6">_xlfn.SEQUENCE(5,7,DATE(2026,10,26))</f>
        <v/>
      </c>
      <c r="E2" s="11" t="n"/>
      <c r="F2" s="11" t="n"/>
      <c r="G2" s="11" t="n"/>
      <c r="H2" s="11" t="n"/>
      <c r="I2" s="11" t="n"/>
      <c r="J2" s="11" t="n"/>
      <c r="L2" s="4" cm="1">
        <f t="array" ref="L2:L11">_xlfn.RANDARRAY(10,1,10000,99999,TRUE)</f>
        <v/>
      </c>
      <c r="N2" s="13" cm="1">
        <f t="array" ref="N2:N13">EDATE(DATE(2026,4,1),_xlfn.SEQUENCE(12,1,0))</f>
        <v/>
      </c>
    </row>
    <row r="3">
      <c r="D3" s="11" t="n"/>
      <c r="E3" s="11" t="n"/>
      <c r="F3" s="11" t="n"/>
      <c r="G3" s="11" t="n"/>
      <c r="H3" s="11" t="n"/>
      <c r="I3" s="11" t="n"/>
      <c r="J3" s="11" t="n"/>
      <c r="L3" s="4" t="n"/>
      <c r="N3" s="13" t="n"/>
    </row>
    <row r="4">
      <c r="D4" s="11" t="n"/>
      <c r="E4" s="11" t="n"/>
      <c r="F4" s="11" t="n"/>
      <c r="G4" s="11" t="n"/>
      <c r="H4" s="11" t="n"/>
      <c r="I4" s="11" t="n"/>
      <c r="J4" s="11" t="n"/>
      <c r="L4" s="4" t="n"/>
      <c r="N4" s="13" t="n"/>
    </row>
    <row r="5">
      <c r="D5" s="11" t="n"/>
      <c r="E5" s="11" t="n"/>
      <c r="F5" s="11" t="n"/>
      <c r="G5" s="11" t="n"/>
      <c r="H5" s="11" t="n"/>
      <c r="I5" s="11" t="n"/>
      <c r="J5" s="11" t="n"/>
      <c r="L5" s="4" t="n"/>
      <c r="N5" s="13" t="n"/>
    </row>
    <row r="6">
      <c r="D6" s="11" t="n"/>
      <c r="E6" s="11" t="n"/>
      <c r="F6" s="11" t="n"/>
      <c r="G6" s="11" t="n"/>
      <c r="H6" s="11" t="n"/>
      <c r="I6" s="11" t="n"/>
      <c r="J6" s="11" t="n"/>
      <c r="L6" s="4" t="n"/>
      <c r="N6" s="13" t="n"/>
    </row>
    <row r="7">
      <c r="L7" s="4" t="n"/>
      <c r="N7" s="13" t="n"/>
    </row>
    <row r="8">
      <c r="D8" s="14" t="inlineStr">
        <is>
          <t>Calendar starts Monday 26-10-2026 (week of 1 November 2026)</t>
        </is>
      </c>
      <c r="L8" s="4" t="n"/>
      <c r="N8" s="13" t="n"/>
    </row>
    <row r="9">
      <c r="L9" s="4" t="n"/>
      <c r="N9" s="13" t="n"/>
    </row>
    <row r="10">
      <c r="L10" s="4" t="n"/>
      <c r="N10" s="13" t="n"/>
    </row>
    <row r="11">
      <c r="L11" s="4" t="n"/>
      <c r="N11" s="13" t="n"/>
    </row>
    <row r="12">
      <c r="N12" s="13" t="n"/>
    </row>
    <row r="13">
      <c r="N13" s="13" t="n"/>
    </row>
    <row r="14">
      <c r="A14" s="7" t="inlineStr">
        <is>
          <t>Loan amount</t>
        </is>
      </c>
      <c r="B14" s="4" t="n">
        <v>500000</v>
      </c>
    </row>
    <row r="15">
      <c r="A15" s="7" t="inlineStr">
        <is>
          <t>Annual rate</t>
        </is>
      </c>
      <c r="B15" s="15" t="n">
        <v>0.09</v>
      </c>
    </row>
    <row r="16">
      <c r="A16" s="7" t="inlineStr">
        <is>
          <t>Months</t>
        </is>
      </c>
      <c r="B16" t="n">
        <v>12</v>
      </c>
    </row>
    <row r="17">
      <c r="A17" s="7" t="inlineStr">
        <is>
          <t>EMI</t>
        </is>
      </c>
      <c r="B17" s="18">
        <f>PMT(B15/12,B16,-B14)</f>
        <v/>
      </c>
    </row>
    <row r="19">
      <c r="A19" s="3" t="inlineStr">
        <is>
          <t>Month</t>
        </is>
      </c>
      <c r="B19" s="3" t="inlineStr">
        <is>
          <t>Due date</t>
        </is>
      </c>
      <c r="C19" s="3" t="inlineStr">
        <is>
          <t>Interest</t>
        </is>
      </c>
      <c r="D19" s="3" t="inlineStr">
        <is>
          <t>Principal</t>
        </is>
      </c>
    </row>
    <row r="20">
      <c r="A20" cm="1">
        <f t="array" ref="A20:A31">_xlfn.SEQUENCE(B16)</f>
        <v/>
      </c>
      <c r="B20" s="8" cm="1">
        <f t="array" ref="B20:B31">EDATE(DATE(2026,5,5),_xlfn.ANCHORARRAY(A20)-1)</f>
        <v/>
      </c>
      <c r="C20" s="18" cm="1">
        <f t="array" ref="C20:C31">IPMT(B15/12,_xlfn.ANCHORARRAY(A20),B16,-B14)</f>
        <v/>
      </c>
      <c r="D20" s="18" cm="1">
        <f t="array" ref="D20:D31">PPMT(B15/12,_xlfn.ANCHORARRAY(A20),B16,-B14)</f>
        <v/>
      </c>
    </row>
    <row r="21">
      <c r="B21" s="8" t="n"/>
      <c r="C21" s="18" t="n"/>
      <c r="D21" s="18" t="n"/>
    </row>
    <row r="22">
      <c r="B22" s="8" t="n"/>
      <c r="C22" s="18" t="n"/>
      <c r="D22" s="18" t="n"/>
    </row>
    <row r="23">
      <c r="B23" s="8" t="n"/>
      <c r="C23" s="18" t="n"/>
      <c r="D23" s="18" t="n"/>
    </row>
    <row r="24">
      <c r="B24" s="8" t="n"/>
      <c r="C24" s="18" t="n"/>
      <c r="D24" s="18" t="n"/>
    </row>
    <row r="25">
      <c r="B25" s="8" t="n"/>
      <c r="C25" s="18" t="n"/>
      <c r="D25" s="18" t="n"/>
    </row>
    <row r="26">
      <c r="B26" s="8" t="n"/>
      <c r="C26" s="18" t="n"/>
      <c r="D26" s="18" t="n"/>
    </row>
    <row r="27">
      <c r="B27" s="8" t="n"/>
      <c r="C27" s="18" t="n"/>
      <c r="D27" s="18" t="n"/>
    </row>
    <row r="28">
      <c r="B28" s="8" t="n"/>
      <c r="C28" s="18" t="n"/>
      <c r="D28" s="18" t="n"/>
    </row>
    <row r="29">
      <c r="B29" s="8" t="n"/>
      <c r="C29" s="18" t="n"/>
      <c r="D29" s="18" t="n"/>
    </row>
    <row r="30">
      <c r="B30" s="8" t="n"/>
      <c r="C30" s="18" t="n"/>
      <c r="D30" s="18" t="n"/>
    </row>
    <row r="31">
      <c r="B31" s="8" t="n"/>
      <c r="C31" s="18" t="n"/>
      <c r="D31" s="18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3" customWidth="1" min="4" max="4"/>
    <col width="16" customWidth="1" min="5" max="5"/>
    <col width="11" customWidth="1" min="6" max="6"/>
    <col width="11" customWidth="1" min="7" max="7"/>
    <col width="3" customWidth="1" min="8" max="8"/>
    <col width="7" customWidth="1" min="9" max="9"/>
    <col width="11" customWidth="1" min="10" max="10"/>
    <col width="3" customWidth="1" min="11" max="11"/>
    <col width="16" customWidth="1" min="12" max="12"/>
    <col width="10" customWidth="1" min="13" max="13"/>
    <col width="11" customWidth="1" min="14" max="14"/>
  </cols>
  <sheetData>
    <row r="1">
      <c r="A1" s="3" t="inlineStr">
        <is>
          <t>Salesperson</t>
        </is>
      </c>
      <c r="B1" s="3" t="inlineStr">
        <is>
          <t>Branch</t>
        </is>
      </c>
      <c r="C1" s="3" t="inlineStr">
        <is>
          <t>Sales</t>
        </is>
      </c>
      <c r="E1" s="9" t="inlineStr">
        <is>
          <t>Top 5</t>
        </is>
      </c>
      <c r="I1" s="3" t="inlineStr">
        <is>
          <t>Month</t>
        </is>
      </c>
      <c r="J1" s="3" t="inlineStr">
        <is>
          <t>Sales</t>
        </is>
      </c>
      <c r="L1" s="9" t="inlineStr">
        <is>
          <t>Challenge: bottom 3</t>
        </is>
      </c>
    </row>
    <row r="2">
      <c r="A2" t="inlineStr">
        <is>
          <t>Aarav Sharma</t>
        </is>
      </c>
      <c r="B2" t="inlineStr">
        <is>
          <t>Delhi</t>
        </is>
      </c>
      <c r="C2" s="4" t="n">
        <v>910000</v>
      </c>
      <c r="E2" s="6" t="n"/>
      <c r="G2" s="4" t="n"/>
      <c r="I2" t="inlineStr">
        <is>
          <t>Apr</t>
        </is>
      </c>
      <c r="J2" s="4" t="n">
        <v>1560000</v>
      </c>
      <c r="L2" s="6" t="n"/>
      <c r="N2" s="4" t="n"/>
    </row>
    <row r="3">
      <c r="A3" t="inlineStr">
        <is>
          <t>Priya Nair</t>
        </is>
      </c>
      <c r="B3" t="inlineStr">
        <is>
          <t>Pune</t>
        </is>
      </c>
      <c r="C3" s="4" t="n">
        <v>510000</v>
      </c>
      <c r="G3" s="4" t="n"/>
      <c r="I3" t="inlineStr">
        <is>
          <t>May</t>
        </is>
      </c>
      <c r="J3" s="4" t="n">
        <v>930000</v>
      </c>
      <c r="N3" s="4" t="n"/>
    </row>
    <row r="4">
      <c r="A4" t="inlineStr">
        <is>
          <t>Rohan Mehta</t>
        </is>
      </c>
      <c r="B4" t="inlineStr">
        <is>
          <t>Pune</t>
        </is>
      </c>
      <c r="C4" s="4" t="n">
        <v>530000</v>
      </c>
      <c r="G4" s="4" t="n"/>
      <c r="I4" t="inlineStr">
        <is>
          <t>Jun</t>
        </is>
      </c>
      <c r="J4" s="4" t="n">
        <v>1520000</v>
      </c>
      <c r="N4" s="4" t="n"/>
    </row>
    <row r="5">
      <c r="A5" t="inlineStr">
        <is>
          <t>Sneha Kulkarni</t>
        </is>
      </c>
      <c r="B5" t="inlineStr">
        <is>
          <t>Delhi</t>
        </is>
      </c>
      <c r="C5" s="4" t="n">
        <v>520000</v>
      </c>
      <c r="G5" s="4" t="n"/>
      <c r="I5" t="inlineStr">
        <is>
          <t>Jul</t>
        </is>
      </c>
      <c r="J5" s="4" t="n">
        <v>930000</v>
      </c>
    </row>
    <row r="6">
      <c r="A6" t="inlineStr">
        <is>
          <t>Vikram Singh</t>
        </is>
      </c>
      <c r="B6" t="inlineStr">
        <is>
          <t>Chennai</t>
        </is>
      </c>
      <c r="C6" s="4" t="n">
        <v>440000</v>
      </c>
      <c r="G6" s="4" t="n"/>
      <c r="I6" t="inlineStr">
        <is>
          <t>Aug</t>
        </is>
      </c>
      <c r="J6" s="4" t="n">
        <v>1060000</v>
      </c>
    </row>
    <row r="7">
      <c r="A7" t="inlineStr">
        <is>
          <t>Ananya Iyer</t>
        </is>
      </c>
      <c r="B7" t="inlineStr">
        <is>
          <t>Mumbai</t>
        </is>
      </c>
      <c r="C7" s="4" t="n">
        <v>540000</v>
      </c>
      <c r="I7" t="inlineStr">
        <is>
          <t>Sep</t>
        </is>
      </c>
      <c r="J7" s="4" t="n">
        <v>1550000</v>
      </c>
    </row>
    <row r="8">
      <c r="A8" t="inlineStr">
        <is>
          <t>Karthik Reddy</t>
        </is>
      </c>
      <c r="B8" t="inlineStr">
        <is>
          <t>Chennai</t>
        </is>
      </c>
      <c r="C8" s="4" t="n">
        <v>280000</v>
      </c>
      <c r="I8" t="inlineStr">
        <is>
          <t>Oct</t>
        </is>
      </c>
      <c r="J8" s="4" t="n">
        <v>1460000</v>
      </c>
    </row>
    <row r="9">
      <c r="A9" t="inlineStr">
        <is>
          <t>Meera Joshi</t>
        </is>
      </c>
      <c r="B9" t="inlineStr">
        <is>
          <t>Delhi</t>
        </is>
      </c>
      <c r="C9" s="4" t="n">
        <v>970000</v>
      </c>
      <c r="E9" s="9" t="inlineStr">
        <is>
          <t>Last 3 months</t>
        </is>
      </c>
      <c r="I9" t="inlineStr">
        <is>
          <t>Nov</t>
        </is>
      </c>
      <c r="J9" s="4" t="n">
        <v>1080000</v>
      </c>
    </row>
    <row r="10">
      <c r="A10" t="inlineStr">
        <is>
          <t>Arjun Patel</t>
        </is>
      </c>
      <c r="B10" t="inlineStr">
        <is>
          <t>Mumbai</t>
        </is>
      </c>
      <c r="C10" s="4" t="n">
        <v>940000</v>
      </c>
      <c r="E10" s="6" t="n"/>
      <c r="F10" s="4" t="n"/>
      <c r="I10" t="inlineStr">
        <is>
          <t>Dec</t>
        </is>
      </c>
      <c r="J10" s="4" t="n">
        <v>1170000</v>
      </c>
    </row>
    <row r="11">
      <c r="A11" t="inlineStr">
        <is>
          <t>Divya Menon</t>
        </is>
      </c>
      <c r="B11" t="inlineStr">
        <is>
          <t>Mumbai</t>
        </is>
      </c>
      <c r="C11" s="4" t="n">
        <v>950000</v>
      </c>
      <c r="F11" s="4" t="n"/>
      <c r="I11" t="inlineStr">
        <is>
          <t>Jan</t>
        </is>
      </c>
      <c r="J11" s="4" t="n">
        <v>1580000</v>
      </c>
    </row>
    <row r="12">
      <c r="A12" t="inlineStr">
        <is>
          <t>Farhan Qureshi</t>
        </is>
      </c>
      <c r="B12" t="inlineStr">
        <is>
          <t>Chennai</t>
        </is>
      </c>
      <c r="C12" s="4" t="n">
        <v>960000</v>
      </c>
      <c r="F12" s="4" t="n"/>
      <c r="I12" t="inlineStr">
        <is>
          <t>Feb</t>
        </is>
      </c>
      <c r="J12" s="4" t="n">
        <v>1470000</v>
      </c>
    </row>
    <row r="13">
      <c r="A13" t="inlineStr">
        <is>
          <t>Neha Gupta</t>
        </is>
      </c>
      <c r="B13" t="inlineStr">
        <is>
          <t>Delhi</t>
        </is>
      </c>
      <c r="C13" s="4" t="n">
        <v>720000</v>
      </c>
      <c r="I13" t="inlineStr">
        <is>
          <t>Mar</t>
        </is>
      </c>
      <c r="J13" s="4" t="n">
        <v>940000</v>
      </c>
    </row>
    <row r="14">
      <c r="A14" t="inlineStr">
        <is>
          <t>Ishita Bose</t>
        </is>
      </c>
      <c r="B14" t="inlineStr">
        <is>
          <t>Chennai</t>
        </is>
      </c>
      <c r="C14" s="4" t="n">
        <v>790000</v>
      </c>
      <c r="E14" s="9" t="inlineStr">
        <is>
          <t>Q2 (Jul to Sep)</t>
        </is>
      </c>
    </row>
    <row r="15">
      <c r="A15" t="inlineStr">
        <is>
          <t>Gaurav Malhotra</t>
        </is>
      </c>
      <c r="B15" t="inlineStr">
        <is>
          <t>Bengaluru</t>
        </is>
      </c>
      <c r="C15" s="4" t="n">
        <v>600000</v>
      </c>
      <c r="E15" s="6" t="n"/>
      <c r="F15" s="4" t="n"/>
    </row>
    <row r="16">
      <c r="A16" t="inlineStr">
        <is>
          <t>Pooja Agarwal</t>
        </is>
      </c>
      <c r="B16" t="inlineStr">
        <is>
          <t>Bengaluru</t>
        </is>
      </c>
      <c r="C16" s="4" t="n">
        <v>640000</v>
      </c>
      <c r="F16" s="4" t="n"/>
    </row>
    <row r="17">
      <c r="A17" t="inlineStr">
        <is>
          <t>Suresh Pillai</t>
        </is>
      </c>
      <c r="B17" t="inlineStr">
        <is>
          <t>Pune</t>
        </is>
      </c>
      <c r="C17" s="4" t="n">
        <v>610000</v>
      </c>
      <c r="F17" s="4" t="n"/>
    </row>
    <row r="18">
      <c r="A18" t="inlineStr">
        <is>
          <t>Tanvi Shah</t>
        </is>
      </c>
      <c r="B18" t="inlineStr">
        <is>
          <t>Mumbai</t>
        </is>
      </c>
      <c r="C18" s="4" t="n">
        <v>810000</v>
      </c>
    </row>
    <row r="19">
      <c r="A19" t="inlineStr">
        <is>
          <t>Manoj Yadav</t>
        </is>
      </c>
      <c r="B19" t="inlineStr">
        <is>
          <t>Delhi</t>
        </is>
      </c>
      <c r="C19" s="4" t="n">
        <v>270000</v>
      </c>
      <c r="E19" s="9" t="inlineStr">
        <is>
          <t>Padded to 4 rows</t>
        </is>
      </c>
    </row>
    <row r="20">
      <c r="A20" t="inlineStr">
        <is>
          <t>Kavya Iyer</t>
        </is>
      </c>
      <c r="B20" t="inlineStr">
        <is>
          <t>Chennai</t>
        </is>
      </c>
      <c r="C20" s="4" t="n">
        <v>310000</v>
      </c>
      <c r="E20" s="6" t="n"/>
      <c r="F20" s="4" t="n"/>
    </row>
    <row r="21">
      <c r="A21" t="inlineStr">
        <is>
          <t>Deepak Chauhan</t>
        </is>
      </c>
      <c r="B21" t="inlineStr">
        <is>
          <t>Bengaluru</t>
        </is>
      </c>
      <c r="C21" s="4" t="n">
        <v>360000</v>
      </c>
      <c r="F21" s="4" t="n"/>
    </row>
    <row r="22">
      <c r="F22" s="4" t="n"/>
    </row>
    <row r="23">
      <c r="F23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3" customWidth="1" min="4" max="4"/>
    <col width="16" customWidth="1" min="5" max="5"/>
    <col width="11" customWidth="1" min="6" max="6"/>
    <col width="11" customWidth="1" min="7" max="7"/>
    <col width="3" customWidth="1" min="8" max="8"/>
    <col width="7" customWidth="1" min="9" max="9"/>
    <col width="11" customWidth="1" min="10" max="10"/>
    <col width="3" customWidth="1" min="11" max="11"/>
    <col width="16" customWidth="1" min="12" max="12"/>
    <col width="10" customWidth="1" min="13" max="13"/>
    <col width="11" customWidth="1" min="14" max="14"/>
  </cols>
  <sheetData>
    <row r="1">
      <c r="A1" s="3" t="inlineStr">
        <is>
          <t>Salesperson</t>
        </is>
      </c>
      <c r="B1" s="3" t="inlineStr">
        <is>
          <t>Branch</t>
        </is>
      </c>
      <c r="C1" s="3" t="inlineStr">
        <is>
          <t>Sales</t>
        </is>
      </c>
      <c r="E1" s="9" t="inlineStr">
        <is>
          <t>Top 5</t>
        </is>
      </c>
      <c r="I1" s="3" t="inlineStr">
        <is>
          <t>Month</t>
        </is>
      </c>
      <c r="J1" s="3" t="inlineStr">
        <is>
          <t>Sales</t>
        </is>
      </c>
      <c r="L1" s="9" t="inlineStr">
        <is>
          <t>Challenge: bottom 3</t>
        </is>
      </c>
    </row>
    <row r="2">
      <c r="A2" t="inlineStr">
        <is>
          <t>Aarav Sharma</t>
        </is>
      </c>
      <c r="B2" t="inlineStr">
        <is>
          <t>Delhi</t>
        </is>
      </c>
      <c r="C2" s="4" t="n">
        <v>910000</v>
      </c>
      <c r="E2" cm="1">
        <f t="array" ref="E2:G6">_xlfn.TAKE(_xlfn._xlws.SORT(A2:C21,3,-1),5)</f>
        <v/>
      </c>
      <c r="G2" s="4" t="n"/>
      <c r="I2" t="inlineStr">
        <is>
          <t>Apr</t>
        </is>
      </c>
      <c r="J2" s="4" t="n">
        <v>1560000</v>
      </c>
      <c r="L2" cm="1">
        <f t="array" ref="L2:N4">_xlfn.TAKE(_xlfn._xlws.SORT(A2:C21,3,-1),-3)</f>
        <v/>
      </c>
      <c r="N2" s="4" t="n"/>
    </row>
    <row r="3">
      <c r="A3" t="inlineStr">
        <is>
          <t>Priya Nair</t>
        </is>
      </c>
      <c r="B3" t="inlineStr">
        <is>
          <t>Pune</t>
        </is>
      </c>
      <c r="C3" s="4" t="n">
        <v>510000</v>
      </c>
      <c r="G3" s="4" t="n"/>
      <c r="I3" t="inlineStr">
        <is>
          <t>May</t>
        </is>
      </c>
      <c r="J3" s="4" t="n">
        <v>930000</v>
      </c>
      <c r="N3" s="4" t="n"/>
    </row>
    <row r="4">
      <c r="A4" t="inlineStr">
        <is>
          <t>Rohan Mehta</t>
        </is>
      </c>
      <c r="B4" t="inlineStr">
        <is>
          <t>Pune</t>
        </is>
      </c>
      <c r="C4" s="4" t="n">
        <v>530000</v>
      </c>
      <c r="G4" s="4" t="n"/>
      <c r="I4" t="inlineStr">
        <is>
          <t>Jun</t>
        </is>
      </c>
      <c r="J4" s="4" t="n">
        <v>1520000</v>
      </c>
      <c r="N4" s="4" t="n"/>
    </row>
    <row r="5">
      <c r="A5" t="inlineStr">
        <is>
          <t>Sneha Kulkarni</t>
        </is>
      </c>
      <c r="B5" t="inlineStr">
        <is>
          <t>Delhi</t>
        </is>
      </c>
      <c r="C5" s="4" t="n">
        <v>520000</v>
      </c>
      <c r="G5" s="4" t="n"/>
      <c r="I5" t="inlineStr">
        <is>
          <t>Jul</t>
        </is>
      </c>
      <c r="J5" s="4" t="n">
        <v>930000</v>
      </c>
    </row>
    <row r="6">
      <c r="A6" t="inlineStr">
        <is>
          <t>Vikram Singh</t>
        </is>
      </c>
      <c r="B6" t="inlineStr">
        <is>
          <t>Chennai</t>
        </is>
      </c>
      <c r="C6" s="4" t="n">
        <v>440000</v>
      </c>
      <c r="G6" s="4" t="n"/>
      <c r="I6" t="inlineStr">
        <is>
          <t>Aug</t>
        </is>
      </c>
      <c r="J6" s="4" t="n">
        <v>1060000</v>
      </c>
    </row>
    <row r="7">
      <c r="A7" t="inlineStr">
        <is>
          <t>Ananya Iyer</t>
        </is>
      </c>
      <c r="B7" t="inlineStr">
        <is>
          <t>Mumbai</t>
        </is>
      </c>
      <c r="C7" s="4" t="n">
        <v>540000</v>
      </c>
      <c r="I7" t="inlineStr">
        <is>
          <t>Sep</t>
        </is>
      </c>
      <c r="J7" s="4" t="n">
        <v>1550000</v>
      </c>
    </row>
    <row r="8">
      <c r="A8" t="inlineStr">
        <is>
          <t>Karthik Reddy</t>
        </is>
      </c>
      <c r="B8" t="inlineStr">
        <is>
          <t>Chennai</t>
        </is>
      </c>
      <c r="C8" s="4" t="n">
        <v>280000</v>
      </c>
      <c r="I8" t="inlineStr">
        <is>
          <t>Oct</t>
        </is>
      </c>
      <c r="J8" s="4" t="n">
        <v>1460000</v>
      </c>
    </row>
    <row r="9">
      <c r="A9" t="inlineStr">
        <is>
          <t>Meera Joshi</t>
        </is>
      </c>
      <c r="B9" t="inlineStr">
        <is>
          <t>Delhi</t>
        </is>
      </c>
      <c r="C9" s="4" t="n">
        <v>970000</v>
      </c>
      <c r="E9" s="9" t="inlineStr">
        <is>
          <t>Last 3 months</t>
        </is>
      </c>
      <c r="I9" t="inlineStr">
        <is>
          <t>Nov</t>
        </is>
      </c>
      <c r="J9" s="4" t="n">
        <v>1080000</v>
      </c>
    </row>
    <row r="10">
      <c r="A10" t="inlineStr">
        <is>
          <t>Arjun Patel</t>
        </is>
      </c>
      <c r="B10" t="inlineStr">
        <is>
          <t>Mumbai</t>
        </is>
      </c>
      <c r="C10" s="4" t="n">
        <v>940000</v>
      </c>
      <c r="E10" cm="1">
        <f t="array" ref="E10:F12">_xlfn.TAKE(I2:J13,-3)</f>
        <v/>
      </c>
      <c r="F10" s="4" t="n"/>
      <c r="I10" t="inlineStr">
        <is>
          <t>Dec</t>
        </is>
      </c>
      <c r="J10" s="4" t="n">
        <v>1170000</v>
      </c>
    </row>
    <row r="11">
      <c r="A11" t="inlineStr">
        <is>
          <t>Divya Menon</t>
        </is>
      </c>
      <c r="B11" t="inlineStr">
        <is>
          <t>Mumbai</t>
        </is>
      </c>
      <c r="C11" s="4" t="n">
        <v>950000</v>
      </c>
      <c r="F11" s="4" t="n"/>
      <c r="I11" t="inlineStr">
        <is>
          <t>Jan</t>
        </is>
      </c>
      <c r="J11" s="4" t="n">
        <v>1580000</v>
      </c>
    </row>
    <row r="12">
      <c r="A12" t="inlineStr">
        <is>
          <t>Farhan Qureshi</t>
        </is>
      </c>
      <c r="B12" t="inlineStr">
        <is>
          <t>Chennai</t>
        </is>
      </c>
      <c r="C12" s="4" t="n">
        <v>960000</v>
      </c>
      <c r="F12" s="4" t="n"/>
      <c r="I12" t="inlineStr">
        <is>
          <t>Feb</t>
        </is>
      </c>
      <c r="J12" s="4" t="n">
        <v>1470000</v>
      </c>
    </row>
    <row r="13">
      <c r="A13" t="inlineStr">
        <is>
          <t>Neha Gupta</t>
        </is>
      </c>
      <c r="B13" t="inlineStr">
        <is>
          <t>Delhi</t>
        </is>
      </c>
      <c r="C13" s="4" t="n">
        <v>720000</v>
      </c>
      <c r="I13" t="inlineStr">
        <is>
          <t>Mar</t>
        </is>
      </c>
      <c r="J13" s="4" t="n">
        <v>940000</v>
      </c>
    </row>
    <row r="14">
      <c r="A14" t="inlineStr">
        <is>
          <t>Ishita Bose</t>
        </is>
      </c>
      <c r="B14" t="inlineStr">
        <is>
          <t>Chennai</t>
        </is>
      </c>
      <c r="C14" s="4" t="n">
        <v>790000</v>
      </c>
      <c r="E14" s="9" t="inlineStr">
        <is>
          <t>Q2 (Jul to Sep)</t>
        </is>
      </c>
    </row>
    <row r="15">
      <c r="A15" t="inlineStr">
        <is>
          <t>Gaurav Malhotra</t>
        </is>
      </c>
      <c r="B15" t="inlineStr">
        <is>
          <t>Bengaluru</t>
        </is>
      </c>
      <c r="C15" s="4" t="n">
        <v>600000</v>
      </c>
      <c r="E15" cm="1">
        <f t="array" ref="E15:F17">_xlfn.DROP(_xlfn.TAKE(I2:J13,6),3)</f>
        <v/>
      </c>
      <c r="F15" s="4" t="n"/>
    </row>
    <row r="16">
      <c r="A16" t="inlineStr">
        <is>
          <t>Pooja Agarwal</t>
        </is>
      </c>
      <c r="B16" t="inlineStr">
        <is>
          <t>Bengaluru</t>
        </is>
      </c>
      <c r="C16" s="4" t="n">
        <v>640000</v>
      </c>
      <c r="F16" s="4" t="n"/>
    </row>
    <row r="17">
      <c r="A17" t="inlineStr">
        <is>
          <t>Suresh Pillai</t>
        </is>
      </c>
      <c r="B17" t="inlineStr">
        <is>
          <t>Pune</t>
        </is>
      </c>
      <c r="C17" s="4" t="n">
        <v>610000</v>
      </c>
      <c r="F17" s="4" t="n"/>
    </row>
    <row r="18">
      <c r="A18" t="inlineStr">
        <is>
          <t>Tanvi Shah</t>
        </is>
      </c>
      <c r="B18" t="inlineStr">
        <is>
          <t>Mumbai</t>
        </is>
      </c>
      <c r="C18" s="4" t="n">
        <v>810000</v>
      </c>
    </row>
    <row r="19">
      <c r="A19" t="inlineStr">
        <is>
          <t>Manoj Yadav</t>
        </is>
      </c>
      <c r="B19" t="inlineStr">
        <is>
          <t>Delhi</t>
        </is>
      </c>
      <c r="C19" s="4" t="n">
        <v>270000</v>
      </c>
      <c r="E19" s="9" t="inlineStr">
        <is>
          <t>Padded to 4 rows</t>
        </is>
      </c>
    </row>
    <row r="20">
      <c r="A20" t="inlineStr">
        <is>
          <t>Kavya Iyer</t>
        </is>
      </c>
      <c r="B20" t="inlineStr">
        <is>
          <t>Chennai</t>
        </is>
      </c>
      <c r="C20" s="4" t="n">
        <v>310000</v>
      </c>
      <c r="E20" cm="1">
        <f t="array" ref="E20:F23">_xlfn.EXPAND(_xlfn.ANCHORARRAY(E10),4,2,"-")</f>
        <v/>
      </c>
      <c r="F20" s="4" t="n"/>
    </row>
    <row r="21">
      <c r="A21" t="inlineStr">
        <is>
          <t>Deepak Chauhan</t>
        </is>
      </c>
      <c r="B21" t="inlineStr">
        <is>
          <t>Bengaluru</t>
        </is>
      </c>
      <c r="C21" s="4" t="n">
        <v>360000</v>
      </c>
      <c r="F21" s="4" t="n"/>
    </row>
    <row r="22">
      <c r="F22" s="4" t="n"/>
    </row>
    <row r="23">
      <c r="F23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3" customWidth="1" min="4" max="4"/>
    <col width="12" customWidth="1" min="5" max="5"/>
    <col width="12" customWidth="1" min="6" max="6"/>
    <col width="3" customWidth="1" min="7" max="7"/>
    <col width="21" customWidth="1" min="8" max="8"/>
    <col width="9" customWidth="1" min="9" max="9"/>
    <col width="9" customWidth="1" min="10" max="10"/>
    <col width="3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6" t="n"/>
      <c r="E1" s="6" t="n"/>
      <c r="F1" s="4" t="n"/>
    </row>
    <row r="2">
      <c r="A2" s="8" t="n"/>
      <c r="C2" s="4" t="n"/>
    </row>
    <row r="3">
      <c r="A3" s="8" t="n"/>
      <c r="C3" s="4" t="n"/>
      <c r="E3" s="14" t="inlineStr">
        <is>
          <t>Month sheets: Apr26, May26, Jun26</t>
        </is>
      </c>
      <c r="H3" s="9" t="inlineStr">
        <is>
          <t>Shift roster</t>
        </is>
      </c>
      <c r="L3" s="9" t="inlineStr">
        <is>
          <t>WRAPROWS (4 per row)</t>
        </is>
      </c>
    </row>
    <row r="4">
      <c r="A4" s="8" t="n"/>
      <c r="C4" s="4" t="n"/>
      <c r="H4" s="19" t="inlineStr">
        <is>
          <t>Anil</t>
        </is>
      </c>
      <c r="I4" s="19" t="inlineStr">
        <is>
          <t>Bhavna</t>
        </is>
      </c>
      <c r="J4" s="19" t="inlineStr">
        <is>
          <t>Chetan</t>
        </is>
      </c>
      <c r="L4" s="6" t="n"/>
    </row>
    <row r="5">
      <c r="A5" s="8" t="n"/>
      <c r="C5" s="4" t="n"/>
      <c r="H5" s="19" t="inlineStr">
        <is>
          <t>Deepa</t>
        </is>
      </c>
      <c r="I5" s="19" t="inlineStr">
        <is>
          <t>Eshan</t>
        </is>
      </c>
      <c r="J5" s="19" t="inlineStr">
        <is>
          <t>Fatima</t>
        </is>
      </c>
    </row>
    <row r="6">
      <c r="A6" s="8" t="n"/>
      <c r="C6" s="4" t="n"/>
      <c r="H6" s="19" t="inlineStr">
        <is>
          <t>Gopal</t>
        </is>
      </c>
      <c r="I6" s="19" t="inlineStr">
        <is>
          <t>Hema</t>
        </is>
      </c>
      <c r="J6" s="19" t="inlineStr">
        <is>
          <t>Irfan</t>
        </is>
      </c>
    </row>
    <row r="7">
      <c r="A7" s="8" t="n"/>
      <c r="C7" s="4" t="n"/>
      <c r="H7" s="19" t="inlineStr">
        <is>
          <t>Jaya</t>
        </is>
      </c>
      <c r="I7" s="19" t="inlineStr">
        <is>
          <t>Kunal</t>
        </is>
      </c>
      <c r="J7" s="19" t="n"/>
    </row>
    <row r="8">
      <c r="A8" s="8" t="n"/>
      <c r="C8" s="4" t="n"/>
    </row>
    <row r="9">
      <c r="A9" s="8" t="n"/>
      <c r="C9" s="4" t="n"/>
      <c r="L9" s="9" t="inlineStr">
        <is>
          <t>WRAPCOLS (6 per column)</t>
        </is>
      </c>
    </row>
    <row r="10">
      <c r="A10" s="8" t="n"/>
      <c r="C10" s="4" t="n"/>
      <c r="H10" s="9" t="inlineStr">
        <is>
          <t>TOCOL</t>
        </is>
      </c>
      <c r="L10" s="6" t="n"/>
    </row>
    <row r="11">
      <c r="A11" s="8" t="n"/>
      <c r="C11" s="4" t="n"/>
      <c r="H11" s="6" t="n"/>
    </row>
    <row r="12">
      <c r="A12" s="8" t="n"/>
      <c r="C12" s="4" t="n"/>
    </row>
    <row r="13">
      <c r="A13" s="8" t="n"/>
      <c r="C13" s="4" t="n"/>
    </row>
    <row r="14">
      <c r="A14" s="8" t="n"/>
      <c r="C14" s="4" t="n"/>
    </row>
    <row r="15">
      <c r="A15" s="8" t="n"/>
      <c r="C15" s="4" t="n"/>
    </row>
    <row r="16">
      <c r="A16" s="8" t="n"/>
      <c r="C16" s="4" t="n"/>
    </row>
    <row r="18">
      <c r="L18" s="9" t="inlineStr">
        <is>
          <t>TOROW</t>
        </is>
      </c>
    </row>
    <row r="19">
      <c r="L19" s="6" t="n"/>
    </row>
    <row r="23">
      <c r="H23" s="9" t="inlineStr">
        <is>
          <t>Challenge: customers once</t>
        </is>
      </c>
    </row>
    <row r="24">
      <c r="H24" s="6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3" customWidth="1" min="4" max="4"/>
    <col width="12" customWidth="1" min="5" max="5"/>
    <col width="12" customWidth="1" min="6" max="6"/>
    <col width="3" customWidth="1" min="7" max="7"/>
    <col width="21" customWidth="1" min="8" max="8"/>
    <col width="9" customWidth="1" min="9" max="9"/>
    <col width="9" customWidth="1" min="10" max="10"/>
    <col width="3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3" cm="1">
        <f t="array" ref="A1:C16">_xlfn.VSTACK(Apr26!A1:C1,Apr26:Jun26!A2:C6)</f>
        <v/>
      </c>
      <c r="B1" s="3" t="n"/>
      <c r="C1" s="3" t="n"/>
      <c r="E1" cm="1">
        <f t="array" ref="E1:F1">_xlfn.HSTACK("Grand total",SUM(Apr26:Jun26!C2:C6))</f>
        <v/>
      </c>
      <c r="F1" s="4" t="n"/>
    </row>
    <row r="2">
      <c r="A2" s="8" t="n"/>
      <c r="C2" s="4" t="n"/>
    </row>
    <row r="3">
      <c r="A3" s="8" t="n"/>
      <c r="C3" s="4" t="n"/>
      <c r="E3" s="14" t="inlineStr">
        <is>
          <t>Month sheets: Apr26, May26, Jun26</t>
        </is>
      </c>
      <c r="H3" s="9" t="inlineStr">
        <is>
          <t>Shift roster</t>
        </is>
      </c>
      <c r="L3" s="9" t="inlineStr">
        <is>
          <t>WRAPROWS (4 per row)</t>
        </is>
      </c>
    </row>
    <row r="4">
      <c r="A4" s="8" t="n"/>
      <c r="C4" s="4" t="n"/>
      <c r="H4" s="19" t="inlineStr">
        <is>
          <t>Anil</t>
        </is>
      </c>
      <c r="I4" s="19" t="inlineStr">
        <is>
          <t>Bhavna</t>
        </is>
      </c>
      <c r="J4" s="19" t="inlineStr">
        <is>
          <t>Chetan</t>
        </is>
      </c>
      <c r="L4" cm="1">
        <f t="array" ref="L4:O6">_xlfn.WRAPROWS(_xlfn.ANCHORARRAY(H11),4,"")</f>
        <v/>
      </c>
    </row>
    <row r="5">
      <c r="A5" s="8" t="n"/>
      <c r="C5" s="4" t="n"/>
      <c r="H5" s="19" t="inlineStr">
        <is>
          <t>Deepa</t>
        </is>
      </c>
      <c r="I5" s="19" t="inlineStr">
        <is>
          <t>Eshan</t>
        </is>
      </c>
      <c r="J5" s="19" t="inlineStr">
        <is>
          <t>Fatima</t>
        </is>
      </c>
    </row>
    <row r="6">
      <c r="A6" s="8" t="n"/>
      <c r="C6" s="4" t="n"/>
      <c r="H6" s="19" t="inlineStr">
        <is>
          <t>Gopal</t>
        </is>
      </c>
      <c r="I6" s="19" t="inlineStr">
        <is>
          <t>Hema</t>
        </is>
      </c>
      <c r="J6" s="19" t="inlineStr">
        <is>
          <t>Irfan</t>
        </is>
      </c>
    </row>
    <row r="7">
      <c r="A7" s="8" t="n"/>
      <c r="C7" s="4" t="n"/>
      <c r="H7" s="19" t="inlineStr">
        <is>
          <t>Jaya</t>
        </is>
      </c>
      <c r="I7" s="19" t="inlineStr">
        <is>
          <t>Kunal</t>
        </is>
      </c>
      <c r="J7" s="19" t="n"/>
    </row>
    <row r="8">
      <c r="A8" s="8" t="n"/>
      <c r="C8" s="4" t="n"/>
    </row>
    <row r="9">
      <c r="A9" s="8" t="n"/>
      <c r="C9" s="4" t="n"/>
      <c r="L9" s="9" t="inlineStr">
        <is>
          <t>WRAPCOLS (6 per column)</t>
        </is>
      </c>
    </row>
    <row r="10">
      <c r="A10" s="8" t="n"/>
      <c r="C10" s="4" t="n"/>
      <c r="H10" s="9" t="inlineStr">
        <is>
          <t>TOCOL</t>
        </is>
      </c>
      <c r="L10" cm="1">
        <f t="array" ref="L10:M15">_xlfn.WRAPCOLS(_xlfn.ANCHORARRAY(H11),6,"")</f>
        <v/>
      </c>
    </row>
    <row r="11">
      <c r="A11" s="8" t="n"/>
      <c r="C11" s="4" t="n"/>
      <c r="H11" cm="1">
        <f t="array" ref="H11:H21">_xlfn.TOCOL(H4:J7,1)</f>
        <v/>
      </c>
    </row>
    <row r="12">
      <c r="A12" s="8" t="n"/>
      <c r="C12" s="4" t="n"/>
    </row>
    <row r="13">
      <c r="A13" s="8" t="n"/>
      <c r="C13" s="4" t="n"/>
    </row>
    <row r="14">
      <c r="A14" s="8" t="n"/>
      <c r="C14" s="4" t="n"/>
    </row>
    <row r="15">
      <c r="A15" s="8" t="n"/>
      <c r="C15" s="4" t="n"/>
    </row>
    <row r="16">
      <c r="A16" s="8" t="n"/>
      <c r="C16" s="4" t="n"/>
    </row>
    <row r="18">
      <c r="L18" s="9" t="inlineStr">
        <is>
          <t>TOROW</t>
        </is>
      </c>
    </row>
    <row r="19">
      <c r="L19" cm="1">
        <f t="array" ref="L19:O19">_xlfn.TOROW(H4:H7)</f>
        <v/>
      </c>
    </row>
    <row r="23">
      <c r="H23" s="9" t="inlineStr">
        <is>
          <t>Challenge: customers once</t>
        </is>
      </c>
    </row>
    <row r="24">
      <c r="H24" cm="1">
        <f t="array" ref="H24:H29">_xlfn.UNIQUE(_xlfn.VSTACK(Apr26:Jun26!B2:B6))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18" customWidth="1" min="4" max="4"/>
    <col width="10" customWidth="1" min="5" max="5"/>
    <col width="3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Date</t>
        </is>
      </c>
      <c r="B1" s="3" t="inlineStr">
        <is>
          <t>Region</t>
        </is>
      </c>
      <c r="C1" s="3" t="inlineStr">
        <is>
          <t>Category</t>
        </is>
      </c>
      <c r="D1" s="3" t="inlineStr">
        <is>
          <t>Salesperson</t>
        </is>
      </c>
      <c r="E1" s="3" t="inlineStr">
        <is>
          <t>Sales</t>
        </is>
      </c>
      <c r="G1" s="9" t="inlineStr">
        <is>
          <t>Sales by region</t>
        </is>
      </c>
      <c r="J1" s="9" t="inlineStr">
        <is>
          <t>Share by region</t>
        </is>
      </c>
    </row>
    <row r="2">
      <c r="A2" s="8" t="n">
        <v>46114</v>
      </c>
      <c r="B2" t="inlineStr">
        <is>
          <t>West</t>
        </is>
      </c>
      <c r="C2" t="inlineStr">
        <is>
          <t>Furniture</t>
        </is>
      </c>
      <c r="D2" t="inlineStr">
        <is>
          <t>Kiran Desai</t>
        </is>
      </c>
      <c r="E2" s="4" t="n">
        <v>107800</v>
      </c>
      <c r="G2" s="6" t="n"/>
      <c r="H2" s="4" t="n"/>
      <c r="J2" s="6" t="n"/>
      <c r="K2" s="15" t="n"/>
    </row>
    <row r="3">
      <c r="A3" s="8" t="n">
        <v>46120</v>
      </c>
      <c r="B3" t="inlineStr">
        <is>
          <t>North</t>
        </is>
      </c>
      <c r="C3" t="inlineStr">
        <is>
          <t>Electronics</t>
        </is>
      </c>
      <c r="D3" t="inlineStr">
        <is>
          <t>Harpreet Kaur</t>
        </is>
      </c>
      <c r="E3" s="4" t="n">
        <v>94400</v>
      </c>
      <c r="H3" s="4" t="n"/>
      <c r="K3" s="15" t="n"/>
    </row>
    <row r="4">
      <c r="A4" s="8" t="n">
        <v>46126</v>
      </c>
      <c r="B4" t="inlineStr">
        <is>
          <t>West</t>
        </is>
      </c>
      <c r="C4" t="inlineStr">
        <is>
          <t>Electronics</t>
        </is>
      </c>
      <c r="D4" t="inlineStr">
        <is>
          <t>Kiran Desai</t>
        </is>
      </c>
      <c r="E4" s="4" t="n">
        <v>55700</v>
      </c>
      <c r="H4" s="4" t="n"/>
      <c r="K4" s="15" t="n"/>
    </row>
    <row r="5">
      <c r="A5" s="8" t="n">
        <v>46132</v>
      </c>
      <c r="B5" t="inlineStr">
        <is>
          <t>East</t>
        </is>
      </c>
      <c r="C5" t="inlineStr">
        <is>
          <t>Furniture</t>
        </is>
      </c>
      <c r="D5" t="inlineStr">
        <is>
          <t>Arindam Ghosh</t>
        </is>
      </c>
      <c r="E5" s="4" t="n">
        <v>50300</v>
      </c>
      <c r="H5" s="4" t="n"/>
      <c r="K5" s="15" t="n"/>
    </row>
    <row r="6">
      <c r="A6" s="8" t="n">
        <v>46138</v>
      </c>
      <c r="B6" t="inlineStr">
        <is>
          <t>East</t>
        </is>
      </c>
      <c r="C6" t="inlineStr">
        <is>
          <t>Furniture</t>
        </is>
      </c>
      <c r="D6" t="inlineStr">
        <is>
          <t>Arindam Ghosh</t>
        </is>
      </c>
      <c r="E6" s="4" t="n">
        <v>101100</v>
      </c>
      <c r="H6" s="4" t="n"/>
      <c r="K6" s="15" t="n"/>
    </row>
    <row r="7">
      <c r="A7" s="8" t="n">
        <v>46144</v>
      </c>
      <c r="B7" t="inlineStr">
        <is>
          <t>East</t>
        </is>
      </c>
      <c r="C7" t="inlineStr">
        <is>
          <t>Electronics</t>
        </is>
      </c>
      <c r="D7" t="inlineStr">
        <is>
          <t>Arindam Ghosh</t>
        </is>
      </c>
      <c r="E7" s="4" t="n">
        <v>25400</v>
      </c>
    </row>
    <row r="8">
      <c r="A8" s="8" t="n">
        <v>46150</v>
      </c>
      <c r="B8" t="inlineStr">
        <is>
          <t>North</t>
        </is>
      </c>
      <c r="C8" t="inlineStr">
        <is>
          <t>Furniture</t>
        </is>
      </c>
      <c r="D8" t="inlineStr">
        <is>
          <t>Neeraj Kapoor</t>
        </is>
      </c>
      <c r="E8" s="4" t="n">
        <v>39400</v>
      </c>
    </row>
    <row r="9">
      <c r="A9" s="8" t="n">
        <v>46156</v>
      </c>
      <c r="B9" t="inlineStr">
        <is>
          <t>South</t>
        </is>
      </c>
      <c r="C9" t="inlineStr">
        <is>
          <t>Electronics</t>
        </is>
      </c>
      <c r="D9" t="inlineStr">
        <is>
          <t>Suresh Pillai</t>
        </is>
      </c>
      <c r="E9" s="4" t="n">
        <v>7000</v>
      </c>
      <c r="G9" s="9" t="inlineStr">
        <is>
          <t>Region by category (PIVOTBY)</t>
        </is>
      </c>
    </row>
    <row r="10">
      <c r="A10" s="8" t="n">
        <v>46162</v>
      </c>
      <c r="B10" t="inlineStr">
        <is>
          <t>South</t>
        </is>
      </c>
      <c r="C10" t="inlineStr">
        <is>
          <t>Stationery</t>
        </is>
      </c>
      <c r="D10" t="inlineStr">
        <is>
          <t>Lakshmi Srinivasan</t>
        </is>
      </c>
      <c r="E10" s="4" t="n">
        <v>72800</v>
      </c>
      <c r="G10" s="6" t="n"/>
    </row>
    <row r="11">
      <c r="A11" s="8" t="n">
        <v>46168</v>
      </c>
      <c r="B11" t="inlineStr">
        <is>
          <t>West</t>
        </is>
      </c>
      <c r="C11" t="inlineStr">
        <is>
          <t>Electronics</t>
        </is>
      </c>
      <c r="D11" t="inlineStr">
        <is>
          <t>Kiran Desai</t>
        </is>
      </c>
      <c r="E11" s="4" t="n">
        <v>77600</v>
      </c>
      <c r="H11" s="4" t="n"/>
      <c r="I11" s="4" t="n"/>
      <c r="J11" s="4" t="n"/>
      <c r="K11" s="4" t="n"/>
    </row>
    <row r="12">
      <c r="A12" s="8" t="n">
        <v>46174</v>
      </c>
      <c r="B12" t="inlineStr">
        <is>
          <t>North</t>
        </is>
      </c>
      <c r="C12" t="inlineStr">
        <is>
          <t>Stationery</t>
        </is>
      </c>
      <c r="D12" t="inlineStr">
        <is>
          <t>Harpreet Kaur</t>
        </is>
      </c>
      <c r="E12" s="4" t="n">
        <v>70100</v>
      </c>
      <c r="H12" s="4" t="n"/>
      <c r="I12" s="4" t="n"/>
      <c r="J12" s="4" t="n"/>
      <c r="K12" s="4" t="n"/>
    </row>
    <row r="13">
      <c r="A13" s="8" t="n">
        <v>46180</v>
      </c>
      <c r="B13" t="inlineStr">
        <is>
          <t>East</t>
        </is>
      </c>
      <c r="C13" t="inlineStr">
        <is>
          <t>Stationery</t>
        </is>
      </c>
      <c r="D13" t="inlineStr">
        <is>
          <t>Arindam Ghosh</t>
        </is>
      </c>
      <c r="E13" s="4" t="n">
        <v>92500</v>
      </c>
      <c r="H13" s="4" t="n"/>
      <c r="I13" s="4" t="n"/>
      <c r="J13" s="4" t="n"/>
      <c r="K13" s="4" t="n"/>
    </row>
    <row r="14">
      <c r="A14" s="8" t="n">
        <v>46186</v>
      </c>
      <c r="B14" t="inlineStr">
        <is>
          <t>East</t>
        </is>
      </c>
      <c r="C14" t="inlineStr">
        <is>
          <t>Electronics</t>
        </is>
      </c>
      <c r="D14" t="inlineStr">
        <is>
          <t>Arindam Ghosh</t>
        </is>
      </c>
      <c r="E14" s="4" t="n">
        <v>6700</v>
      </c>
      <c r="H14" s="4" t="n"/>
      <c r="I14" s="4" t="n"/>
      <c r="J14" s="4" t="n"/>
      <c r="K14" s="4" t="n"/>
    </row>
    <row r="15">
      <c r="A15" s="8" t="n">
        <v>46192</v>
      </c>
      <c r="B15" t="inlineStr">
        <is>
          <t>South</t>
        </is>
      </c>
      <c r="C15" t="inlineStr">
        <is>
          <t>Stationery</t>
        </is>
      </c>
      <c r="D15" t="inlineStr">
        <is>
          <t>Suresh Pillai</t>
        </is>
      </c>
      <c r="E15" s="4" t="n">
        <v>74600</v>
      </c>
      <c r="H15" s="4" t="n"/>
      <c r="I15" s="4" t="n"/>
      <c r="J15" s="4" t="n"/>
      <c r="K15" s="4" t="n"/>
    </row>
    <row r="16">
      <c r="A16" s="8" t="n">
        <v>46198</v>
      </c>
      <c r="B16" t="inlineStr">
        <is>
          <t>South</t>
        </is>
      </c>
      <c r="C16" t="inlineStr">
        <is>
          <t>Stationery</t>
        </is>
      </c>
      <c r="D16" t="inlineStr">
        <is>
          <t>Suresh Pillai</t>
        </is>
      </c>
      <c r="E16" s="4" t="n">
        <v>76300</v>
      </c>
    </row>
    <row r="17">
      <c r="A17" s="8" t="n">
        <v>46204</v>
      </c>
      <c r="B17" t="inlineStr">
        <is>
          <t>North</t>
        </is>
      </c>
      <c r="C17" t="inlineStr">
        <is>
          <t>Stationery</t>
        </is>
      </c>
      <c r="D17" t="inlineStr">
        <is>
          <t>Harpreet Kaur</t>
        </is>
      </c>
      <c r="E17" s="4" t="n">
        <v>26600</v>
      </c>
      <c r="G17" s="9" t="inlineStr">
        <is>
          <t>Challenge: average by salesperson</t>
        </is>
      </c>
    </row>
    <row r="18">
      <c r="A18" s="8" t="n">
        <v>46210</v>
      </c>
      <c r="B18" t="inlineStr">
        <is>
          <t>West</t>
        </is>
      </c>
      <c r="C18" t="inlineStr">
        <is>
          <t>Stationery</t>
        </is>
      </c>
      <c r="D18" t="inlineStr">
        <is>
          <t>Kiran Desai</t>
        </is>
      </c>
      <c r="E18" s="4" t="n">
        <v>108800</v>
      </c>
      <c r="G18" s="6" t="n"/>
      <c r="H18" s="4" t="n"/>
    </row>
    <row r="19">
      <c r="A19" s="8" t="n">
        <v>46216</v>
      </c>
      <c r="B19" t="inlineStr">
        <is>
          <t>West</t>
        </is>
      </c>
      <c r="C19" t="inlineStr">
        <is>
          <t>Stationery</t>
        </is>
      </c>
      <c r="D19" t="inlineStr">
        <is>
          <t>Kiran Desai</t>
        </is>
      </c>
      <c r="E19" s="4" t="n">
        <v>56300</v>
      </c>
      <c r="H19" s="4" t="n"/>
    </row>
    <row r="20">
      <c r="A20" s="8" t="n">
        <v>46222</v>
      </c>
      <c r="B20" t="inlineStr">
        <is>
          <t>North</t>
        </is>
      </c>
      <c r="C20" t="inlineStr">
        <is>
          <t>Stationery</t>
        </is>
      </c>
      <c r="D20" t="inlineStr">
        <is>
          <t>Neeraj Kapoor</t>
        </is>
      </c>
      <c r="E20" s="4" t="n">
        <v>29500</v>
      </c>
      <c r="H20" s="4" t="n"/>
    </row>
    <row r="21">
      <c r="A21" s="8" t="n">
        <v>46228</v>
      </c>
      <c r="B21" t="inlineStr">
        <is>
          <t>West</t>
        </is>
      </c>
      <c r="C21" t="inlineStr">
        <is>
          <t>Electronics</t>
        </is>
      </c>
      <c r="D21" t="inlineStr">
        <is>
          <t>Kiran Desai</t>
        </is>
      </c>
      <c r="E21" s="4" t="n">
        <v>59100</v>
      </c>
      <c r="H21" s="4" t="n"/>
    </row>
    <row r="22">
      <c r="A22" s="8" t="n">
        <v>46234</v>
      </c>
      <c r="B22" t="inlineStr">
        <is>
          <t>North</t>
        </is>
      </c>
      <c r="C22" t="inlineStr">
        <is>
          <t>Furniture</t>
        </is>
      </c>
      <c r="D22" t="inlineStr">
        <is>
          <t>Harpreet Kaur</t>
        </is>
      </c>
      <c r="E22" s="4" t="n">
        <v>89000</v>
      </c>
      <c r="H22" s="4" t="n"/>
    </row>
    <row r="23">
      <c r="A23" s="8" t="n">
        <v>46240</v>
      </c>
      <c r="B23" t="inlineStr">
        <is>
          <t>South</t>
        </is>
      </c>
      <c r="C23" t="inlineStr">
        <is>
          <t>Stationery</t>
        </is>
      </c>
      <c r="D23" t="inlineStr">
        <is>
          <t>Suresh Pillai</t>
        </is>
      </c>
      <c r="E23" s="4" t="n">
        <v>31400</v>
      </c>
      <c r="H23" s="4" t="n"/>
    </row>
    <row r="24">
      <c r="A24" s="8" t="n">
        <v>46246</v>
      </c>
      <c r="B24" t="inlineStr">
        <is>
          <t>West</t>
        </is>
      </c>
      <c r="C24" t="inlineStr">
        <is>
          <t>Furniture</t>
        </is>
      </c>
      <c r="D24" t="inlineStr">
        <is>
          <t>Kiran Desai</t>
        </is>
      </c>
      <c r="E24" s="4" t="n">
        <v>92400</v>
      </c>
      <c r="H24" s="4" t="n"/>
    </row>
    <row r="25">
      <c r="A25" s="8" t="n">
        <v>46252</v>
      </c>
      <c r="B25" t="inlineStr">
        <is>
          <t>North</t>
        </is>
      </c>
      <c r="C25" t="inlineStr">
        <is>
          <t>Furniture</t>
        </is>
      </c>
      <c r="D25" t="inlineStr">
        <is>
          <t>Neeraj Kapoor</t>
        </is>
      </c>
      <c r="E25" s="4" t="n">
        <v>74400</v>
      </c>
      <c r="H25" s="4" t="n"/>
    </row>
    <row r="26">
      <c r="A26" s="8" t="n">
        <v>46258</v>
      </c>
      <c r="B26" t="inlineStr">
        <is>
          <t>South</t>
        </is>
      </c>
      <c r="C26" t="inlineStr">
        <is>
          <t>Stationery</t>
        </is>
      </c>
      <c r="D26" t="inlineStr">
        <is>
          <t>Suresh Pillai</t>
        </is>
      </c>
      <c r="E26" s="4" t="n">
        <v>51700</v>
      </c>
    </row>
    <row r="27">
      <c r="A27" s="8" t="n">
        <v>46264</v>
      </c>
      <c r="B27" t="inlineStr">
        <is>
          <t>South</t>
        </is>
      </c>
      <c r="C27" t="inlineStr">
        <is>
          <t>Stationery</t>
        </is>
      </c>
      <c r="D27" t="inlineStr">
        <is>
          <t>Lakshmi Srinivasan</t>
        </is>
      </c>
      <c r="E27" s="4" t="n">
        <v>66900</v>
      </c>
    </row>
    <row r="28">
      <c r="A28" s="8" t="n">
        <v>46270</v>
      </c>
      <c r="B28" t="inlineStr">
        <is>
          <t>East</t>
        </is>
      </c>
      <c r="C28" t="inlineStr">
        <is>
          <t>Electronics</t>
        </is>
      </c>
      <c r="D28" t="inlineStr">
        <is>
          <t>Arindam Ghosh</t>
        </is>
      </c>
      <c r="E28" s="4" t="n">
        <v>102400</v>
      </c>
    </row>
    <row r="29">
      <c r="A29" s="8" t="n">
        <v>46276</v>
      </c>
      <c r="B29" t="inlineStr">
        <is>
          <t>North</t>
        </is>
      </c>
      <c r="C29" t="inlineStr">
        <is>
          <t>Electronics</t>
        </is>
      </c>
      <c r="D29" t="inlineStr">
        <is>
          <t>Harpreet Kaur</t>
        </is>
      </c>
      <c r="E29" s="4" t="n">
        <v>90100</v>
      </c>
    </row>
    <row r="30">
      <c r="A30" s="8" t="n">
        <v>46282</v>
      </c>
      <c r="B30" t="inlineStr">
        <is>
          <t>North</t>
        </is>
      </c>
      <c r="C30" t="inlineStr">
        <is>
          <t>Furniture</t>
        </is>
      </c>
      <c r="D30" t="inlineStr">
        <is>
          <t>Harpreet Kaur</t>
        </is>
      </c>
      <c r="E30" s="4" t="n">
        <v>118900</v>
      </c>
    </row>
    <row r="31">
      <c r="A31" s="8" t="n">
        <v>46288</v>
      </c>
      <c r="B31" t="inlineStr">
        <is>
          <t>North</t>
        </is>
      </c>
      <c r="C31" t="inlineStr">
        <is>
          <t>Stationery</t>
        </is>
      </c>
      <c r="D31" t="inlineStr">
        <is>
          <t>Neeraj Kapoor</t>
        </is>
      </c>
      <c r="E31" s="4" t="n">
        <v>117900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18" customWidth="1" min="4" max="4"/>
    <col width="10" customWidth="1" min="5" max="5"/>
    <col width="3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Date</t>
        </is>
      </c>
      <c r="B1" s="3" t="inlineStr">
        <is>
          <t>Region</t>
        </is>
      </c>
      <c r="C1" s="3" t="inlineStr">
        <is>
          <t>Category</t>
        </is>
      </c>
      <c r="D1" s="3" t="inlineStr">
        <is>
          <t>Salesperson</t>
        </is>
      </c>
      <c r="E1" s="3" t="inlineStr">
        <is>
          <t>Sales</t>
        </is>
      </c>
      <c r="G1" s="9" t="inlineStr">
        <is>
          <t>Sales by region</t>
        </is>
      </c>
      <c r="J1" s="9" t="inlineStr">
        <is>
          <t>Share by region</t>
        </is>
      </c>
    </row>
    <row r="2">
      <c r="A2" s="8" t="n">
        <v>46114</v>
      </c>
      <c r="B2" t="inlineStr">
        <is>
          <t>West</t>
        </is>
      </c>
      <c r="C2" t="inlineStr">
        <is>
          <t>Furniture</t>
        </is>
      </c>
      <c r="D2" t="inlineStr">
        <is>
          <t>Kiran Desai</t>
        </is>
      </c>
      <c r="E2" s="4" t="n">
        <v>107800</v>
      </c>
      <c r="G2" cm="1">
        <f t="array" ref="G2:H6">_xlfn.GROUPBY(B2:B31,E2:E31,_xlfn.LAMBDA(_xlpm.v,SUM(_xlpm.v)),,,-2)</f>
        <v/>
      </c>
      <c r="H2" s="4" t="n"/>
      <c r="J2" cm="1">
        <f t="array" ref="J2:K6">_xlfn.GROUPBY(B2:B31,E2:E31,_xlfn.LAMBDA(_xlpm.grp,_xlpm.tot,_xlfn.PERCENTOF(_xlpm.grp,_xlpm.tot)))</f>
        <v/>
      </c>
      <c r="K2" s="15" t="n"/>
    </row>
    <row r="3">
      <c r="A3" s="8" t="n">
        <v>46120</v>
      </c>
      <c r="B3" t="inlineStr">
        <is>
          <t>North</t>
        </is>
      </c>
      <c r="C3" t="inlineStr">
        <is>
          <t>Electronics</t>
        </is>
      </c>
      <c r="D3" t="inlineStr">
        <is>
          <t>Harpreet Kaur</t>
        </is>
      </c>
      <c r="E3" s="4" t="n">
        <v>94400</v>
      </c>
      <c r="H3" s="4" t="n"/>
      <c r="K3" s="15" t="n"/>
    </row>
    <row r="4">
      <c r="A4" s="8" t="n">
        <v>46126</v>
      </c>
      <c r="B4" t="inlineStr">
        <is>
          <t>West</t>
        </is>
      </c>
      <c r="C4" t="inlineStr">
        <is>
          <t>Electronics</t>
        </is>
      </c>
      <c r="D4" t="inlineStr">
        <is>
          <t>Kiran Desai</t>
        </is>
      </c>
      <c r="E4" s="4" t="n">
        <v>55700</v>
      </c>
      <c r="H4" s="4" t="n"/>
      <c r="K4" s="15" t="n"/>
    </row>
    <row r="5">
      <c r="A5" s="8" t="n">
        <v>46132</v>
      </c>
      <c r="B5" t="inlineStr">
        <is>
          <t>East</t>
        </is>
      </c>
      <c r="C5" t="inlineStr">
        <is>
          <t>Furniture</t>
        </is>
      </c>
      <c r="D5" t="inlineStr">
        <is>
          <t>Arindam Ghosh</t>
        </is>
      </c>
      <c r="E5" s="4" t="n">
        <v>50300</v>
      </c>
      <c r="H5" s="4" t="n"/>
      <c r="K5" s="15" t="n"/>
    </row>
    <row r="6">
      <c r="A6" s="8" t="n">
        <v>46138</v>
      </c>
      <c r="B6" t="inlineStr">
        <is>
          <t>East</t>
        </is>
      </c>
      <c r="C6" t="inlineStr">
        <is>
          <t>Furniture</t>
        </is>
      </c>
      <c r="D6" t="inlineStr">
        <is>
          <t>Arindam Ghosh</t>
        </is>
      </c>
      <c r="E6" s="4" t="n">
        <v>101100</v>
      </c>
      <c r="H6" s="4" t="n"/>
      <c r="K6" s="15" t="n"/>
    </row>
    <row r="7">
      <c r="A7" s="8" t="n">
        <v>46144</v>
      </c>
      <c r="B7" t="inlineStr">
        <is>
          <t>East</t>
        </is>
      </c>
      <c r="C7" t="inlineStr">
        <is>
          <t>Electronics</t>
        </is>
      </c>
      <c r="D7" t="inlineStr">
        <is>
          <t>Arindam Ghosh</t>
        </is>
      </c>
      <c r="E7" s="4" t="n">
        <v>25400</v>
      </c>
    </row>
    <row r="8">
      <c r="A8" s="8" t="n">
        <v>46150</v>
      </c>
      <c r="B8" t="inlineStr">
        <is>
          <t>North</t>
        </is>
      </c>
      <c r="C8" t="inlineStr">
        <is>
          <t>Furniture</t>
        </is>
      </c>
      <c r="D8" t="inlineStr">
        <is>
          <t>Neeraj Kapoor</t>
        </is>
      </c>
      <c r="E8" s="4" t="n">
        <v>39400</v>
      </c>
    </row>
    <row r="9">
      <c r="A9" s="8" t="n">
        <v>46156</v>
      </c>
      <c r="B9" t="inlineStr">
        <is>
          <t>South</t>
        </is>
      </c>
      <c r="C9" t="inlineStr">
        <is>
          <t>Electronics</t>
        </is>
      </c>
      <c r="D9" t="inlineStr">
        <is>
          <t>Suresh Pillai</t>
        </is>
      </c>
      <c r="E9" s="4" t="n">
        <v>7000</v>
      </c>
      <c r="G9" s="9" t="inlineStr">
        <is>
          <t>Region by category (PIVOTBY)</t>
        </is>
      </c>
    </row>
    <row r="10">
      <c r="A10" s="8" t="n">
        <v>46162</v>
      </c>
      <c r="B10" t="inlineStr">
        <is>
          <t>South</t>
        </is>
      </c>
      <c r="C10" t="inlineStr">
        <is>
          <t>Stationery</t>
        </is>
      </c>
      <c r="D10" t="inlineStr">
        <is>
          <t>Lakshmi Srinivasan</t>
        </is>
      </c>
      <c r="E10" s="4" t="n">
        <v>72800</v>
      </c>
      <c r="G10" cm="1">
        <f t="array" ref="G10:K15">_xlfn.PIVOTBY(B2:B31,C2:C31,E2:E31,_xlfn.LAMBDA(_xlpm.v,SUM(_xlpm.v)))</f>
        <v/>
      </c>
    </row>
    <row r="11">
      <c r="A11" s="8" t="n">
        <v>46168</v>
      </c>
      <c r="B11" t="inlineStr">
        <is>
          <t>West</t>
        </is>
      </c>
      <c r="C11" t="inlineStr">
        <is>
          <t>Electronics</t>
        </is>
      </c>
      <c r="D11" t="inlineStr">
        <is>
          <t>Kiran Desai</t>
        </is>
      </c>
      <c r="E11" s="4" t="n">
        <v>77600</v>
      </c>
      <c r="H11" s="4" t="n"/>
      <c r="I11" s="4" t="n"/>
      <c r="J11" s="4" t="n"/>
      <c r="K11" s="4" t="n"/>
    </row>
    <row r="12">
      <c r="A12" s="8" t="n">
        <v>46174</v>
      </c>
      <c r="B12" t="inlineStr">
        <is>
          <t>North</t>
        </is>
      </c>
      <c r="C12" t="inlineStr">
        <is>
          <t>Stationery</t>
        </is>
      </c>
      <c r="D12" t="inlineStr">
        <is>
          <t>Harpreet Kaur</t>
        </is>
      </c>
      <c r="E12" s="4" t="n">
        <v>70100</v>
      </c>
      <c r="H12" s="4" t="n"/>
      <c r="I12" s="4" t="n"/>
      <c r="J12" s="4" t="n"/>
      <c r="K12" s="4" t="n"/>
    </row>
    <row r="13">
      <c r="A13" s="8" t="n">
        <v>46180</v>
      </c>
      <c r="B13" t="inlineStr">
        <is>
          <t>East</t>
        </is>
      </c>
      <c r="C13" t="inlineStr">
        <is>
          <t>Stationery</t>
        </is>
      </c>
      <c r="D13" t="inlineStr">
        <is>
          <t>Arindam Ghosh</t>
        </is>
      </c>
      <c r="E13" s="4" t="n">
        <v>92500</v>
      </c>
      <c r="H13" s="4" t="n"/>
      <c r="I13" s="4" t="n"/>
      <c r="J13" s="4" t="n"/>
      <c r="K13" s="4" t="n"/>
    </row>
    <row r="14">
      <c r="A14" s="8" t="n">
        <v>46186</v>
      </c>
      <c r="B14" t="inlineStr">
        <is>
          <t>East</t>
        </is>
      </c>
      <c r="C14" t="inlineStr">
        <is>
          <t>Electronics</t>
        </is>
      </c>
      <c r="D14" t="inlineStr">
        <is>
          <t>Arindam Ghosh</t>
        </is>
      </c>
      <c r="E14" s="4" t="n">
        <v>6700</v>
      </c>
      <c r="H14" s="4" t="n"/>
      <c r="I14" s="4" t="n"/>
      <c r="J14" s="4" t="n"/>
      <c r="K14" s="4" t="n"/>
    </row>
    <row r="15">
      <c r="A15" s="8" t="n">
        <v>46192</v>
      </c>
      <c r="B15" t="inlineStr">
        <is>
          <t>South</t>
        </is>
      </c>
      <c r="C15" t="inlineStr">
        <is>
          <t>Stationery</t>
        </is>
      </c>
      <c r="D15" t="inlineStr">
        <is>
          <t>Suresh Pillai</t>
        </is>
      </c>
      <c r="E15" s="4" t="n">
        <v>74600</v>
      </c>
      <c r="H15" s="4" t="n"/>
      <c r="I15" s="4" t="n"/>
      <c r="J15" s="4" t="n"/>
      <c r="K15" s="4" t="n"/>
    </row>
    <row r="16">
      <c r="A16" s="8" t="n">
        <v>46198</v>
      </c>
      <c r="B16" t="inlineStr">
        <is>
          <t>South</t>
        </is>
      </c>
      <c r="C16" t="inlineStr">
        <is>
          <t>Stationery</t>
        </is>
      </c>
      <c r="D16" t="inlineStr">
        <is>
          <t>Suresh Pillai</t>
        </is>
      </c>
      <c r="E16" s="4" t="n">
        <v>76300</v>
      </c>
    </row>
    <row r="17">
      <c r="A17" s="8" t="n">
        <v>46204</v>
      </c>
      <c r="B17" t="inlineStr">
        <is>
          <t>North</t>
        </is>
      </c>
      <c r="C17" t="inlineStr">
        <is>
          <t>Stationery</t>
        </is>
      </c>
      <c r="D17" t="inlineStr">
        <is>
          <t>Harpreet Kaur</t>
        </is>
      </c>
      <c r="E17" s="4" t="n">
        <v>26600</v>
      </c>
      <c r="G17" s="9" t="inlineStr">
        <is>
          <t>Challenge: average by salesperson</t>
        </is>
      </c>
    </row>
    <row r="18">
      <c r="A18" s="8" t="n">
        <v>46210</v>
      </c>
      <c r="B18" t="inlineStr">
        <is>
          <t>West</t>
        </is>
      </c>
      <c r="C18" t="inlineStr">
        <is>
          <t>Stationery</t>
        </is>
      </c>
      <c r="D18" t="inlineStr">
        <is>
          <t>Kiran Desai</t>
        </is>
      </c>
      <c r="E18" s="4" t="n">
        <v>108800</v>
      </c>
      <c r="G18" cm="1">
        <f t="array" ref="G18:H24">_xlfn.GROUPBY(D2:D31,E2:E31,_xlfn.LAMBDA(_xlpm.v,AVERAGE(_xlpm.v)))</f>
        <v/>
      </c>
      <c r="H18" s="4" t="n"/>
    </row>
    <row r="19">
      <c r="A19" s="8" t="n">
        <v>46216</v>
      </c>
      <c r="B19" t="inlineStr">
        <is>
          <t>West</t>
        </is>
      </c>
      <c r="C19" t="inlineStr">
        <is>
          <t>Stationery</t>
        </is>
      </c>
      <c r="D19" t="inlineStr">
        <is>
          <t>Kiran Desai</t>
        </is>
      </c>
      <c r="E19" s="4" t="n">
        <v>56300</v>
      </c>
      <c r="H19" s="4" t="n"/>
    </row>
    <row r="20">
      <c r="A20" s="8" t="n">
        <v>46222</v>
      </c>
      <c r="B20" t="inlineStr">
        <is>
          <t>North</t>
        </is>
      </c>
      <c r="C20" t="inlineStr">
        <is>
          <t>Stationery</t>
        </is>
      </c>
      <c r="D20" t="inlineStr">
        <is>
          <t>Neeraj Kapoor</t>
        </is>
      </c>
      <c r="E20" s="4" t="n">
        <v>29500</v>
      </c>
      <c r="H20" s="4" t="n"/>
    </row>
    <row r="21">
      <c r="A21" s="8" t="n">
        <v>46228</v>
      </c>
      <c r="B21" t="inlineStr">
        <is>
          <t>West</t>
        </is>
      </c>
      <c r="C21" t="inlineStr">
        <is>
          <t>Electronics</t>
        </is>
      </c>
      <c r="D21" t="inlineStr">
        <is>
          <t>Kiran Desai</t>
        </is>
      </c>
      <c r="E21" s="4" t="n">
        <v>59100</v>
      </c>
      <c r="H21" s="4" t="n"/>
    </row>
    <row r="22">
      <c r="A22" s="8" t="n">
        <v>46234</v>
      </c>
      <c r="B22" t="inlineStr">
        <is>
          <t>North</t>
        </is>
      </c>
      <c r="C22" t="inlineStr">
        <is>
          <t>Furniture</t>
        </is>
      </c>
      <c r="D22" t="inlineStr">
        <is>
          <t>Harpreet Kaur</t>
        </is>
      </c>
      <c r="E22" s="4" t="n">
        <v>89000</v>
      </c>
      <c r="H22" s="4" t="n"/>
    </row>
    <row r="23">
      <c r="A23" s="8" t="n">
        <v>46240</v>
      </c>
      <c r="B23" t="inlineStr">
        <is>
          <t>South</t>
        </is>
      </c>
      <c r="C23" t="inlineStr">
        <is>
          <t>Stationery</t>
        </is>
      </c>
      <c r="D23" t="inlineStr">
        <is>
          <t>Suresh Pillai</t>
        </is>
      </c>
      <c r="E23" s="4" t="n">
        <v>31400</v>
      </c>
      <c r="H23" s="4" t="n"/>
    </row>
    <row r="24">
      <c r="A24" s="8" t="n">
        <v>46246</v>
      </c>
      <c r="B24" t="inlineStr">
        <is>
          <t>West</t>
        </is>
      </c>
      <c r="C24" t="inlineStr">
        <is>
          <t>Furniture</t>
        </is>
      </c>
      <c r="D24" t="inlineStr">
        <is>
          <t>Kiran Desai</t>
        </is>
      </c>
      <c r="E24" s="4" t="n">
        <v>92400</v>
      </c>
      <c r="H24" s="4" t="n"/>
    </row>
    <row r="25">
      <c r="A25" s="8" t="n">
        <v>46252</v>
      </c>
      <c r="B25" t="inlineStr">
        <is>
          <t>North</t>
        </is>
      </c>
      <c r="C25" t="inlineStr">
        <is>
          <t>Furniture</t>
        </is>
      </c>
      <c r="D25" t="inlineStr">
        <is>
          <t>Neeraj Kapoor</t>
        </is>
      </c>
      <c r="E25" s="4" t="n">
        <v>74400</v>
      </c>
      <c r="H25" s="4" t="n"/>
    </row>
    <row r="26">
      <c r="A26" s="8" t="n">
        <v>46258</v>
      </c>
      <c r="B26" t="inlineStr">
        <is>
          <t>South</t>
        </is>
      </c>
      <c r="C26" t="inlineStr">
        <is>
          <t>Stationery</t>
        </is>
      </c>
      <c r="D26" t="inlineStr">
        <is>
          <t>Suresh Pillai</t>
        </is>
      </c>
      <c r="E26" s="4" t="n">
        <v>51700</v>
      </c>
    </row>
    <row r="27">
      <c r="A27" s="8" t="n">
        <v>46264</v>
      </c>
      <c r="B27" t="inlineStr">
        <is>
          <t>South</t>
        </is>
      </c>
      <c r="C27" t="inlineStr">
        <is>
          <t>Stationery</t>
        </is>
      </c>
      <c r="D27" t="inlineStr">
        <is>
          <t>Lakshmi Srinivasan</t>
        </is>
      </c>
      <c r="E27" s="4" t="n">
        <v>66900</v>
      </c>
      <c r="G27" s="14" t="inlineStr">
        <is>
          <t>Done formulas use LAMBDA(v,SUM(v)), the long form of typing SUM, and LAMBDA(grp,tot,PERCENTOF(grp,tot)) for PERCENTOF.</t>
        </is>
      </c>
    </row>
    <row r="28">
      <c r="A28" s="8" t="n">
        <v>46270</v>
      </c>
      <c r="B28" t="inlineStr">
        <is>
          <t>East</t>
        </is>
      </c>
      <c r="C28" t="inlineStr">
        <is>
          <t>Electronics</t>
        </is>
      </c>
      <c r="D28" t="inlineStr">
        <is>
          <t>Arindam Ghosh</t>
        </is>
      </c>
      <c r="E28" s="4" t="n">
        <v>102400</v>
      </c>
    </row>
    <row r="29">
      <c r="A29" s="8" t="n">
        <v>46276</v>
      </c>
      <c r="B29" t="inlineStr">
        <is>
          <t>North</t>
        </is>
      </c>
      <c r="C29" t="inlineStr">
        <is>
          <t>Electronics</t>
        </is>
      </c>
      <c r="D29" t="inlineStr">
        <is>
          <t>Harpreet Kaur</t>
        </is>
      </c>
      <c r="E29" s="4" t="n">
        <v>90100</v>
      </c>
    </row>
    <row r="30">
      <c r="A30" s="8" t="n">
        <v>46282</v>
      </c>
      <c r="B30" t="inlineStr">
        <is>
          <t>North</t>
        </is>
      </c>
      <c r="C30" t="inlineStr">
        <is>
          <t>Furniture</t>
        </is>
      </c>
      <c r="D30" t="inlineStr">
        <is>
          <t>Harpreet Kaur</t>
        </is>
      </c>
      <c r="E30" s="4" t="n">
        <v>118900</v>
      </c>
    </row>
    <row r="31">
      <c r="A31" s="8" t="n">
        <v>46288</v>
      </c>
      <c r="B31" t="inlineStr">
        <is>
          <t>North</t>
        </is>
      </c>
      <c r="C31" t="inlineStr">
        <is>
          <t>Stationery</t>
        </is>
      </c>
      <c r="D31" t="inlineStr">
        <is>
          <t>Neeraj Kapoor</t>
        </is>
      </c>
      <c r="E31" s="4" t="n">
        <v>117900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3" customWidth="1" min="4" max="4"/>
    <col width="12" customWidth="1" min="5" max="5"/>
    <col width="3" customWidth="1" min="6" max="6"/>
    <col width="11" customWidth="1" min="7" max="7"/>
    <col width="11" customWidth="1" min="8" max="8"/>
    <col width="3" customWidth="1" min="9" max="9"/>
    <col width="13" customWidth="1" min="10" max="10"/>
    <col width="3" customWidth="1" min="11" max="11"/>
    <col width="24" customWidth="1" min="12" max="12"/>
    <col width="9" customWidth="1" min="13" max="13"/>
    <col width="10" customWidth="1" min="14" max="14"/>
  </cols>
  <sheetData>
    <row r="1">
      <c r="A1" s="3" t="inlineStr">
        <is>
          <t>Date</t>
        </is>
      </c>
      <c r="B1" s="3" t="inlineStr">
        <is>
          <t>Branch</t>
        </is>
      </c>
      <c r="C1" s="3" t="inlineStr">
        <is>
          <t>Amount</t>
        </is>
      </c>
      <c r="E1" s="3" t="inlineStr">
        <is>
          <t>Branch list</t>
        </is>
      </c>
      <c r="G1" s="3" t="inlineStr">
        <is>
          <t>Branches</t>
        </is>
      </c>
      <c r="H1" s="3" t="inlineStr">
        <is>
          <t>Collected</t>
        </is>
      </c>
      <c r="J1" s="3" t="inlineStr">
        <is>
          <t>Rows of data</t>
        </is>
      </c>
      <c r="L1" s="3" t="inlineStr">
        <is>
          <t>Challenge: last 3 entries</t>
        </is>
      </c>
    </row>
    <row r="2">
      <c r="A2" s="8" t="n">
        <v>46296</v>
      </c>
      <c r="B2" t="inlineStr">
        <is>
          <t>Pune</t>
        </is>
      </c>
      <c r="C2" s="4" t="n">
        <v>19600</v>
      </c>
      <c r="E2" s="6" t="n"/>
      <c r="G2" s="6" t="n"/>
      <c r="H2" s="5" t="n"/>
      <c r="J2" s="6" t="n"/>
      <c r="L2" s="17" t="n"/>
      <c r="N2" s="4" t="n"/>
    </row>
    <row r="3">
      <c r="A3" s="8" t="n">
        <v>46297</v>
      </c>
      <c r="B3" t="inlineStr">
        <is>
          <t>Pune</t>
        </is>
      </c>
      <c r="C3" s="4" t="n">
        <v>20000</v>
      </c>
      <c r="H3" s="4" t="n"/>
      <c r="L3" s="8" t="n"/>
      <c r="N3" s="4" t="n"/>
    </row>
    <row r="4">
      <c r="A4" s="8" t="n">
        <v>46298</v>
      </c>
      <c r="B4" t="inlineStr">
        <is>
          <t>Nagpur</t>
        </is>
      </c>
      <c r="C4" s="4" t="n">
        <v>30200</v>
      </c>
      <c r="H4" s="4" t="n"/>
      <c r="L4" s="8" t="n"/>
      <c r="N4" s="4" t="n"/>
    </row>
    <row r="5">
      <c r="A5" s="8" t="n">
        <v>46299</v>
      </c>
      <c r="B5" t="inlineStr">
        <is>
          <t>Pune</t>
        </is>
      </c>
      <c r="C5" s="4" t="n">
        <v>18600</v>
      </c>
      <c r="H5" s="4" t="n"/>
      <c r="L5" s="8" t="n"/>
      <c r="N5" s="4" t="n"/>
    </row>
    <row r="6">
      <c r="A6" s="8" t="n">
        <v>46300</v>
      </c>
      <c r="B6" t="inlineStr">
        <is>
          <t>Nagpur</t>
        </is>
      </c>
      <c r="C6" s="4" t="n">
        <v>84300</v>
      </c>
      <c r="H6" s="4" t="n"/>
      <c r="L6" s="8" t="n"/>
      <c r="N6" s="4" t="n"/>
    </row>
    <row r="7">
      <c r="A7" s="8" t="n">
        <v>46301</v>
      </c>
      <c r="B7" t="inlineStr">
        <is>
          <t>Nashik</t>
        </is>
      </c>
      <c r="C7" s="4" t="n">
        <v>46600</v>
      </c>
      <c r="H7" s="4" t="n"/>
    </row>
    <row r="8">
      <c r="A8" s="8" t="n">
        <v>46302</v>
      </c>
      <c r="B8" t="inlineStr">
        <is>
          <t>Pune</t>
        </is>
      </c>
      <c r="C8" s="4" t="n">
        <v>28800</v>
      </c>
      <c r="H8" s="4" t="n"/>
    </row>
    <row r="9">
      <c r="A9" s="8" t="n">
        <v>46303</v>
      </c>
      <c r="B9" t="inlineStr">
        <is>
          <t>Nagpur</t>
        </is>
      </c>
      <c r="C9" s="4" t="n">
        <v>60300</v>
      </c>
      <c r="H9" s="4" t="n"/>
    </row>
    <row r="10">
      <c r="A10" s="8" t="n">
        <v>46304</v>
      </c>
      <c r="B10" t="inlineStr">
        <is>
          <t>Pune</t>
        </is>
      </c>
      <c r="C10" s="4" t="n">
        <v>44000</v>
      </c>
      <c r="H10" s="4" t="n"/>
    </row>
    <row r="11">
      <c r="A11" s="8" t="n">
        <v>46305</v>
      </c>
      <c r="B11" t="inlineStr">
        <is>
          <t>Nagpur</t>
        </is>
      </c>
      <c r="C11" s="4" t="n">
        <v>37700</v>
      </c>
    </row>
    <row r="12">
      <c r="A12" s="8" t="n">
        <v>46306</v>
      </c>
      <c r="B12" t="inlineStr">
        <is>
          <t>Nagpur</t>
        </is>
      </c>
      <c r="C12" s="4" t="n">
        <v>44800</v>
      </c>
    </row>
    <row r="13">
      <c r="A13" s="8" t="n">
        <v>46307</v>
      </c>
      <c r="B13" t="inlineStr">
        <is>
          <t>Nagpur</t>
        </is>
      </c>
      <c r="C13" s="4" t="n">
        <v>52500</v>
      </c>
    </row>
    <row r="14">
      <c r="A14" s="8" t="n">
        <v>46308</v>
      </c>
      <c r="B14" t="inlineStr">
        <is>
          <t>Pune</t>
        </is>
      </c>
      <c r="C14" s="4" t="n">
        <v>77700</v>
      </c>
    </row>
    <row r="15">
      <c r="A15" s="8" t="n">
        <v>46309</v>
      </c>
      <c r="B15" t="inlineStr">
        <is>
          <t>Thane</t>
        </is>
      </c>
      <c r="C15" s="4" t="n">
        <v>34300</v>
      </c>
    </row>
    <row r="16">
      <c r="A16" s="8" t="n"/>
      <c r="C16" s="4" t="n"/>
    </row>
    <row r="17">
      <c r="A17" s="8" t="n"/>
      <c r="C17" s="4" t="n"/>
    </row>
    <row r="18">
      <c r="A18" s="8" t="n"/>
      <c r="C18" s="4" t="n"/>
    </row>
    <row r="19">
      <c r="A19" s="8" t="n"/>
      <c r="C19" s="4" t="n"/>
    </row>
    <row r="20">
      <c r="A20" s="8" t="n"/>
      <c r="C20" s="4" t="n"/>
    </row>
    <row r="21">
      <c r="A21" s="8" t="n"/>
      <c r="C21" s="4" t="n"/>
    </row>
    <row r="22">
      <c r="A22" s="8" t="n"/>
      <c r="C22" s="4" t="n"/>
    </row>
    <row r="23">
      <c r="A23" s="8" t="n"/>
      <c r="C23" s="4" t="n"/>
    </row>
    <row r="24">
      <c r="A24" s="8" t="n"/>
      <c r="C24" s="4" t="n"/>
    </row>
    <row r="25">
      <c r="A25" s="8" t="n"/>
      <c r="C25" s="4" t="n"/>
    </row>
    <row r="26">
      <c r="A26" s="8" t="n"/>
      <c r="C26" s="4" t="n"/>
    </row>
    <row r="27">
      <c r="A27" s="8" t="n"/>
      <c r="C27" s="4" t="n"/>
    </row>
    <row r="28">
      <c r="A28" s="8" t="n"/>
      <c r="C28" s="4" t="n"/>
    </row>
    <row r="29">
      <c r="A29" s="8" t="n"/>
      <c r="C29" s="4" t="n"/>
    </row>
    <row r="30">
      <c r="A30" s="8" t="n"/>
      <c r="C30" s="4" t="n"/>
    </row>
    <row r="31">
      <c r="A31" s="8" t="n"/>
      <c r="C31" s="4" t="n"/>
    </row>
    <row r="32">
      <c r="A32" s="8" t="n"/>
      <c r="C32" s="4" t="n"/>
    </row>
    <row r="33">
      <c r="A33" s="8" t="n"/>
      <c r="C33" s="4" t="n"/>
    </row>
    <row r="34">
      <c r="A34" s="8" t="n"/>
      <c r="C34" s="4" t="n"/>
    </row>
    <row r="35">
      <c r="A35" s="8" t="n"/>
      <c r="C35" s="4" t="n"/>
    </row>
    <row r="36">
      <c r="A36" s="8" t="n"/>
      <c r="C36" s="4" t="n"/>
    </row>
    <row r="37">
      <c r="A37" s="8" t="n"/>
      <c r="C37" s="4" t="n"/>
    </row>
    <row r="38">
      <c r="A38" s="8" t="n"/>
      <c r="C38" s="4" t="n"/>
    </row>
    <row r="39">
      <c r="A39" s="8" t="n"/>
      <c r="C39" s="4" t="n"/>
    </row>
    <row r="40">
      <c r="A40" s="8" t="n"/>
      <c r="C40" s="4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3" customWidth="1" min="4" max="4"/>
    <col width="12" customWidth="1" min="5" max="5"/>
    <col width="3" customWidth="1" min="6" max="6"/>
    <col width="11" customWidth="1" min="7" max="7"/>
    <col width="11" customWidth="1" min="8" max="8"/>
    <col width="3" customWidth="1" min="9" max="9"/>
    <col width="13" customWidth="1" min="10" max="10"/>
    <col width="3" customWidth="1" min="11" max="11"/>
    <col width="24" customWidth="1" min="12" max="12"/>
    <col width="9" customWidth="1" min="13" max="13"/>
    <col width="10" customWidth="1" min="14" max="14"/>
  </cols>
  <sheetData>
    <row r="1">
      <c r="A1" s="3" t="inlineStr">
        <is>
          <t>Date</t>
        </is>
      </c>
      <c r="B1" s="3" t="inlineStr">
        <is>
          <t>Branch</t>
        </is>
      </c>
      <c r="C1" s="3" t="inlineStr">
        <is>
          <t>Amount</t>
        </is>
      </c>
      <c r="E1" s="3" t="inlineStr">
        <is>
          <t>Branch list</t>
        </is>
      </c>
      <c r="G1" s="3" t="inlineStr">
        <is>
          <t>Branches</t>
        </is>
      </c>
      <c r="H1" s="3" t="inlineStr">
        <is>
          <t>Collected</t>
        </is>
      </c>
      <c r="J1" s="3" t="inlineStr">
        <is>
          <t>Rows of data</t>
        </is>
      </c>
      <c r="L1" s="3" t="inlineStr">
        <is>
          <t>Challenge: last 3 entries</t>
        </is>
      </c>
    </row>
    <row r="2">
      <c r="A2" s="8" t="n">
        <v>46296</v>
      </c>
      <c r="B2" t="inlineStr">
        <is>
          <t>Pune</t>
        </is>
      </c>
      <c r="C2" s="4" t="n">
        <v>19600</v>
      </c>
      <c r="E2" cm="1">
        <f t="array" ref="E2:E15">_xlfn.TRIMRANGE(B2:B1000,2)</f>
        <v/>
      </c>
      <c r="G2" cm="1">
        <f t="array" ref="G2:G5">_xlfn.UNIQUE(_xlfn.TRIMRANGE(B2:B1000,2))</f>
        <v/>
      </c>
      <c r="H2" s="4" cm="1">
        <f t="array" ref="H2:H5">SUMIFS(C:C,B:B,_xlfn.ANCHORARRAY(G2))</f>
        <v/>
      </c>
      <c r="J2" cm="1">
        <f t="array" ref="J2">ROWS(_xlfn.TRIMRANGE(B2:B1000))</f>
        <v/>
      </c>
      <c r="L2" s="8" cm="1">
        <f t="array" ref="L2:N4">_xlfn.TAKE(_xlfn.TRIMRANGE(A2:C1000,2),-3)</f>
        <v/>
      </c>
      <c r="N2" s="4" t="n"/>
    </row>
    <row r="3">
      <c r="A3" s="8" t="n">
        <v>46297</v>
      </c>
      <c r="B3" t="inlineStr">
        <is>
          <t>Pune</t>
        </is>
      </c>
      <c r="C3" s="4" t="n">
        <v>20000</v>
      </c>
      <c r="H3" s="4" t="n"/>
      <c r="L3" s="8" t="n"/>
      <c r="N3" s="4" t="n"/>
    </row>
    <row r="4">
      <c r="A4" s="8" t="n">
        <v>46298</v>
      </c>
      <c r="B4" t="inlineStr">
        <is>
          <t>Nagpur</t>
        </is>
      </c>
      <c r="C4" s="4" t="n">
        <v>30200</v>
      </c>
      <c r="H4" s="4" t="n"/>
      <c r="L4" s="8" t="n"/>
      <c r="N4" s="4" t="n"/>
    </row>
    <row r="5">
      <c r="A5" s="8" t="n">
        <v>46299</v>
      </c>
      <c r="B5" t="inlineStr">
        <is>
          <t>Pune</t>
        </is>
      </c>
      <c r="C5" s="4" t="n">
        <v>18600</v>
      </c>
      <c r="H5" s="4" t="n"/>
      <c r="L5" s="8" t="n"/>
      <c r="N5" s="4" t="n"/>
    </row>
    <row r="6">
      <c r="A6" s="8" t="n">
        <v>46300</v>
      </c>
      <c r="B6" t="inlineStr">
        <is>
          <t>Nagpur</t>
        </is>
      </c>
      <c r="C6" s="4" t="n">
        <v>84300</v>
      </c>
      <c r="H6" s="4" t="n"/>
      <c r="L6" s="8" t="n"/>
      <c r="N6" s="4" t="n"/>
    </row>
    <row r="7">
      <c r="A7" s="8" t="n">
        <v>46301</v>
      </c>
      <c r="B7" t="inlineStr">
        <is>
          <t>Nashik</t>
        </is>
      </c>
      <c r="C7" s="4" t="n">
        <v>46600</v>
      </c>
      <c r="H7" s="4" t="n"/>
    </row>
    <row r="8">
      <c r="A8" s="8" t="n">
        <v>46302</v>
      </c>
      <c r="B8" t="inlineStr">
        <is>
          <t>Pune</t>
        </is>
      </c>
      <c r="C8" s="4" t="n">
        <v>28800</v>
      </c>
      <c r="H8" s="4" t="n"/>
    </row>
    <row r="9">
      <c r="A9" s="8" t="n">
        <v>46303</v>
      </c>
      <c r="B9" t="inlineStr">
        <is>
          <t>Nagpur</t>
        </is>
      </c>
      <c r="C9" s="4" t="n">
        <v>60300</v>
      </c>
      <c r="H9" s="4" t="n"/>
    </row>
    <row r="10">
      <c r="A10" s="8" t="n">
        <v>46304</v>
      </c>
      <c r="B10" t="inlineStr">
        <is>
          <t>Pune</t>
        </is>
      </c>
      <c r="C10" s="4" t="n">
        <v>44000</v>
      </c>
      <c r="H10" s="4" t="n"/>
    </row>
    <row r="11">
      <c r="A11" s="8" t="n">
        <v>46305</v>
      </c>
      <c r="B11" t="inlineStr">
        <is>
          <t>Nagpur</t>
        </is>
      </c>
      <c r="C11" s="4" t="n">
        <v>37700</v>
      </c>
    </row>
    <row r="12">
      <c r="A12" s="8" t="n">
        <v>46306</v>
      </c>
      <c r="B12" t="inlineStr">
        <is>
          <t>Nagpur</t>
        </is>
      </c>
      <c r="C12" s="4" t="n">
        <v>44800</v>
      </c>
    </row>
    <row r="13">
      <c r="A13" s="8" t="n">
        <v>46307</v>
      </c>
      <c r="B13" t="inlineStr">
        <is>
          <t>Nagpur</t>
        </is>
      </c>
      <c r="C13" s="4" t="n">
        <v>52500</v>
      </c>
    </row>
    <row r="14">
      <c r="A14" s="8" t="n">
        <v>46308</v>
      </c>
      <c r="B14" t="inlineStr">
        <is>
          <t>Pune</t>
        </is>
      </c>
      <c r="C14" s="4" t="n">
        <v>77700</v>
      </c>
    </row>
    <row r="15">
      <c r="A15" s="8" t="n">
        <v>46309</v>
      </c>
      <c r="B15" t="inlineStr">
        <is>
          <t>Thane</t>
        </is>
      </c>
      <c r="C15" s="4" t="n">
        <v>34300</v>
      </c>
    </row>
    <row r="16">
      <c r="A16" s="8" t="n"/>
      <c r="C16" s="4" t="n"/>
    </row>
    <row r="17">
      <c r="A17" s="8" t="n"/>
      <c r="C17" s="4" t="n"/>
    </row>
    <row r="18">
      <c r="A18" s="8" t="n"/>
      <c r="C18" s="4" t="n"/>
      <c r="E18" s="14" t="inlineStr">
        <is>
          <t>In the video we type B2:.B1000. TRIMRANGE(B2:B1000,2) is the same thing written as a function.</t>
        </is>
      </c>
    </row>
    <row r="19">
      <c r="A19" s="8" t="n"/>
      <c r="C19" s="4" t="n"/>
    </row>
    <row r="20">
      <c r="A20" s="8" t="n"/>
      <c r="C20" s="4" t="n"/>
    </row>
    <row r="21">
      <c r="A21" s="8" t="n"/>
      <c r="C21" s="4" t="n"/>
    </row>
    <row r="22">
      <c r="A22" s="8" t="n"/>
      <c r="C22" s="4" t="n"/>
    </row>
    <row r="23">
      <c r="A23" s="8" t="n"/>
      <c r="C23" s="4" t="n"/>
    </row>
    <row r="24">
      <c r="A24" s="8" t="n"/>
      <c r="C24" s="4" t="n"/>
    </row>
    <row r="25">
      <c r="A25" s="8" t="n"/>
      <c r="C25" s="4" t="n"/>
    </row>
    <row r="26">
      <c r="A26" s="8" t="n"/>
      <c r="C26" s="4" t="n"/>
    </row>
    <row r="27">
      <c r="A27" s="8" t="n"/>
      <c r="C27" s="4" t="n"/>
    </row>
    <row r="28">
      <c r="A28" s="8" t="n"/>
      <c r="C28" s="4" t="n"/>
    </row>
    <row r="29">
      <c r="A29" s="8" t="n"/>
      <c r="C29" s="4" t="n"/>
    </row>
    <row r="30">
      <c r="A30" s="8" t="n"/>
      <c r="C30" s="4" t="n"/>
    </row>
    <row r="31">
      <c r="A31" s="8" t="n"/>
      <c r="C31" s="4" t="n"/>
    </row>
    <row r="32">
      <c r="A32" s="8" t="n"/>
      <c r="C32" s="4" t="n"/>
    </row>
    <row r="33">
      <c r="A33" s="8" t="n"/>
      <c r="C33" s="4" t="n"/>
    </row>
    <row r="34">
      <c r="A34" s="8" t="n"/>
      <c r="C34" s="4" t="n"/>
    </row>
    <row r="35">
      <c r="A35" s="8" t="n"/>
      <c r="C35" s="4" t="n"/>
    </row>
    <row r="36">
      <c r="A36" s="8" t="n"/>
      <c r="C36" s="4" t="n"/>
    </row>
    <row r="37">
      <c r="A37" s="8" t="n"/>
      <c r="C37" s="4" t="n"/>
    </row>
    <row r="38">
      <c r="A38" s="8" t="n"/>
      <c r="C38" s="4" t="n"/>
    </row>
    <row r="39">
      <c r="A39" s="8" t="n"/>
      <c r="C39" s="4" t="n"/>
    </row>
    <row r="40">
      <c r="A40" s="8" t="n"/>
      <c r="C40" s="4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9" customWidth="1" min="3" max="3"/>
    <col width="10" customWidth="1" min="4" max="4"/>
    <col width="7" customWidth="1" min="5" max="5"/>
    <col width="18" customWidth="1" min="6" max="6"/>
    <col width="13" customWidth="1" min="7" max="7"/>
    <col width="19" customWidth="1" min="8" max="8"/>
  </cols>
  <sheetData>
    <row r="1">
      <c r="A1" s="3" t="inlineStr">
        <is>
          <t>Item</t>
        </is>
      </c>
      <c r="B1" s="3" t="inlineStr">
        <is>
          <t>Qty</t>
        </is>
      </c>
      <c r="C1" s="3" t="inlineStr">
        <is>
          <t>Rate</t>
        </is>
      </c>
      <c r="D1" s="3" t="inlineStr">
        <is>
          <t>Discount %</t>
        </is>
      </c>
      <c r="E1" s="3" t="inlineStr">
        <is>
          <t>GST %</t>
        </is>
      </c>
      <c r="F1" s="3" t="inlineStr">
        <is>
          <t>Total (long formula)</t>
        </is>
      </c>
      <c r="G1" s="3" t="inlineStr">
        <is>
          <t>Total (LET)</t>
        </is>
      </c>
      <c r="H1" s="3" t="inlineStr">
        <is>
          <t>GST only (challenge)</t>
        </is>
      </c>
    </row>
    <row r="2">
      <c r="A2" t="inlineStr">
        <is>
          <t>Office chairs</t>
        </is>
      </c>
      <c r="B2" t="n">
        <v>12</v>
      </c>
      <c r="C2" s="4" t="n">
        <v>6850</v>
      </c>
      <c r="D2" s="20" t="n">
        <v>0.1</v>
      </c>
      <c r="E2" s="20" t="n">
        <v>0.18</v>
      </c>
      <c r="F2" s="4">
        <f>(B2*C2-B2*C2*D2)+(B2*C2-B2*C2*D2)*E2</f>
        <v/>
      </c>
      <c r="G2" s="5" t="n"/>
      <c r="H2" s="16" t="n"/>
    </row>
    <row r="3">
      <c r="A3" t="inlineStr">
        <is>
          <t>Laptops</t>
        </is>
      </c>
      <c r="B3" t="n">
        <v>5</v>
      </c>
      <c r="C3" s="4" t="n">
        <v>58900</v>
      </c>
      <c r="D3" s="20" t="n">
        <v>0.05</v>
      </c>
      <c r="E3" s="20" t="n">
        <v>0.18</v>
      </c>
      <c r="F3" s="4">
        <f>(B3*C3-B3*C3*D3)+(B3*C3-B3*C3*D3)*E3</f>
        <v/>
      </c>
      <c r="G3" s="5" t="n"/>
      <c r="H3" s="16" t="n"/>
    </row>
    <row r="4">
      <c r="A4" t="inlineStr">
        <is>
          <t>Printer paper (box)</t>
        </is>
      </c>
      <c r="B4" t="n">
        <v>40</v>
      </c>
      <c r="C4" s="4" t="n">
        <v>1250</v>
      </c>
      <c r="D4" s="20" t="n">
        <v>0</v>
      </c>
      <c r="E4" s="20" t="n">
        <v>0.18</v>
      </c>
      <c r="F4" s="4">
        <f>(B4*C4-B4*C4*D4)+(B4*C4-B4*C4*D4)*E4</f>
        <v/>
      </c>
      <c r="G4" s="5" t="n"/>
      <c r="H4" s="16" t="n"/>
    </row>
    <row r="5">
      <c r="A5" t="inlineStr">
        <is>
          <t>Basmati Rice 25 kg</t>
        </is>
      </c>
      <c r="B5" t="n">
        <v>8</v>
      </c>
      <c r="C5" s="4" t="n">
        <v>2950</v>
      </c>
      <c r="D5" s="20" t="n">
        <v>0.02</v>
      </c>
      <c r="E5" s="20" t="n">
        <v>0.05</v>
      </c>
      <c r="F5" s="4">
        <f>(B5*C5-B5*C5*D5)+(B5*C5-B5*C5*D5)*E5</f>
        <v/>
      </c>
      <c r="G5" s="5" t="n"/>
      <c r="H5" s="16" t="n"/>
    </row>
    <row r="6">
      <c r="A6" t="inlineStr">
        <is>
          <t>LED panels</t>
        </is>
      </c>
      <c r="B6" t="n">
        <v>30</v>
      </c>
      <c r="C6" s="4" t="n">
        <v>1450</v>
      </c>
      <c r="D6" s="20" t="n">
        <v>0.08</v>
      </c>
      <c r="E6" s="20" t="n">
        <v>0.18</v>
      </c>
      <c r="F6" s="4">
        <f>(B6*C6-B6*C6*D6)+(B6*C6-B6*C6*D6)*E6</f>
        <v/>
      </c>
      <c r="G6" s="5" t="n"/>
      <c r="H6" s="16" t="n"/>
    </row>
    <row r="7">
      <c r="A7" t="inlineStr">
        <is>
          <t>Water dispensers</t>
        </is>
      </c>
      <c r="B7" t="n">
        <v>3</v>
      </c>
      <c r="C7" s="4" t="n">
        <v>9800</v>
      </c>
      <c r="D7" s="20" t="n">
        <v>0</v>
      </c>
      <c r="E7" s="20" t="n">
        <v>0.18</v>
      </c>
      <c r="F7" s="4">
        <f>(B7*C7-B7*C7*D7)+(B7*C7-B7*C7*D7)*E7</f>
        <v/>
      </c>
      <c r="G7" s="5" t="n"/>
      <c r="H7" s="16" t="n"/>
    </row>
    <row r="8">
      <c r="A8" t="inlineStr">
        <is>
          <t>Tea (Assam) 1 kg</t>
        </is>
      </c>
      <c r="B8" t="n">
        <v>20</v>
      </c>
      <c r="C8" s="4" t="n">
        <v>420</v>
      </c>
      <c r="D8" s="20" t="n">
        <v>0.05</v>
      </c>
      <c r="E8" s="20" t="n">
        <v>0.05</v>
      </c>
      <c r="F8" s="4">
        <f>(B8*C8-B8*C8*D8)+(B8*C8-B8*C8*D8)*E8</f>
        <v/>
      </c>
      <c r="G8" s="5" t="n"/>
      <c r="H8" s="16" t="n"/>
    </row>
    <row r="9">
      <c r="A9" t="inlineStr">
        <is>
          <t>Whiteboards</t>
        </is>
      </c>
      <c r="B9" t="n">
        <v>6</v>
      </c>
      <c r="C9" s="4" t="n">
        <v>3200</v>
      </c>
      <c r="D9" s="20" t="n">
        <v>0.12</v>
      </c>
      <c r="E9" s="20" t="n">
        <v>0.18</v>
      </c>
      <c r="F9" s="4">
        <f>(B9*C9-B9*C9*D9)+(B9*C9-B9*C9*D9)*E9</f>
        <v/>
      </c>
      <c r="G9" s="5" t="n"/>
      <c r="H9" s="16" t="n"/>
    </row>
    <row r="10">
      <c r="A10" t="inlineStr">
        <is>
          <t>Air purifiers</t>
        </is>
      </c>
      <c r="B10" t="n">
        <v>4</v>
      </c>
      <c r="C10" s="4" t="n">
        <v>14500</v>
      </c>
      <c r="D10" s="20" t="n">
        <v>0.07000000000000001</v>
      </c>
      <c r="E10" s="20" t="n">
        <v>0.18</v>
      </c>
      <c r="F10" s="4">
        <f>(B10*C10-B10*C10*D10)+(B10*C10-B10*C10*D10)*E10</f>
        <v/>
      </c>
      <c r="G10" s="5" t="n"/>
      <c r="H10" s="16" t="n"/>
    </row>
    <row r="11">
      <c r="A11" t="inlineStr">
        <is>
          <t>Sugar 50 kg</t>
        </is>
      </c>
      <c r="B11" t="n">
        <v>2</v>
      </c>
      <c r="C11" s="4" t="n">
        <v>2400</v>
      </c>
      <c r="D11" s="20" t="n">
        <v>0</v>
      </c>
      <c r="E11" s="20" t="n">
        <v>0.05</v>
      </c>
      <c r="F11" s="4">
        <f>(B11*C11-B11*C11*D11)+(B11*C11-B11*C11*D11)*E11</f>
        <v/>
      </c>
      <c r="G11" s="5" t="n"/>
      <c r="H11" s="16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9" customWidth="1" min="3" max="3"/>
    <col width="10" customWidth="1" min="4" max="4"/>
    <col width="7" customWidth="1" min="5" max="5"/>
    <col width="18" customWidth="1" min="6" max="6"/>
    <col width="13" customWidth="1" min="7" max="7"/>
    <col width="19" customWidth="1" min="8" max="8"/>
  </cols>
  <sheetData>
    <row r="1">
      <c r="A1" s="3" t="inlineStr">
        <is>
          <t>Item</t>
        </is>
      </c>
      <c r="B1" s="3" t="inlineStr">
        <is>
          <t>Qty</t>
        </is>
      </c>
      <c r="C1" s="3" t="inlineStr">
        <is>
          <t>Rate</t>
        </is>
      </c>
      <c r="D1" s="3" t="inlineStr">
        <is>
          <t>Discount %</t>
        </is>
      </c>
      <c r="E1" s="3" t="inlineStr">
        <is>
          <t>GST %</t>
        </is>
      </c>
      <c r="F1" s="3" t="inlineStr">
        <is>
          <t>Total (long formula)</t>
        </is>
      </c>
      <c r="G1" s="3" t="inlineStr">
        <is>
          <t>Total (LET)</t>
        </is>
      </c>
      <c r="H1" s="3" t="inlineStr">
        <is>
          <t>GST only (challenge)</t>
        </is>
      </c>
    </row>
    <row r="2">
      <c r="A2" t="inlineStr">
        <is>
          <t>Office chairs</t>
        </is>
      </c>
      <c r="B2" t="n">
        <v>12</v>
      </c>
      <c r="C2" s="4" t="n">
        <v>6850</v>
      </c>
      <c r="D2" s="20" t="n">
        <v>0.1</v>
      </c>
      <c r="E2" s="20" t="n">
        <v>0.18</v>
      </c>
      <c r="F2" s="4">
        <f>(B2*C2-B2*C2*D2)+(B2*C2-B2*C2*D2)*E2</f>
        <v/>
      </c>
      <c r="G2" s="4" cm="1">
        <f t="array" ref="G2">_xlfn.LET(_xlpm.gross,B2*C2,_xlpm.net,_xlpm.gross*(1-D2),_xlpm.gst,_xlpm.net*E2,_xlpm.net+_xlpm.gst)</f>
        <v/>
      </c>
      <c r="H2" s="18" cm="1">
        <f t="array" ref="H2">_xlfn.LET(_xlpm.gross,B2*C2,_xlpm.net,_xlpm.gross*(1-D2),ROUND(_xlpm.net*E2,2))</f>
        <v/>
      </c>
    </row>
    <row r="3">
      <c r="A3" t="inlineStr">
        <is>
          <t>Laptops</t>
        </is>
      </c>
      <c r="B3" t="n">
        <v>5</v>
      </c>
      <c r="C3" s="4" t="n">
        <v>58900</v>
      </c>
      <c r="D3" s="20" t="n">
        <v>0.05</v>
      </c>
      <c r="E3" s="20" t="n">
        <v>0.18</v>
      </c>
      <c r="F3" s="4">
        <f>(B3*C3-B3*C3*D3)+(B3*C3-B3*C3*D3)*E3</f>
        <v/>
      </c>
      <c r="G3" s="4" cm="1">
        <f t="array" ref="G3">_xlfn.LET(_xlpm.gross,B3*C3,_xlpm.net,_xlpm.gross*(1-D3),_xlpm.gst,_xlpm.net*E3,_xlpm.net+_xlpm.gst)</f>
        <v/>
      </c>
      <c r="H3" s="18" cm="1">
        <f t="array" ref="H3">_xlfn.LET(_xlpm.gross,B3*C3,_xlpm.net,_xlpm.gross*(1-D3),ROUND(_xlpm.net*E3,2))</f>
        <v/>
      </c>
    </row>
    <row r="4">
      <c r="A4" t="inlineStr">
        <is>
          <t>Printer paper (box)</t>
        </is>
      </c>
      <c r="B4" t="n">
        <v>40</v>
      </c>
      <c r="C4" s="4" t="n">
        <v>1250</v>
      </c>
      <c r="D4" s="20" t="n">
        <v>0</v>
      </c>
      <c r="E4" s="20" t="n">
        <v>0.18</v>
      </c>
      <c r="F4" s="4">
        <f>(B4*C4-B4*C4*D4)+(B4*C4-B4*C4*D4)*E4</f>
        <v/>
      </c>
      <c r="G4" s="4" cm="1">
        <f t="array" ref="G4">_xlfn.LET(_xlpm.gross,B4*C4,_xlpm.net,_xlpm.gross*(1-D4),_xlpm.gst,_xlpm.net*E4,_xlpm.net+_xlpm.gst)</f>
        <v/>
      </c>
      <c r="H4" s="18" cm="1">
        <f t="array" ref="H4">_xlfn.LET(_xlpm.gross,B4*C4,_xlpm.net,_xlpm.gross*(1-D4),ROUND(_xlpm.net*E4,2))</f>
        <v/>
      </c>
    </row>
    <row r="5">
      <c r="A5" t="inlineStr">
        <is>
          <t>Basmati Rice 25 kg</t>
        </is>
      </c>
      <c r="B5" t="n">
        <v>8</v>
      </c>
      <c r="C5" s="4" t="n">
        <v>2950</v>
      </c>
      <c r="D5" s="20" t="n">
        <v>0.02</v>
      </c>
      <c r="E5" s="20" t="n">
        <v>0.05</v>
      </c>
      <c r="F5" s="4">
        <f>(B5*C5-B5*C5*D5)+(B5*C5-B5*C5*D5)*E5</f>
        <v/>
      </c>
      <c r="G5" s="4" cm="1">
        <f t="array" ref="G5">_xlfn.LET(_xlpm.gross,B5*C5,_xlpm.net,_xlpm.gross*(1-D5),_xlpm.gst,_xlpm.net*E5,_xlpm.net+_xlpm.gst)</f>
        <v/>
      </c>
      <c r="H5" s="18" cm="1">
        <f t="array" ref="H5">_xlfn.LET(_xlpm.gross,B5*C5,_xlpm.net,_xlpm.gross*(1-D5),ROUND(_xlpm.net*E5,2))</f>
        <v/>
      </c>
    </row>
    <row r="6">
      <c r="A6" t="inlineStr">
        <is>
          <t>LED panels</t>
        </is>
      </c>
      <c r="B6" t="n">
        <v>30</v>
      </c>
      <c r="C6" s="4" t="n">
        <v>1450</v>
      </c>
      <c r="D6" s="20" t="n">
        <v>0.08</v>
      </c>
      <c r="E6" s="20" t="n">
        <v>0.18</v>
      </c>
      <c r="F6" s="4">
        <f>(B6*C6-B6*C6*D6)+(B6*C6-B6*C6*D6)*E6</f>
        <v/>
      </c>
      <c r="G6" s="4" cm="1">
        <f t="array" ref="G6">_xlfn.LET(_xlpm.gross,B6*C6,_xlpm.net,_xlpm.gross*(1-D6),_xlpm.gst,_xlpm.net*E6,_xlpm.net+_xlpm.gst)</f>
        <v/>
      </c>
      <c r="H6" s="18" cm="1">
        <f t="array" ref="H6">_xlfn.LET(_xlpm.gross,B6*C6,_xlpm.net,_xlpm.gross*(1-D6),ROUND(_xlpm.net*E6,2))</f>
        <v/>
      </c>
    </row>
    <row r="7">
      <c r="A7" t="inlineStr">
        <is>
          <t>Water dispensers</t>
        </is>
      </c>
      <c r="B7" t="n">
        <v>3</v>
      </c>
      <c r="C7" s="4" t="n">
        <v>9800</v>
      </c>
      <c r="D7" s="20" t="n">
        <v>0</v>
      </c>
      <c r="E7" s="20" t="n">
        <v>0.18</v>
      </c>
      <c r="F7" s="4">
        <f>(B7*C7-B7*C7*D7)+(B7*C7-B7*C7*D7)*E7</f>
        <v/>
      </c>
      <c r="G7" s="4" cm="1">
        <f t="array" ref="G7">_xlfn.LET(_xlpm.gross,B7*C7,_xlpm.net,_xlpm.gross*(1-D7),_xlpm.gst,_xlpm.net*E7,_xlpm.net+_xlpm.gst)</f>
        <v/>
      </c>
      <c r="H7" s="18" cm="1">
        <f t="array" ref="H7">_xlfn.LET(_xlpm.gross,B7*C7,_xlpm.net,_xlpm.gross*(1-D7),ROUND(_xlpm.net*E7,2))</f>
        <v/>
      </c>
    </row>
    <row r="8">
      <c r="A8" t="inlineStr">
        <is>
          <t>Tea (Assam) 1 kg</t>
        </is>
      </c>
      <c r="B8" t="n">
        <v>20</v>
      </c>
      <c r="C8" s="4" t="n">
        <v>420</v>
      </c>
      <c r="D8" s="20" t="n">
        <v>0.05</v>
      </c>
      <c r="E8" s="20" t="n">
        <v>0.05</v>
      </c>
      <c r="F8" s="4">
        <f>(B8*C8-B8*C8*D8)+(B8*C8-B8*C8*D8)*E8</f>
        <v/>
      </c>
      <c r="G8" s="4" cm="1">
        <f t="array" ref="G8">_xlfn.LET(_xlpm.gross,B8*C8,_xlpm.net,_xlpm.gross*(1-D8),_xlpm.gst,_xlpm.net*E8,_xlpm.net+_xlpm.gst)</f>
        <v/>
      </c>
      <c r="H8" s="18" cm="1">
        <f t="array" ref="H8">_xlfn.LET(_xlpm.gross,B8*C8,_xlpm.net,_xlpm.gross*(1-D8),ROUND(_xlpm.net*E8,2))</f>
        <v/>
      </c>
    </row>
    <row r="9">
      <c r="A9" t="inlineStr">
        <is>
          <t>Whiteboards</t>
        </is>
      </c>
      <c r="B9" t="n">
        <v>6</v>
      </c>
      <c r="C9" s="4" t="n">
        <v>3200</v>
      </c>
      <c r="D9" s="20" t="n">
        <v>0.12</v>
      </c>
      <c r="E9" s="20" t="n">
        <v>0.18</v>
      </c>
      <c r="F9" s="4">
        <f>(B9*C9-B9*C9*D9)+(B9*C9-B9*C9*D9)*E9</f>
        <v/>
      </c>
      <c r="G9" s="4" cm="1">
        <f t="array" ref="G9">_xlfn.LET(_xlpm.gross,B9*C9,_xlpm.net,_xlpm.gross*(1-D9),_xlpm.gst,_xlpm.net*E9,_xlpm.net+_xlpm.gst)</f>
        <v/>
      </c>
      <c r="H9" s="18" cm="1">
        <f t="array" ref="H9">_xlfn.LET(_xlpm.gross,B9*C9,_xlpm.net,_xlpm.gross*(1-D9),ROUND(_xlpm.net*E9,2))</f>
        <v/>
      </c>
    </row>
    <row r="10">
      <c r="A10" t="inlineStr">
        <is>
          <t>Air purifiers</t>
        </is>
      </c>
      <c r="B10" t="n">
        <v>4</v>
      </c>
      <c r="C10" s="4" t="n">
        <v>14500</v>
      </c>
      <c r="D10" s="20" t="n">
        <v>0.07000000000000001</v>
      </c>
      <c r="E10" s="20" t="n">
        <v>0.18</v>
      </c>
      <c r="F10" s="4">
        <f>(B10*C10-B10*C10*D10)+(B10*C10-B10*C10*D10)*E10</f>
        <v/>
      </c>
      <c r="G10" s="4" cm="1">
        <f t="array" ref="G10">_xlfn.LET(_xlpm.gross,B10*C10,_xlpm.net,_xlpm.gross*(1-D10),_xlpm.gst,_xlpm.net*E10,_xlpm.net+_xlpm.gst)</f>
        <v/>
      </c>
      <c r="H10" s="18" cm="1">
        <f t="array" ref="H10">_xlfn.LET(_xlpm.gross,B10*C10,_xlpm.net,_xlpm.gross*(1-D10),ROUND(_xlpm.net*E10,2))</f>
        <v/>
      </c>
    </row>
    <row r="11">
      <c r="A11" t="inlineStr">
        <is>
          <t>Sugar 50 kg</t>
        </is>
      </c>
      <c r="B11" t="n">
        <v>2</v>
      </c>
      <c r="C11" s="4" t="n">
        <v>2400</v>
      </c>
      <c r="D11" s="20" t="n">
        <v>0</v>
      </c>
      <c r="E11" s="20" t="n">
        <v>0.05</v>
      </c>
      <c r="F11" s="4">
        <f>(B11*C11-B11*C11*D11)+(B11*C11-B11*C11*D11)*E11</f>
        <v/>
      </c>
      <c r="G11" s="4" cm="1">
        <f t="array" ref="G11">_xlfn.LET(_xlpm.gross,B11*C11,_xlpm.net,_xlpm.gross*(1-D11),_xlpm.gst,_xlpm.net*E11,_xlpm.net+_xlpm.gst)</f>
        <v/>
      </c>
      <c r="H11" s="18" cm="1">
        <f t="array" ref="H11">_xlfn.LET(_xlpm.gross,B11*C11,_xlpm.net,_xlpm.gross*(1-D11),ROUND(_xlpm.net*E11,2))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7" customWidth="1" min="3" max="3"/>
    <col width="3" customWidth="1" min="4" max="4"/>
    <col width="12" customWidth="1" min="5" max="5"/>
    <col width="12" customWidth="1" min="6" max="6"/>
    <col width="11" customWidth="1" min="7" max="7"/>
    <col width="20" customWidth="1" min="8" max="8"/>
    <col width="14" customWidth="1" min="9" max="9"/>
    <col width="6" customWidth="1" min="10" max="10"/>
    <col width="6" customWidth="1" min="11" max="11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GST %</t>
        </is>
      </c>
      <c r="E1" s="3" t="inlineStr">
        <is>
          <t>Test LAMBDA</t>
        </is>
      </c>
      <c r="F1" s="3" t="inlineStr">
        <is>
          <t>GSTINCL</t>
        </is>
      </c>
      <c r="G1" s="3" t="inlineStr">
        <is>
          <t>GST (MAP)</t>
        </is>
      </c>
      <c r="H1" s="3" t="inlineStr">
        <is>
          <t>Running total (SCAN)</t>
        </is>
      </c>
      <c r="I1" s="3" t="inlineStr">
        <is>
          <t>Total (REDUCE)</t>
        </is>
      </c>
    </row>
    <row r="2">
      <c r="A2" t="inlineStr">
        <is>
          <t>Laptop</t>
        </is>
      </c>
      <c r="B2" s="4" t="n">
        <v>58900</v>
      </c>
      <c r="C2" s="20" t="n">
        <v>0.18</v>
      </c>
      <c r="E2" s="5" t="n"/>
      <c r="F2" s="5" t="n"/>
      <c r="G2" s="6" t="n"/>
      <c r="H2" s="5" t="n"/>
      <c r="I2" s="5" t="n"/>
    </row>
    <row r="3">
      <c r="A3" t="inlineStr">
        <is>
          <t>Basmati Rice 25 kg</t>
        </is>
      </c>
      <c r="B3" s="4" t="n">
        <v>2950</v>
      </c>
      <c r="C3" s="20" t="n">
        <v>0.05</v>
      </c>
      <c r="E3" s="4" t="n"/>
      <c r="F3" s="4" t="n"/>
      <c r="H3" s="4" t="n"/>
      <c r="I3" s="4" t="n"/>
    </row>
    <row r="4">
      <c r="A4" t="inlineStr">
        <is>
          <t>Fresh vegetables</t>
        </is>
      </c>
      <c r="B4" s="4" t="n">
        <v>1800</v>
      </c>
      <c r="C4" s="20" t="n">
        <v>0</v>
      </c>
      <c r="E4" s="4" t="n"/>
      <c r="F4" s="4" t="n"/>
      <c r="H4" s="4" t="n"/>
      <c r="I4" s="4" t="n"/>
    </row>
    <row r="5">
      <c r="A5" t="inlineStr">
        <is>
          <t>Office chair</t>
        </is>
      </c>
      <c r="B5" s="4" t="n">
        <v>6850</v>
      </c>
      <c r="C5" s="20" t="n">
        <v>0.18</v>
      </c>
      <c r="E5" s="4" t="n"/>
      <c r="F5" s="4" t="n"/>
      <c r="H5" s="4" t="n"/>
      <c r="I5" s="4" t="n"/>
    </row>
    <row r="6">
      <c r="A6" t="inlineStr">
        <is>
          <t>Printed books</t>
        </is>
      </c>
      <c r="B6" s="4" t="n">
        <v>2400</v>
      </c>
      <c r="C6" s="20" t="n">
        <v>0</v>
      </c>
      <c r="E6" s="4" t="n"/>
      <c r="F6" s="4" t="n"/>
      <c r="H6" s="4" t="n"/>
      <c r="I6" s="4" t="n"/>
    </row>
    <row r="7">
      <c r="A7" t="inlineStr">
        <is>
          <t>Air purifier</t>
        </is>
      </c>
      <c r="B7" s="4" t="n">
        <v>14500</v>
      </c>
      <c r="C7" s="20" t="n">
        <v>0.18</v>
      </c>
      <c r="E7" s="4" t="n"/>
      <c r="F7" s="4" t="n"/>
      <c r="H7" s="4" t="n"/>
      <c r="I7" s="4" t="n"/>
    </row>
    <row r="8">
      <c r="A8" t="inlineStr">
        <is>
          <t>Assam Tea 1 kg</t>
        </is>
      </c>
      <c r="B8" s="4" t="n">
        <v>420</v>
      </c>
      <c r="C8" s="20" t="n">
        <v>0.05</v>
      </c>
      <c r="E8" s="4" t="n"/>
      <c r="F8" s="4" t="n"/>
      <c r="H8" s="4" t="n"/>
      <c r="I8" s="4" t="n"/>
    </row>
    <row r="9">
      <c r="A9" t="inlineStr">
        <is>
          <t>LED panel</t>
        </is>
      </c>
      <c r="B9" s="4" t="n">
        <v>1450</v>
      </c>
      <c r="C9" s="20" t="n">
        <v>0.18</v>
      </c>
      <c r="E9" s="4" t="n"/>
      <c r="F9" s="4" t="n"/>
      <c r="H9" s="4" t="n"/>
      <c r="I9" s="4" t="n"/>
    </row>
    <row r="10">
      <c r="A10" t="inlineStr">
        <is>
          <t>Milk (litres)</t>
        </is>
      </c>
      <c r="B10" s="4" t="n">
        <v>960</v>
      </c>
      <c r="C10" s="20" t="n">
        <v>0</v>
      </c>
      <c r="E10" s="4" t="n"/>
      <c r="F10" s="4" t="n"/>
      <c r="H10" s="4" t="n"/>
      <c r="I10" s="4" t="n"/>
    </row>
    <row r="11">
      <c r="A11" t="inlineStr">
        <is>
          <t>Ceiling fan</t>
        </is>
      </c>
      <c r="B11" s="4" t="n">
        <v>2890</v>
      </c>
      <c r="C11" s="20" t="n">
        <v>0.18</v>
      </c>
      <c r="E11" s="4" t="n"/>
      <c r="F11" s="4" t="n"/>
      <c r="H11" s="4" t="n"/>
      <c r="I11" s="4" t="n"/>
    </row>
    <row r="14">
      <c r="A14" s="3" t="inlineStr">
        <is>
          <t>Branch (₹ lakh)</t>
        </is>
      </c>
      <c r="B14" s="3" t="inlineStr">
        <is>
          <t>Q1</t>
        </is>
      </c>
      <c r="C14" s="3" t="inlineStr">
        <is>
          <t>Q2</t>
        </is>
      </c>
      <c r="D14" s="3" t="inlineStr">
        <is>
          <t>Q3</t>
        </is>
      </c>
      <c r="E14" s="3" t="inlineStr">
        <is>
          <t>Q4</t>
        </is>
      </c>
      <c r="F14" s="3" t="inlineStr">
        <is>
          <t>Year (BYROW)</t>
        </is>
      </c>
      <c r="H14" s="9" t="inlineStr">
        <is>
          <t>MAKEARRAY: row × column</t>
        </is>
      </c>
    </row>
    <row r="15">
      <c r="A15" t="inlineStr">
        <is>
          <t>Pune</t>
        </is>
      </c>
      <c r="B15" t="n">
        <v>42</v>
      </c>
      <c r="C15" t="n">
        <v>47</v>
      </c>
      <c r="D15" t="n">
        <v>51</v>
      </c>
      <c r="E15" t="n">
        <v>55</v>
      </c>
      <c r="F15" s="6" t="n"/>
      <c r="H15" s="6" t="n"/>
    </row>
    <row r="16">
      <c r="A16" t="inlineStr">
        <is>
          <t>Nagpur</t>
        </is>
      </c>
      <c r="B16" t="n">
        <v>31</v>
      </c>
      <c r="C16" t="n">
        <v>29</v>
      </c>
      <c r="D16" t="n">
        <v>35</v>
      </c>
      <c r="E16" t="n">
        <v>38</v>
      </c>
    </row>
    <row r="17">
      <c r="A17" t="inlineStr">
        <is>
          <t>Nashik</t>
        </is>
      </c>
      <c r="B17" t="n">
        <v>27</v>
      </c>
      <c r="C17" t="n">
        <v>30</v>
      </c>
      <c r="D17" t="n">
        <v>28</v>
      </c>
      <c r="E17" t="n">
        <v>33</v>
      </c>
    </row>
    <row r="18">
      <c r="A18" t="inlineStr">
        <is>
          <t>Thane</t>
        </is>
      </c>
      <c r="B18" t="n">
        <v>45</v>
      </c>
      <c r="C18" t="n">
        <v>49</v>
      </c>
      <c r="D18" t="n">
        <v>52</v>
      </c>
      <c r="E18" t="n">
        <v>50</v>
      </c>
    </row>
    <row r="19">
      <c r="A19" t="inlineStr">
        <is>
          <t>Kolhapur</t>
        </is>
      </c>
      <c r="B19" t="n">
        <v>22</v>
      </c>
      <c r="C19" t="n">
        <v>24</v>
      </c>
      <c r="D19" t="n">
        <v>27</v>
      </c>
      <c r="E19" t="n">
        <v>26</v>
      </c>
    </row>
    <row r="20">
      <c r="A20" s="7" t="inlineStr">
        <is>
          <t>Best quarter (BYCOL)</t>
        </is>
      </c>
      <c r="B20" s="6" t="n"/>
      <c r="H20" s="9" t="inlineStr">
        <is>
          <t>Challenge: VAT-style rounding</t>
        </is>
      </c>
    </row>
    <row r="21">
      <c r="H21" s="5" t="n"/>
    </row>
    <row r="22">
      <c r="H22" s="4" t="n"/>
    </row>
    <row r="23">
      <c r="H23" s="4" t="n"/>
    </row>
    <row r="24">
      <c r="H24" s="4" t="n"/>
    </row>
    <row r="25">
      <c r="H25" s="4" t="n"/>
    </row>
    <row r="26">
      <c r="H26" s="4" t="n"/>
    </row>
    <row r="27">
      <c r="H27" s="4" t="n"/>
    </row>
    <row r="28">
      <c r="H28" s="4" t="n"/>
    </row>
    <row r="29">
      <c r="H29" s="4" t="n"/>
    </row>
    <row r="30">
      <c r="H30" s="4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7" customWidth="1" min="3" max="3"/>
    <col width="3" customWidth="1" min="4" max="4"/>
    <col width="12" customWidth="1" min="5" max="5"/>
    <col width="12" customWidth="1" min="6" max="6"/>
    <col width="11" customWidth="1" min="7" max="7"/>
    <col width="20" customWidth="1" min="8" max="8"/>
    <col width="14" customWidth="1" min="9" max="9"/>
    <col width="6" customWidth="1" min="10" max="10"/>
    <col width="6" customWidth="1" min="11" max="11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GST %</t>
        </is>
      </c>
      <c r="E1" s="3" t="inlineStr">
        <is>
          <t>Test LAMBDA</t>
        </is>
      </c>
      <c r="F1" s="3" t="inlineStr">
        <is>
          <t>GSTINCL</t>
        </is>
      </c>
      <c r="G1" s="3" t="inlineStr">
        <is>
          <t>GST (MAP)</t>
        </is>
      </c>
      <c r="H1" s="3" t="inlineStr">
        <is>
          <t>Running total (SCAN)</t>
        </is>
      </c>
      <c r="I1" s="3" t="inlineStr">
        <is>
          <t>Total (REDUCE)</t>
        </is>
      </c>
    </row>
    <row r="2">
      <c r="A2" t="inlineStr">
        <is>
          <t>Laptop</t>
        </is>
      </c>
      <c r="B2" s="4" t="n">
        <v>58900</v>
      </c>
      <c r="C2" s="20" t="n">
        <v>0.18</v>
      </c>
      <c r="E2" s="4" cm="1">
        <f t="array" ref="E2">_xlfn.LAMBDA(_xlpm.amt,_xlpm.rate,_xlpm.amt*(1+_xlpm.rate))(B2,C2)</f>
        <v/>
      </c>
      <c r="F2" s="4" cm="1">
        <f t="array" ref="F2:F11">GSTINCL(B2:B11,C2:C11)</f>
        <v/>
      </c>
      <c r="G2" s="4" cm="1">
        <f t="array" ref="G2:G11">_xlfn.MAP(B2:B11,C2:C11,_xlfn.LAMBDA(_xlpm.amt,_xlpm.rate,IF(_xlpm.rate=0,"Exempt",_xlpm.amt*_xlpm.rate)))</f>
        <v/>
      </c>
      <c r="H2" s="4" cm="1">
        <f t="array" ref="H2:H11">_xlfn.SCAN(0,B2:B11,_xlfn.LAMBDA(_xlpm.acc,_xlpm.v,_xlpm.acc+_xlpm.v))</f>
        <v/>
      </c>
      <c r="I2" s="4" cm="1">
        <f t="array" ref="I2">_xlfn.REDUCE(0,B2:B11,_xlfn.LAMBDA(_xlpm.acc,_xlpm.v,_xlpm.acc+_xlpm.v))</f>
        <v/>
      </c>
    </row>
    <row r="3">
      <c r="A3" t="inlineStr">
        <is>
          <t>Basmati Rice 25 kg</t>
        </is>
      </c>
      <c r="B3" s="4" t="n">
        <v>2950</v>
      </c>
      <c r="C3" s="20" t="n">
        <v>0.05</v>
      </c>
      <c r="E3" s="4" t="n"/>
      <c r="F3" s="4" t="n"/>
      <c r="G3" s="4" t="n"/>
      <c r="H3" s="4" t="n"/>
      <c r="I3" s="4" t="n"/>
    </row>
    <row r="4">
      <c r="A4" t="inlineStr">
        <is>
          <t>Fresh vegetables</t>
        </is>
      </c>
      <c r="B4" s="4" t="n">
        <v>1800</v>
      </c>
      <c r="C4" s="20" t="n">
        <v>0</v>
      </c>
      <c r="E4" s="4" t="n"/>
      <c r="F4" s="4" t="n"/>
      <c r="G4" s="4" t="n"/>
      <c r="H4" s="4" t="n"/>
      <c r="I4" s="4" t="n"/>
    </row>
    <row r="5">
      <c r="A5" t="inlineStr">
        <is>
          <t>Office chair</t>
        </is>
      </c>
      <c r="B5" s="4" t="n">
        <v>6850</v>
      </c>
      <c r="C5" s="20" t="n">
        <v>0.18</v>
      </c>
      <c r="E5" s="4" t="n"/>
      <c r="F5" s="4" t="n"/>
      <c r="G5" s="4" t="n"/>
      <c r="H5" s="4" t="n"/>
      <c r="I5" s="4" t="n"/>
    </row>
    <row r="6">
      <c r="A6" t="inlineStr">
        <is>
          <t>Printed books</t>
        </is>
      </c>
      <c r="B6" s="4" t="n">
        <v>2400</v>
      </c>
      <c r="C6" s="20" t="n">
        <v>0</v>
      </c>
      <c r="E6" s="4" t="n"/>
      <c r="F6" s="4" t="n"/>
      <c r="G6" s="4" t="n"/>
      <c r="H6" s="4" t="n"/>
      <c r="I6" s="4" t="n"/>
    </row>
    <row r="7">
      <c r="A7" t="inlineStr">
        <is>
          <t>Air purifier</t>
        </is>
      </c>
      <c r="B7" s="4" t="n">
        <v>14500</v>
      </c>
      <c r="C7" s="20" t="n">
        <v>0.18</v>
      </c>
      <c r="E7" s="4" t="n"/>
      <c r="F7" s="4" t="n"/>
      <c r="G7" s="4" t="n"/>
      <c r="H7" s="4" t="n"/>
      <c r="I7" s="4" t="n"/>
    </row>
    <row r="8">
      <c r="A8" t="inlineStr">
        <is>
          <t>Assam Tea 1 kg</t>
        </is>
      </c>
      <c r="B8" s="4" t="n">
        <v>420</v>
      </c>
      <c r="C8" s="20" t="n">
        <v>0.05</v>
      </c>
      <c r="E8" s="4" t="n"/>
      <c r="F8" s="4" t="n"/>
      <c r="G8" s="4" t="n"/>
      <c r="H8" s="4" t="n"/>
      <c r="I8" s="4" t="n"/>
    </row>
    <row r="9">
      <c r="A9" t="inlineStr">
        <is>
          <t>LED panel</t>
        </is>
      </c>
      <c r="B9" s="4" t="n">
        <v>1450</v>
      </c>
      <c r="C9" s="20" t="n">
        <v>0.18</v>
      </c>
      <c r="E9" s="4" t="n"/>
      <c r="F9" s="4" t="n"/>
      <c r="G9" s="4" t="n"/>
      <c r="H9" s="4" t="n"/>
      <c r="I9" s="4" t="n"/>
    </row>
    <row r="10">
      <c r="A10" t="inlineStr">
        <is>
          <t>Milk (litres)</t>
        </is>
      </c>
      <c r="B10" s="4" t="n">
        <v>960</v>
      </c>
      <c r="C10" s="20" t="n">
        <v>0</v>
      </c>
      <c r="E10" s="4" t="n"/>
      <c r="F10" s="4" t="n"/>
      <c r="G10" s="4" t="n"/>
      <c r="H10" s="4" t="n"/>
      <c r="I10" s="4" t="n"/>
    </row>
    <row r="11">
      <c r="A11" t="inlineStr">
        <is>
          <t>Ceiling fan</t>
        </is>
      </c>
      <c r="B11" s="4" t="n">
        <v>2890</v>
      </c>
      <c r="C11" s="20" t="n">
        <v>0.18</v>
      </c>
      <c r="E11" s="4" t="n"/>
      <c r="F11" s="4" t="n"/>
      <c r="G11" s="4" t="n"/>
      <c r="H11" s="4" t="n"/>
      <c r="I11" s="4" t="n"/>
    </row>
    <row r="14">
      <c r="A14" s="3" t="inlineStr">
        <is>
          <t>Branch (₹ lakh)</t>
        </is>
      </c>
      <c r="B14" s="3" t="inlineStr">
        <is>
          <t>Q1</t>
        </is>
      </c>
      <c r="C14" s="3" t="inlineStr">
        <is>
          <t>Q2</t>
        </is>
      </c>
      <c r="D14" s="3" t="inlineStr">
        <is>
          <t>Q3</t>
        </is>
      </c>
      <c r="E14" s="3" t="inlineStr">
        <is>
          <t>Q4</t>
        </is>
      </c>
      <c r="F14" s="3" t="inlineStr">
        <is>
          <t>Year (BYROW)</t>
        </is>
      </c>
      <c r="H14" s="9" t="inlineStr">
        <is>
          <t>MAKEARRAY: row × column</t>
        </is>
      </c>
    </row>
    <row r="15">
      <c r="A15" t="inlineStr">
        <is>
          <t>Pune</t>
        </is>
      </c>
      <c r="B15" t="n">
        <v>42</v>
      </c>
      <c r="C15" t="n">
        <v>47</v>
      </c>
      <c r="D15" t="n">
        <v>51</v>
      </c>
      <c r="E15" t="n">
        <v>55</v>
      </c>
      <c r="F15" cm="1">
        <f t="array" ref="F15:F19">_xlfn.BYROW(B15:E19,_xlfn.LAMBDA(_xlpm.br,SUM(_xlpm.br)))</f>
        <v/>
      </c>
      <c r="H15" cm="1">
        <f t="array" ref="H15:K17">_xlfn.MAKEARRAY(3,4,_xlfn.LAMBDA(_xlpm.i,_xlpm.j,_xlpm.i*_xlpm.j))</f>
        <v/>
      </c>
    </row>
    <row r="16">
      <c r="A16" t="inlineStr">
        <is>
          <t>Nagpur</t>
        </is>
      </c>
      <c r="B16" t="n">
        <v>31</v>
      </c>
      <c r="C16" t="n">
        <v>29</v>
      </c>
      <c r="D16" t="n">
        <v>35</v>
      </c>
      <c r="E16" t="n">
        <v>38</v>
      </c>
    </row>
    <row r="17">
      <c r="A17" t="inlineStr">
        <is>
          <t>Nashik</t>
        </is>
      </c>
      <c r="B17" t="n">
        <v>27</v>
      </c>
      <c r="C17" t="n">
        <v>30</v>
      </c>
      <c r="D17" t="n">
        <v>28</v>
      </c>
      <c r="E17" t="n">
        <v>33</v>
      </c>
    </row>
    <row r="18">
      <c r="A18" t="inlineStr">
        <is>
          <t>Thane</t>
        </is>
      </c>
      <c r="B18" t="n">
        <v>45</v>
      </c>
      <c r="C18" t="n">
        <v>49</v>
      </c>
      <c r="D18" t="n">
        <v>52</v>
      </c>
      <c r="E18" t="n">
        <v>50</v>
      </c>
    </row>
    <row r="19">
      <c r="A19" t="inlineStr">
        <is>
          <t>Kolhapur</t>
        </is>
      </c>
      <c r="B19" t="n">
        <v>22</v>
      </c>
      <c r="C19" t="n">
        <v>24</v>
      </c>
      <c r="D19" t="n">
        <v>27</v>
      </c>
      <c r="E19" t="n">
        <v>26</v>
      </c>
    </row>
    <row r="20">
      <c r="A20" s="7" t="inlineStr">
        <is>
          <t>Best quarter (BYCOL)</t>
        </is>
      </c>
      <c r="B20" cm="1">
        <f t="array" ref="B20:E20">_xlfn.BYCOL(B15:E19,_xlfn.LAMBDA(_xlpm.qtr,MAX(_xlpm.qtr)))</f>
        <v/>
      </c>
      <c r="H20" s="9" t="inlineStr">
        <is>
          <t>Challenge: VAT-style rounding</t>
        </is>
      </c>
    </row>
    <row r="21">
      <c r="H21" s="4" cm="1">
        <f t="array" ref="H21:H30">_xlfn.MAP(F2:F11,_xlfn.LAMBDA(_xlpm.v,ROUND(_xlpm.v,-1)))</f>
        <v/>
      </c>
    </row>
    <row r="22">
      <c r="H22" s="4" t="n"/>
    </row>
    <row r="23">
      <c r="H23" s="4" t="n"/>
    </row>
    <row r="24">
      <c r="H24" s="4" t="n"/>
    </row>
    <row r="25">
      <c r="H25" s="4" t="n"/>
    </row>
    <row r="26">
      <c r="H26" s="4" t="n"/>
    </row>
    <row r="27">
      <c r="H27" s="4" t="n"/>
    </row>
    <row r="28">
      <c r="H28" s="4" t="n"/>
    </row>
    <row r="29">
      <c r="H29" s="4" t="n"/>
    </row>
    <row r="30">
      <c r="H30" s="4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30" customWidth="1" min="3" max="3"/>
    <col width="16" customWidth="1" min="4" max="4"/>
    <col width="21" customWidth="1" min="5" max="5"/>
    <col width="3" customWidth="1" min="6" max="6"/>
    <col width="16" customWidth="1" min="7" max="7"/>
    <col width="24" customWidth="1" min="8" max="8"/>
  </cols>
  <sheetData>
    <row r="1">
      <c r="A1" s="3" t="inlineStr">
        <is>
          <t>Product</t>
        </is>
      </c>
      <c r="B1" s="3" t="inlineStr">
        <is>
          <t>Price</t>
        </is>
      </c>
      <c r="C1" s="3" t="inlineStr">
        <is>
          <t>Image URL</t>
        </is>
      </c>
      <c r="D1" s="3" t="inlineStr">
        <is>
          <t>Photo</t>
        </is>
      </c>
      <c r="E1" s="3" t="inlineStr">
        <is>
          <t>Thumbnail (challenge)</t>
        </is>
      </c>
      <c r="G1" s="7" t="inlineStr">
        <is>
          <t>Choose product</t>
        </is>
      </c>
      <c r="H1" s="6" t="inlineStr">
        <is>
          <t>Alphonso Mango (dozen)</t>
        </is>
      </c>
    </row>
    <row r="2" ht="62" customHeight="1">
      <c r="A2" t="inlineStr">
        <is>
          <t>Masala Chai (100 cups)</t>
        </is>
      </c>
      <c r="B2" s="4" t="n">
        <v>1800</v>
      </c>
      <c r="C2" s="21" t="inlineStr">
        <is>
          <t>https://upload.wikimedia.org/wikipedia/commons/0/04/Masala_Chai.JPG</t>
        </is>
      </c>
      <c r="D2" s="6" t="n"/>
      <c r="E2" s="6" t="n"/>
      <c r="G2" s="7" t="inlineStr">
        <is>
          <t>Price</t>
        </is>
      </c>
      <c r="H2" s="5" t="n"/>
    </row>
    <row r="3" ht="62" customHeight="1">
      <c r="A3" t="inlineStr">
        <is>
          <t>Banana (dozen)</t>
        </is>
      </c>
      <c r="B3" s="4" t="n">
        <v>60</v>
      </c>
      <c r="C3" s="21" t="inlineStr">
        <is>
          <t>https://upload.wikimedia.org/wikipedia/commons/8/8a/Banana-Single.jpg</t>
        </is>
      </c>
      <c r="D3" s="6" t="n"/>
      <c r="E3" s="6" t="n"/>
      <c r="G3" s="7" t="inlineStr">
        <is>
          <t>Photo</t>
        </is>
      </c>
      <c r="H3" s="6" t="n"/>
    </row>
    <row r="4" ht="62" customHeight="1">
      <c r="A4" t="inlineStr">
        <is>
          <t>Shimla Apple (1 kg)</t>
        </is>
      </c>
      <c r="B4" s="4" t="n">
        <v>180</v>
      </c>
      <c r="C4" s="21" t="inlineStr">
        <is>
          <t>https://upload.wikimedia.org/wikipedia/commons/1/15/Red_Apple.jpg</t>
        </is>
      </c>
      <c r="D4" s="6" t="n"/>
      <c r="E4" s="6" t="n"/>
    </row>
    <row r="5" ht="62" customHeight="1">
      <c r="A5" t="inlineStr">
        <is>
          <t>Alphonso Mango (dozen)</t>
        </is>
      </c>
      <c r="B5" s="4" t="n">
        <v>950</v>
      </c>
      <c r="C5" s="21" t="inlineStr">
        <is>
          <t>https://upload.wikimedia.org/wikipedia/commons/9/90/Hapus_Mango.jpg</t>
        </is>
      </c>
      <c r="D5" s="6" t="n"/>
      <c r="E5" s="6" t="n"/>
    </row>
    <row r="6" ht="62" customHeight="1">
      <c r="A6" t="inlineStr">
        <is>
          <t>Coorg Coffee Beans (1 kg)</t>
        </is>
      </c>
      <c r="B6" s="4" t="n">
        <v>1100</v>
      </c>
      <c r="C6" s="21" t="inlineStr">
        <is>
          <t>https://upload.wikimedia.org/wikipedia/commons/a/a2/Coffee_beans.jpg</t>
        </is>
      </c>
      <c r="D6" s="6" t="n"/>
      <c r="E6" s="6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30" customWidth="1" min="3" max="3"/>
    <col width="16" customWidth="1" min="4" max="4"/>
    <col width="21" customWidth="1" min="5" max="5"/>
    <col width="3" customWidth="1" min="6" max="6"/>
    <col width="16" customWidth="1" min="7" max="7"/>
    <col width="24" customWidth="1" min="8" max="8"/>
  </cols>
  <sheetData>
    <row r="1">
      <c r="A1" s="3" t="inlineStr">
        <is>
          <t>Product</t>
        </is>
      </c>
      <c r="B1" s="3" t="inlineStr">
        <is>
          <t>Price</t>
        </is>
      </c>
      <c r="C1" s="3" t="inlineStr">
        <is>
          <t>Image URL</t>
        </is>
      </c>
      <c r="D1" s="3" t="inlineStr">
        <is>
          <t>Photo</t>
        </is>
      </c>
      <c r="E1" s="3" t="inlineStr">
        <is>
          <t>Thumbnail (challenge)</t>
        </is>
      </c>
      <c r="G1" s="7" t="inlineStr">
        <is>
          <t>Choose product</t>
        </is>
      </c>
      <c r="H1" s="6" t="inlineStr">
        <is>
          <t>Alphonso Mango (dozen)</t>
        </is>
      </c>
    </row>
    <row r="2" ht="62" customHeight="1">
      <c r="A2" t="inlineStr">
        <is>
          <t>Masala Chai (100 cups)</t>
        </is>
      </c>
      <c r="B2" s="4" t="n">
        <v>1800</v>
      </c>
      <c r="C2" s="21" t="inlineStr">
        <is>
          <t>https://upload.wikimedia.org/wikipedia/commons/0/04/Masala_Chai.JPG</t>
        </is>
      </c>
      <c r="D2" cm="1">
        <f t="array" ref="D2">_xlfn.IMAGE(C2,A2)</f>
        <v/>
      </c>
      <c r="E2" cm="1">
        <f t="array" ref="E2">_xlfn.IMAGE(C2,A2,3,40,40)</f>
        <v/>
      </c>
      <c r="G2" s="7" t="inlineStr">
        <is>
          <t>Price</t>
        </is>
      </c>
      <c r="H2" s="4" cm="1">
        <f t="array" ref="H2">_xlfn.XLOOKUP(H1,A2:A6,B2:B6)</f>
        <v/>
      </c>
    </row>
    <row r="3" ht="62" customHeight="1">
      <c r="A3" t="inlineStr">
        <is>
          <t>Banana (dozen)</t>
        </is>
      </c>
      <c r="B3" s="4" t="n">
        <v>60</v>
      </c>
      <c r="C3" s="21" t="inlineStr">
        <is>
          <t>https://upload.wikimedia.org/wikipedia/commons/8/8a/Banana-Single.jpg</t>
        </is>
      </c>
      <c r="D3" cm="1">
        <f t="array" ref="D3">_xlfn.IMAGE(C3,A3)</f>
        <v/>
      </c>
      <c r="E3" cm="1">
        <f t="array" ref="E3">_xlfn.IMAGE(C3,A3,3,40,40)</f>
        <v/>
      </c>
      <c r="G3" s="7" t="inlineStr">
        <is>
          <t>Photo</t>
        </is>
      </c>
      <c r="H3" cm="1">
        <f t="array" ref="H3">_xlfn.XLOOKUP(H1,A2:A6,D2:D6)</f>
        <v/>
      </c>
    </row>
    <row r="4" ht="62" customHeight="1">
      <c r="A4" t="inlineStr">
        <is>
          <t>Shimla Apple (1 kg)</t>
        </is>
      </c>
      <c r="B4" s="4" t="n">
        <v>180</v>
      </c>
      <c r="C4" s="21" t="inlineStr">
        <is>
          <t>https://upload.wikimedia.org/wikipedia/commons/1/15/Red_Apple.jpg</t>
        </is>
      </c>
      <c r="D4" cm="1">
        <f t="array" ref="D4">_xlfn.IMAGE(C4,A4)</f>
        <v/>
      </c>
      <c r="E4" cm="1">
        <f t="array" ref="E4">_xlfn.IMAGE(C4,A4,3,40,40)</f>
        <v/>
      </c>
    </row>
    <row r="5" ht="62" customHeight="1">
      <c r="A5" t="inlineStr">
        <is>
          <t>Alphonso Mango (dozen)</t>
        </is>
      </c>
      <c r="B5" s="4" t="n">
        <v>950</v>
      </c>
      <c r="C5" s="21" t="inlineStr">
        <is>
          <t>https://upload.wikimedia.org/wikipedia/commons/9/90/Hapus_Mango.jpg</t>
        </is>
      </c>
      <c r="D5" cm="1">
        <f t="array" ref="D5">_xlfn.IMAGE(C5,A5)</f>
        <v/>
      </c>
      <c r="E5" cm="1">
        <f t="array" ref="E5">_xlfn.IMAGE(C5,A5,3,40,40)</f>
        <v/>
      </c>
    </row>
    <row r="6" ht="62" customHeight="1">
      <c r="A6" t="inlineStr">
        <is>
          <t>Coorg Coffee Beans (1 kg)</t>
        </is>
      </c>
      <c r="B6" s="4" t="n">
        <v>1100</v>
      </c>
      <c r="C6" s="21" t="inlineStr">
        <is>
          <t>https://upload.wikimedia.org/wikipedia/commons/a/a2/Coffee_beans.jpg</t>
        </is>
      </c>
      <c r="D6" cm="1">
        <f t="array" ref="D6">_xlfn.IMAGE(C6,A6)</f>
        <v/>
      </c>
      <c r="E6" cm="1">
        <f t="array" ref="E6">_xlfn.IMAGE(C6,A6,3,40,40)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</cols>
  <sheetData>
    <row r="1">
      <c r="A1" s="3" t="inlineStr">
        <is>
          <t>Date</t>
        </is>
      </c>
      <c r="B1" s="3" t="inlineStr">
        <is>
          <t>Customer</t>
        </is>
      </c>
      <c r="C1" s="3" t="inlineStr">
        <is>
          <t>Amount</t>
        </is>
      </c>
    </row>
    <row r="2">
      <c r="A2" s="8" t="n">
        <v>46116</v>
      </c>
      <c r="B2" t="inlineStr">
        <is>
          <t>Balaji Agencies</t>
        </is>
      </c>
      <c r="C2" s="4" t="n">
        <v>63100</v>
      </c>
    </row>
    <row r="3">
      <c r="A3" s="8" t="n">
        <v>46121</v>
      </c>
      <c r="B3" t="inlineStr">
        <is>
          <t>Balaji Agencies</t>
        </is>
      </c>
      <c r="C3" s="4" t="n">
        <v>19800</v>
      </c>
    </row>
    <row r="4">
      <c r="A4" s="8" t="n">
        <v>46126</v>
      </c>
      <c r="B4" t="inlineStr">
        <is>
          <t>Patil Electricals</t>
        </is>
      </c>
      <c r="C4" s="4" t="n">
        <v>36800</v>
      </c>
    </row>
    <row r="5">
      <c r="A5" s="8" t="n">
        <v>46131</v>
      </c>
      <c r="B5" t="inlineStr">
        <is>
          <t>Mehta &amp; Sons</t>
        </is>
      </c>
      <c r="C5" s="4" t="n">
        <v>81200</v>
      </c>
    </row>
    <row r="6">
      <c r="A6" s="8" t="n">
        <v>46136</v>
      </c>
      <c r="B6" t="inlineStr">
        <is>
          <t>Mehta &amp; Sons</t>
        </is>
      </c>
      <c r="C6" s="4" t="n">
        <v>57100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</cols>
  <sheetData>
    <row r="1">
      <c r="A1" s="3" t="inlineStr">
        <is>
          <t>Date</t>
        </is>
      </c>
      <c r="B1" s="3" t="inlineStr">
        <is>
          <t>Customer</t>
        </is>
      </c>
      <c r="C1" s="3" t="inlineStr">
        <is>
          <t>Amount</t>
        </is>
      </c>
    </row>
    <row r="2">
      <c r="A2" s="8" t="n">
        <v>46146</v>
      </c>
      <c r="B2" t="inlineStr">
        <is>
          <t>Om Sai Enterprises</t>
        </is>
      </c>
      <c r="C2" s="4" t="n">
        <v>32800</v>
      </c>
    </row>
    <row r="3">
      <c r="A3" s="8" t="n">
        <v>46151</v>
      </c>
      <c r="B3" t="inlineStr">
        <is>
          <t>Shree Ganesh Traders</t>
        </is>
      </c>
      <c r="C3" s="4" t="n">
        <v>86500</v>
      </c>
    </row>
    <row r="4">
      <c r="A4" s="8" t="n">
        <v>46156</v>
      </c>
      <c r="B4" t="inlineStr">
        <is>
          <t>Mehta &amp; Sons</t>
        </is>
      </c>
      <c r="C4" s="4" t="n">
        <v>54800</v>
      </c>
    </row>
    <row r="5">
      <c r="A5" s="8" t="n">
        <v>46161</v>
      </c>
      <c r="B5" t="inlineStr">
        <is>
          <t>Om Sai Enterprises</t>
        </is>
      </c>
      <c r="C5" s="4" t="n">
        <v>42600</v>
      </c>
    </row>
    <row r="6">
      <c r="A6" s="8" t="n">
        <v>46166</v>
      </c>
      <c r="B6" t="inlineStr">
        <is>
          <t>Kumar Stores</t>
        </is>
      </c>
      <c r="C6" s="4" t="n">
        <v>33900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</cols>
  <sheetData>
    <row r="1">
      <c r="A1" s="3" t="inlineStr">
        <is>
          <t>Date</t>
        </is>
      </c>
      <c r="B1" s="3" t="inlineStr">
        <is>
          <t>Customer</t>
        </is>
      </c>
      <c r="C1" s="3" t="inlineStr">
        <is>
          <t>Amount</t>
        </is>
      </c>
    </row>
    <row r="2">
      <c r="A2" s="8" t="n">
        <v>46177</v>
      </c>
      <c r="B2" t="inlineStr">
        <is>
          <t>Mehta &amp; Sons</t>
        </is>
      </c>
      <c r="C2" s="4" t="n">
        <v>61300</v>
      </c>
    </row>
    <row r="3">
      <c r="A3" s="8" t="n">
        <v>46182</v>
      </c>
      <c r="B3" t="inlineStr">
        <is>
          <t>Om Sai Enterprises</t>
        </is>
      </c>
      <c r="C3" s="4" t="n">
        <v>41300</v>
      </c>
    </row>
    <row r="4">
      <c r="A4" s="8" t="n">
        <v>46187</v>
      </c>
      <c r="B4" t="inlineStr">
        <is>
          <t>Shree Ganesh Traders</t>
        </is>
      </c>
      <c r="C4" s="4" t="n">
        <v>12200</v>
      </c>
    </row>
    <row r="5">
      <c r="A5" s="8" t="n">
        <v>46192</v>
      </c>
      <c r="B5" t="inlineStr">
        <is>
          <t>Kumar Stores</t>
        </is>
      </c>
      <c r="C5" s="4" t="n">
        <v>89000</v>
      </c>
    </row>
    <row r="6">
      <c r="A6" s="8" t="n">
        <v>46197</v>
      </c>
      <c r="B6" t="inlineStr">
        <is>
          <t>Balaji Agencies</t>
        </is>
      </c>
      <c r="C6" s="4" t="n">
        <v>42400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2026-10-23T10:15:17Z</dcterms:created>
  <dcterms:modified xmlns:dcterms="http://purl.org/dc/terms/" xmlns:xsi="http://www.w3.org/2001/XMLSchema-instance" xsi:type="dcterms:W3CDTF">2026-10-23T10:15:17Z</dcterms:modified>
</cp:coreProperties>
</file>