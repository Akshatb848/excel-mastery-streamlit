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4-01" sheetId="2" state="visible" r:id="rId2"/>
    <sheet xmlns:r="http://schemas.openxmlformats.org/officeDocument/2006/relationships" name="S14-01 Done" sheetId="3" state="visible" r:id="rId3"/>
    <sheet xmlns:r="http://schemas.openxmlformats.org/officeDocument/2006/relationships" name="S14-02" sheetId="4" state="visible" r:id="rId4"/>
    <sheet xmlns:r="http://schemas.openxmlformats.org/officeDocument/2006/relationships" name="S14-02 Done" sheetId="5" state="visible" r:id="rId5"/>
    <sheet xmlns:r="http://schemas.openxmlformats.org/officeDocument/2006/relationships" name="S14-03" sheetId="6" state="visible" r:id="rId6"/>
    <sheet xmlns:r="http://schemas.openxmlformats.org/officeDocument/2006/relationships" name="S14-03 Done" sheetId="7" state="visible" r:id="rId7"/>
    <sheet xmlns:r="http://schemas.openxmlformats.org/officeDocument/2006/relationships" name="S14-04" sheetId="8" state="visible" r:id="rId8"/>
    <sheet xmlns:r="http://schemas.openxmlformats.org/officeDocument/2006/relationships" name="S14-04 Done" sheetId="9" state="visible" r:id="rId9"/>
    <sheet xmlns:r="http://schemas.openxmlformats.org/officeDocument/2006/relationships" name="S14-05" sheetId="10" state="visible" r:id="rId10"/>
    <sheet xmlns:r="http://schemas.openxmlformats.org/officeDocument/2006/relationships" name="S14-05 Done" sheetId="11" state="visible" r:id="rId11"/>
    <sheet xmlns:r="http://schemas.openxmlformats.org/officeDocument/2006/relationships" name="S14-06" sheetId="12" state="visible" r:id="rId12"/>
    <sheet xmlns:r="http://schemas.openxmlformats.org/officeDocument/2006/relationships" name="S14-06 Done" sheetId="13" state="visible" r:id="rId13"/>
  </sheets>
  <definedNames>
    <definedName name="Growth">'S14-02'!$B$4</definedName>
    <definedName name="PriceChange">'S14-02'!$B$5</definedName>
    <definedName name="CostInflation">'S14-02'!$B$6</definedName>
    <definedName name="Revenue">'S14-02'!$B$16</definedName>
    <definedName name="NetProfit">'S14-02'!$B$19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&gt;=10000000]&quot;₹&quot;##\,##\,##\,##0;[&gt;=100000]&quot;₹&quot;##\,##\,##0;&quot;₹&quot;##,##0"/>
    <numFmt numFmtId="165" formatCode="0.0%"/>
    <numFmt numFmtId="166" formatCode="0&quot; yrs&quot;"/>
    <numFmt numFmtId="167" formatCode="#,##0&quot; units&quot;"/>
    <numFmt numFmtId="168" formatCode="yyyy-mm-dd h:mm:ss"/>
    <numFmt numFmtId="169" formatCode="0.0"/>
    <numFmt numFmtId="170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C00000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3" fontId="0" fillId="3" borderId="0" pivotButton="0" quotePrefix="0" xfId="0"/>
    <xf numFmtId="164" fontId="3" fillId="0" borderId="0" pivotButton="0" quotePrefix="0" xfId="0"/>
    <xf numFmtId="164" fontId="0" fillId="3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0" fontId="0" fillId="3" borderId="0" pivotButton="0" quotePrefix="0" xfId="0"/>
    <xf numFmtId="1" fontId="0" fillId="3" borderId="0" pivotButton="0" quotePrefix="0" xfId="0"/>
    <xf numFmtId="166" fontId="3" fillId="0" borderId="0" pivotButton="0" quotePrefix="0" xfId="0"/>
    <xf numFmtId="10" fontId="3" fillId="0" borderId="0" pivotButton="0" quotePrefix="0" xfId="0"/>
    <xf numFmtId="167" fontId="3" fillId="0" borderId="0" pivotButton="0" quotePrefix="0" xfId="0"/>
    <xf numFmtId="3" fontId="3" fillId="0" borderId="0" pivotButton="0" quotePrefix="0" xfId="0"/>
    <xf numFmtId="17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and 6-month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'S14-05 Done'!B1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'S14-05 Done'!$A$2:$A$49</f>
            </numRef>
          </cat>
          <val>
            <numRef>
              <f>'S14-05 Done'!$B$2:$B$49</f>
            </numRef>
          </val>
        </ser>
        <ser>
          <idx val="1"/>
          <order val="1"/>
          <tx>
            <strRef>
              <f>'S14-05 Done'!C1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'S14-05 Done'!$A$2:$A$49</f>
            </numRef>
          </cat>
          <val>
            <numRef>
              <f>'S14-05 Done'!$C$2:$C$49</f>
            </numRef>
          </val>
        </ser>
        <ser>
          <idx val="2"/>
          <order val="2"/>
          <tx>
            <strRef>
              <f>'S14-05 Done'!D1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'S14-05 Done'!$A$2:$A$49</f>
            </numRef>
          </cat>
          <val>
            <numRef>
              <f>'S14-05 Done'!$D$2:$D$49</f>
            </numRef>
          </val>
        </ser>
        <ser>
          <idx val="3"/>
          <order val="3"/>
          <tx>
            <strRef>
              <f>'S14-05 Done'!E1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'S14-05 Done'!$A$2:$A$49</f>
            </numRef>
          </cat>
          <val>
            <numRef>
              <f>'S14-05 Done'!$E$2:$E$49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4" customWidth="1" min="4" max="4"/>
  </cols>
  <sheetData>
    <row r="1">
      <c r="A1" s="1" t="inlineStr">
        <is>
          <t>Section 14: What-if analysis and statistics tools</t>
        </is>
      </c>
    </row>
    <row r="3">
      <c r="A3" s="2" t="inlineStr">
        <is>
          <t>Lesson</t>
        </is>
      </c>
      <c r="B3" s="2" t="inlineStr">
        <is>
          <t>Title</t>
        </is>
      </c>
      <c r="C3" s="2" t="inlineStr">
        <is>
          <t>Practice sheet</t>
        </is>
      </c>
      <c r="D3" s="2" t="inlineStr">
        <is>
          <t>Recorded in</t>
        </is>
      </c>
    </row>
    <row r="4">
      <c r="A4" t="inlineStr">
        <is>
          <t>S14-01</t>
        </is>
      </c>
      <c r="B4" t="inlineStr">
        <is>
          <t>Goal Seek</t>
        </is>
      </c>
      <c r="C4" t="inlineStr">
        <is>
          <t>S14-01</t>
        </is>
      </c>
      <c r="D4" t="inlineStr">
        <is>
          <t>Excel for the web</t>
        </is>
      </c>
    </row>
    <row r="5">
      <c r="A5" t="inlineStr">
        <is>
          <t>S14-02</t>
        </is>
      </c>
      <c r="B5" t="inlineStr">
        <is>
          <t>Scenario Manager</t>
        </is>
      </c>
      <c r="C5" t="inlineStr">
        <is>
          <t>S14-02</t>
        </is>
      </c>
      <c r="D5" t="inlineStr">
        <is>
          <t>Excel desktop (Mac path shown)</t>
        </is>
      </c>
    </row>
    <row r="6">
      <c r="A6" t="inlineStr">
        <is>
          <t>S14-03</t>
        </is>
      </c>
      <c r="B6" t="inlineStr">
        <is>
          <t>Data Tables</t>
        </is>
      </c>
      <c r="C6" t="inlineStr">
        <is>
          <t>S14-03</t>
        </is>
      </c>
      <c r="D6" t="inlineStr">
        <is>
          <t>Excel desktop (Mac path shown)</t>
        </is>
      </c>
    </row>
    <row r="7">
      <c r="A7" t="inlineStr">
        <is>
          <t>S14-04</t>
        </is>
      </c>
      <c r="B7" t="inlineStr">
        <is>
          <t>Solver</t>
        </is>
      </c>
      <c r="C7" t="inlineStr">
        <is>
          <t>S14-04</t>
        </is>
      </c>
      <c r="D7" t="inlineStr">
        <is>
          <t>Excel desktop (Mac path shown)</t>
        </is>
      </c>
    </row>
    <row r="8">
      <c r="A8" t="inlineStr">
        <is>
          <t>S14-05</t>
        </is>
      </c>
      <c r="B8" t="inlineStr">
        <is>
          <t>Forecast Sheet and trendlines</t>
        </is>
      </c>
      <c r="C8" t="inlineStr">
        <is>
          <t>S14-05</t>
        </is>
      </c>
      <c r="D8" t="inlineStr">
        <is>
          <t>Excel desktop (Mac path shown)</t>
        </is>
      </c>
    </row>
    <row r="9">
      <c r="A9" t="inlineStr">
        <is>
          <t>S14-06</t>
        </is>
      </c>
      <c r="B9" t="inlineStr">
        <is>
          <t>Analysis ToolPak</t>
        </is>
      </c>
      <c r="C9" t="inlineStr">
        <is>
          <t>S14-06</t>
        </is>
      </c>
      <c r="D9" t="inlineStr">
        <is>
          <t>Excel desktop (Mac path shown)</t>
        </is>
      </c>
    </row>
    <row r="11">
      <c r="A11" t="inlineStr">
        <is>
          <t>On a Mac, Solver and the Analysis ToolPak are switched on in Tools &gt; Excel Add-ins.</t>
        </is>
      </c>
    </row>
    <row r="12">
      <c r="A12" t="inlineStr">
        <is>
          <t>Yellow cells are inputs you change. 'Done' sheets show the finished result; 'Answers' are at the bottom.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3" t="inlineStr">
        <is>
          <t>Monthly profit model: Pune showroom</t>
        </is>
      </c>
    </row>
    <row r="2">
      <c r="A2" t="inlineStr">
        <is>
          <t>Selling price per unit</t>
        </is>
      </c>
      <c r="B2" s="4" t="n">
        <v>1250</v>
      </c>
    </row>
    <row r="3">
      <c r="A3" t="inlineStr">
        <is>
          <t>Variable cost per unit</t>
        </is>
      </c>
      <c r="B3" s="4" t="n">
        <v>780</v>
      </c>
    </row>
    <row r="4">
      <c r="A4" t="inlineStr">
        <is>
          <t>Units sold per month</t>
        </is>
      </c>
      <c r="B4" s="5" t="n">
        <v>2000</v>
      </c>
    </row>
    <row r="5">
      <c r="A5" t="inlineStr">
        <is>
          <t>Fixed costs per month</t>
        </is>
      </c>
      <c r="B5" s="4" t="n">
        <v>600000</v>
      </c>
    </row>
    <row r="6">
      <c r="A6" t="inlineStr">
        <is>
          <t>Revenue</t>
        </is>
      </c>
      <c r="B6" s="4">
        <f>B2*B4</f>
        <v/>
      </c>
    </row>
    <row r="7">
      <c r="A7" t="inlineStr">
        <is>
          <t>Total cost</t>
        </is>
      </c>
      <c r="B7" s="4">
        <f>B3*B4+B5</f>
        <v/>
      </c>
    </row>
    <row r="8">
      <c r="A8" s="3" t="inlineStr">
        <is>
          <t>Profit</t>
        </is>
      </c>
      <c r="B8" s="6">
        <f>B6-B7</f>
        <v/>
      </c>
    </row>
    <row r="10">
      <c r="A10" s="3" t="inlineStr">
        <is>
          <t>Home loan: EMI you can afford</t>
        </is>
      </c>
    </row>
    <row r="11">
      <c r="A11" t="inlineStr">
        <is>
          <t>Loan amount</t>
        </is>
      </c>
      <c r="B11" s="7" t="n">
        <v>2500000</v>
      </c>
    </row>
    <row r="12">
      <c r="A12" t="inlineStr">
        <is>
          <t>Interest rate (p.a.)</t>
        </is>
      </c>
      <c r="B12" s="8" t="n">
        <v>0.08749999999999999</v>
      </c>
    </row>
    <row r="13">
      <c r="A13" t="inlineStr">
        <is>
          <t>Tenure (months)</t>
        </is>
      </c>
      <c r="B13" s="9" t="n">
        <v>240</v>
      </c>
    </row>
    <row r="14">
      <c r="A14" s="3" t="inlineStr">
        <is>
          <t>Monthly EMI</t>
        </is>
      </c>
      <c r="B14" s="6">
        <f>PMT(B12/12,B13,-B11)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8" customWidth="1" min="4" max="4"/>
  </cols>
  <sheetData>
    <row r="1">
      <c r="A1" s="3" t="inlineStr">
        <is>
          <t>Monthly profit model: Pune showroom</t>
        </is>
      </c>
      <c r="D1" s="10" t="inlineStr">
        <is>
          <t>Goal Seek results</t>
        </is>
      </c>
    </row>
    <row r="2">
      <c r="A2" t="inlineStr">
        <is>
          <t>Selling price per unit</t>
        </is>
      </c>
      <c r="B2" s="4" t="n">
        <v>1250</v>
      </c>
      <c r="D2" s="11" t="inlineStr">
        <is>
          <t>Units for ₹5,00,000 profit: 2,340.43 (≈ 2,341 units)</t>
        </is>
      </c>
    </row>
    <row r="3">
      <c r="A3" t="inlineStr">
        <is>
          <t>Variable cost per unit</t>
        </is>
      </c>
      <c r="B3" s="4" t="n">
        <v>780</v>
      </c>
      <c r="D3" s="11" t="inlineStr">
        <is>
          <t>Loan for a ₹30,000 EMI at 8.75% over 240 months: ₹33,94,776</t>
        </is>
      </c>
    </row>
    <row r="4">
      <c r="A4" t="inlineStr">
        <is>
          <t>Units sold per month</t>
        </is>
      </c>
      <c r="B4" s="5" t="n">
        <v>2340.4255</v>
      </c>
      <c r="D4" s="11" t="inlineStr">
        <is>
          <t>Challenge answer: price for ₹5,00,000 profit at 2,000 units = ₹1,330</t>
        </is>
      </c>
    </row>
    <row r="5">
      <c r="A5" t="inlineStr">
        <is>
          <t>Fixed costs per month</t>
        </is>
      </c>
      <c r="B5" s="4" t="n">
        <v>600000</v>
      </c>
    </row>
    <row r="6">
      <c r="A6" t="inlineStr">
        <is>
          <t>Revenue</t>
        </is>
      </c>
      <c r="B6" s="4">
        <f>B2*B4</f>
        <v/>
      </c>
    </row>
    <row r="7">
      <c r="A7" t="inlineStr">
        <is>
          <t>Total cost</t>
        </is>
      </c>
      <c r="B7" s="4">
        <f>B3*B4+B5</f>
        <v/>
      </c>
    </row>
    <row r="8">
      <c r="A8" s="3" t="inlineStr">
        <is>
          <t>Profit</t>
        </is>
      </c>
      <c r="B8" s="6">
        <f>B6-B7</f>
        <v/>
      </c>
    </row>
    <row r="10">
      <c r="A10" s="3" t="inlineStr">
        <is>
          <t>Home loan: EMI you can afford</t>
        </is>
      </c>
    </row>
    <row r="11">
      <c r="A11" t="inlineStr">
        <is>
          <t>Loan amount</t>
        </is>
      </c>
      <c r="B11" s="7" t="n">
        <v>3394776.11</v>
      </c>
    </row>
    <row r="12">
      <c r="A12" t="inlineStr">
        <is>
          <t>Interest rate (p.a.)</t>
        </is>
      </c>
      <c r="B12" s="8" t="n">
        <v>0.08749999999999999</v>
      </c>
    </row>
    <row r="13">
      <c r="A13" t="inlineStr">
        <is>
          <t>Tenure (months)</t>
        </is>
      </c>
      <c r="B13" s="9" t="n">
        <v>240</v>
      </c>
    </row>
    <row r="14">
      <c r="A14" s="3" t="inlineStr">
        <is>
          <t>Monthly EMI</t>
        </is>
      </c>
      <c r="B14" s="6">
        <f>PMT(B12/12,B13,-B11)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8" customWidth="1" min="4" max="4"/>
  </cols>
  <sheetData>
    <row r="1">
      <c r="A1" s="3" t="inlineStr">
        <is>
          <t>FY 2026-27 profit plan</t>
        </is>
      </c>
    </row>
    <row r="3">
      <c r="A3" s="2" t="inlineStr">
        <is>
          <t>Inputs</t>
        </is>
      </c>
      <c r="B3" s="2" t="inlineStr">
        <is>
          <t>Value</t>
        </is>
      </c>
      <c r="D3" s="10" t="inlineStr">
        <is>
          <t>Scenarios to add (Growth, Price change, Cost inflation)</t>
        </is>
      </c>
    </row>
    <row r="4">
      <c r="A4" t="inlineStr">
        <is>
          <t>Sales growth</t>
        </is>
      </c>
      <c r="B4" s="12" t="n">
        <v>0.1</v>
      </c>
      <c r="D4" s="11" t="inlineStr">
        <is>
          <t>Base: 10%, 3%, 6%</t>
        </is>
      </c>
    </row>
    <row r="5">
      <c r="A5" t="inlineStr">
        <is>
          <t>Price change</t>
        </is>
      </c>
      <c r="B5" s="12" t="n">
        <v>0.03</v>
      </c>
      <c r="D5" s="11" t="inlineStr">
        <is>
          <t>Best: 18%, 5%, 4%</t>
        </is>
      </c>
    </row>
    <row r="6">
      <c r="A6" t="inlineStr">
        <is>
          <t>Cost inflation</t>
        </is>
      </c>
      <c r="B6" s="12" t="n">
        <v>0.06</v>
      </c>
      <c r="D6" s="11" t="inlineStr">
        <is>
          <t>Worst: 2%, 0%, 9%</t>
        </is>
      </c>
    </row>
    <row r="7">
      <c r="D7" s="11" t="inlineStr">
        <is>
          <t>Result cells for the summary: B16, B19</t>
        </is>
      </c>
    </row>
    <row r="8">
      <c r="A8" s="2" t="inlineStr">
        <is>
          <t>FY 2025-26 actuals</t>
        </is>
      </c>
      <c r="B8" s="2" t="inlineStr">
        <is>
          <t>Value</t>
        </is>
      </c>
    </row>
    <row r="9">
      <c r="A9" t="inlineStr">
        <is>
          <t>Units sold</t>
        </is>
      </c>
      <c r="B9" s="13" t="n">
        <v>48000</v>
      </c>
    </row>
    <row r="10">
      <c r="A10" t="inlineStr">
        <is>
          <t>Average price</t>
        </is>
      </c>
      <c r="B10" s="4" t="n">
        <v>2400</v>
      </c>
    </row>
    <row r="11">
      <c r="A11" t="inlineStr">
        <is>
          <t>Unit cost</t>
        </is>
      </c>
      <c r="B11" s="4" t="n">
        <v>1500</v>
      </c>
    </row>
    <row r="12">
      <c r="A12" t="inlineStr">
        <is>
          <t>Fixed costs</t>
        </is>
      </c>
      <c r="B12" s="4" t="n">
        <v>24000000</v>
      </c>
    </row>
    <row r="14">
      <c r="A14" s="2" t="inlineStr">
        <is>
          <t>FY 2026-27 plan</t>
        </is>
      </c>
      <c r="B14" s="2" t="inlineStr">
        <is>
          <t>Value</t>
        </is>
      </c>
    </row>
    <row r="15">
      <c r="A15" t="inlineStr">
        <is>
          <t>Units</t>
        </is>
      </c>
      <c r="B15" s="13">
        <f>B9*(1+Growth)</f>
        <v/>
      </c>
    </row>
    <row r="16">
      <c r="A16" t="inlineStr">
        <is>
          <t>Revenue</t>
        </is>
      </c>
      <c r="B16" s="4">
        <f>B15*B10*(1+PriceChange)</f>
        <v/>
      </c>
    </row>
    <row r="17">
      <c r="A17" t="inlineStr">
        <is>
          <t>Variable cost</t>
        </is>
      </c>
      <c r="B17" s="4">
        <f>B15*B11*(1+CostInflation)</f>
        <v/>
      </c>
    </row>
    <row r="18">
      <c r="A18" t="inlineStr">
        <is>
          <t>Fixed costs</t>
        </is>
      </c>
      <c r="B18" s="4">
        <f>B12*(1+CostInflation/2)</f>
        <v/>
      </c>
    </row>
    <row r="19">
      <c r="A19" s="3" t="inlineStr">
        <is>
          <t>Net profit</t>
        </is>
      </c>
      <c r="B19" s="6">
        <f>B16-B17-B18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Scenario Summary (values-only copy of what Scenario Manager builds)</t>
        </is>
      </c>
    </row>
    <row r="3">
      <c r="A3" s="2" t="inlineStr"/>
      <c r="B3" s="2" t="inlineStr">
        <is>
          <t>Current Values</t>
        </is>
      </c>
      <c r="C3" s="2" t="inlineStr">
        <is>
          <t>Base</t>
        </is>
      </c>
      <c r="D3" s="2" t="inlineStr">
        <is>
          <t>Best</t>
        </is>
      </c>
      <c r="E3" s="2" t="inlineStr">
        <is>
          <t>Worst</t>
        </is>
      </c>
    </row>
    <row r="4">
      <c r="A4" s="3" t="inlineStr">
        <is>
          <t>Changing Cells:</t>
        </is>
      </c>
    </row>
    <row r="5">
      <c r="A5" t="inlineStr">
        <is>
          <t>Growth</t>
        </is>
      </c>
      <c r="B5" s="14" t="n">
        <v>0.1</v>
      </c>
      <c r="C5" s="14" t="n">
        <v>0.1</v>
      </c>
      <c r="D5" s="14" t="n">
        <v>0.18</v>
      </c>
      <c r="E5" s="14" t="n">
        <v>0.02</v>
      </c>
    </row>
    <row r="6">
      <c r="A6" t="inlineStr">
        <is>
          <t>PriceChange</t>
        </is>
      </c>
      <c r="B6" s="14" t="n">
        <v>0.03</v>
      </c>
      <c r="C6" s="14" t="n">
        <v>0.03</v>
      </c>
      <c r="D6" s="14" t="n">
        <v>0.05</v>
      </c>
      <c r="E6" s="14" t="n">
        <v>0</v>
      </c>
    </row>
    <row r="7">
      <c r="A7" t="inlineStr">
        <is>
          <t>CostInflation</t>
        </is>
      </c>
      <c r="B7" s="14" t="n">
        <v>0.06</v>
      </c>
      <c r="C7" s="14" t="n">
        <v>0.06</v>
      </c>
      <c r="D7" s="14" t="n">
        <v>0.04</v>
      </c>
      <c r="E7" s="14" t="n">
        <v>0.09</v>
      </c>
    </row>
    <row r="8">
      <c r="A8" s="3" t="inlineStr">
        <is>
          <t>Result Cells:</t>
        </is>
      </c>
    </row>
    <row r="9">
      <c r="A9" t="inlineStr">
        <is>
          <t>Revenue</t>
        </is>
      </c>
      <c r="B9" s="4" t="n">
        <v>130521600</v>
      </c>
      <c r="C9" s="4" t="n">
        <v>130521600</v>
      </c>
      <c r="D9" s="4" t="n">
        <v>142732800</v>
      </c>
      <c r="E9" s="4" t="n">
        <v>117504000</v>
      </c>
    </row>
    <row r="10">
      <c r="A10" t="inlineStr">
        <is>
          <t>NetProfit</t>
        </is>
      </c>
      <c r="B10" s="4" t="n">
        <v>21849600</v>
      </c>
      <c r="C10" s="4" t="n">
        <v>21849600</v>
      </c>
      <c r="D10" s="4" t="n">
        <v>29894400</v>
      </c>
      <c r="E10" s="4" t="n">
        <v>12374400</v>
      </c>
    </row>
    <row r="13">
      <c r="A13" s="15" t="inlineStr">
        <is>
          <t>Challenge answer: Festive (25%, 2%, 8%) -&gt; Revenue ₹14,68,80,000, Net profit ₹2,47,20,000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8" customWidth="1" min="8" max="8"/>
  </cols>
  <sheetData>
    <row r="1">
      <c r="A1" s="3" t="inlineStr">
        <is>
          <t>Home loan EMI</t>
        </is>
      </c>
      <c r="H1" s="10" t="inlineStr">
        <is>
          <t>Data Table inputs</t>
        </is>
      </c>
    </row>
    <row r="2">
      <c r="A2" t="inlineStr">
        <is>
          <t>Loan amount</t>
        </is>
      </c>
      <c r="B2" s="7" t="n">
        <v>3000000</v>
      </c>
      <c r="H2" s="11" t="inlineStr">
        <is>
          <t>EMI table: select A8:F15. Row input cell B4 (tenure), Column input cell B3 (rate).</t>
        </is>
      </c>
    </row>
    <row r="3">
      <c r="A3" t="inlineStr">
        <is>
          <t>Interest rate (p.a.)</t>
        </is>
      </c>
      <c r="B3" s="16" t="n">
        <v>0.08500000000000001</v>
      </c>
      <c r="H3" s="11" t="inlineStr">
        <is>
          <t>Challenge: select A25:F30. Row input cell B19 (price), Column input cell B20 (units).</t>
        </is>
      </c>
    </row>
    <row r="4">
      <c r="A4" t="inlineStr">
        <is>
          <t>Tenure (years)</t>
        </is>
      </c>
      <c r="B4" s="17" t="n">
        <v>20</v>
      </c>
    </row>
    <row r="5">
      <c r="A5" s="3" t="inlineStr">
        <is>
          <t>Monthly EMI</t>
        </is>
      </c>
      <c r="B5" s="6">
        <f>PMT(B3/12,B4*12,-B2)</f>
        <v/>
      </c>
    </row>
    <row r="7">
      <c r="A7" s="3" t="inlineStr">
        <is>
          <t>EMI by interest rate (down) and tenure in years (across)</t>
        </is>
      </c>
    </row>
    <row r="8">
      <c r="A8" s="7" t="n"/>
      <c r="B8" s="18" t="n">
        <v>10</v>
      </c>
      <c r="C8" s="18" t="n">
        <v>15</v>
      </c>
      <c r="D8" s="18" t="n">
        <v>20</v>
      </c>
      <c r="E8" s="18" t="n">
        <v>25</v>
      </c>
      <c r="F8" s="18" t="n">
        <v>30</v>
      </c>
    </row>
    <row r="9">
      <c r="A9" s="19" t="n">
        <v>0.075</v>
      </c>
      <c r="B9" s="4" t="n"/>
      <c r="C9" s="4" t="n"/>
      <c r="D9" s="4" t="n"/>
      <c r="E9" s="4" t="n"/>
      <c r="F9" s="4" t="n"/>
    </row>
    <row r="10">
      <c r="A10" s="19" t="n">
        <v>0.08</v>
      </c>
      <c r="B10" s="4" t="n"/>
      <c r="C10" s="4" t="n"/>
      <c r="D10" s="4" t="n"/>
      <c r="E10" s="4" t="n"/>
      <c r="F10" s="4" t="n"/>
    </row>
    <row r="11">
      <c r="A11" s="19" t="n">
        <v>0.08499999999999999</v>
      </c>
      <c r="B11" s="4" t="n"/>
      <c r="C11" s="4" t="n"/>
      <c r="D11" s="4" t="n"/>
      <c r="E11" s="4" t="n"/>
      <c r="F11" s="4" t="n"/>
    </row>
    <row r="12">
      <c r="A12" s="19" t="n">
        <v>0.09</v>
      </c>
      <c r="B12" s="4" t="n"/>
      <c r="C12" s="4" t="n"/>
      <c r="D12" s="4" t="n"/>
      <c r="E12" s="4" t="n"/>
      <c r="F12" s="4" t="n"/>
    </row>
    <row r="13">
      <c r="A13" s="19" t="n">
        <v>0.095</v>
      </c>
      <c r="B13" s="4" t="n"/>
      <c r="C13" s="4" t="n"/>
      <c r="D13" s="4" t="n"/>
      <c r="E13" s="4" t="n"/>
      <c r="F13" s="4" t="n"/>
    </row>
    <row r="14">
      <c r="A14" s="19" t="n">
        <v>0.1</v>
      </c>
      <c r="B14" s="4" t="n"/>
      <c r="C14" s="4" t="n"/>
      <c r="D14" s="4" t="n"/>
      <c r="E14" s="4" t="n"/>
      <c r="F14" s="4" t="n"/>
    </row>
    <row r="15">
      <c r="A15" s="19" t="n">
        <v>0.105</v>
      </c>
      <c r="B15" s="4" t="n"/>
      <c r="C15" s="4" t="n"/>
      <c r="D15" s="4" t="n"/>
      <c r="E15" s="4" t="n"/>
      <c r="F15" s="4" t="n"/>
    </row>
    <row r="18">
      <c r="A18" s="3" t="inlineStr">
        <is>
          <t>Profit sensitivity (challenge)</t>
        </is>
      </c>
    </row>
    <row r="19">
      <c r="A19" t="inlineStr">
        <is>
          <t>Selling price</t>
        </is>
      </c>
      <c r="B19" s="7" t="n">
        <v>1250</v>
      </c>
    </row>
    <row r="20">
      <c r="A20" t="inlineStr">
        <is>
          <t>Units sold</t>
        </is>
      </c>
      <c r="B20" s="5" t="n">
        <v>2000</v>
      </c>
    </row>
    <row r="21">
      <c r="A21" t="inlineStr">
        <is>
          <t>Variable cost per unit</t>
        </is>
      </c>
      <c r="B21" s="4" t="n">
        <v>780</v>
      </c>
    </row>
    <row r="22">
      <c r="A22" t="inlineStr">
        <is>
          <t>Fixed costs</t>
        </is>
      </c>
      <c r="B22" s="4" t="n">
        <v>600000</v>
      </c>
    </row>
    <row r="23">
      <c r="A23" s="3" t="inlineStr">
        <is>
          <t>Profit</t>
        </is>
      </c>
      <c r="B23" s="6">
        <f>(B19-B21)*B20-B22</f>
        <v/>
      </c>
    </row>
    <row r="25">
      <c r="A25" s="7" t="n"/>
      <c r="B25" s="6" t="n">
        <v>1150</v>
      </c>
      <c r="C25" s="6" t="n">
        <v>1200</v>
      </c>
      <c r="D25" s="6" t="n">
        <v>1250</v>
      </c>
      <c r="E25" s="6" t="n">
        <v>1300</v>
      </c>
      <c r="F25" s="6" t="n">
        <v>1350</v>
      </c>
    </row>
    <row r="26">
      <c r="A26" s="20" t="n">
        <v>1600</v>
      </c>
      <c r="B26" s="4" t="n"/>
      <c r="C26" s="4" t="n"/>
      <c r="D26" s="4" t="n"/>
      <c r="E26" s="4" t="n"/>
      <c r="F26" s="4" t="n"/>
    </row>
    <row r="27">
      <c r="A27" s="20" t="n">
        <v>1800</v>
      </c>
      <c r="B27" s="4" t="n"/>
      <c r="C27" s="4" t="n"/>
      <c r="D27" s="4" t="n"/>
      <c r="E27" s="4" t="n"/>
      <c r="F27" s="4" t="n"/>
    </row>
    <row r="28">
      <c r="A28" s="20" t="n">
        <v>2000</v>
      </c>
      <c r="B28" s="4" t="n"/>
      <c r="C28" s="4" t="n"/>
      <c r="D28" s="4" t="n"/>
      <c r="E28" s="4" t="n"/>
      <c r="F28" s="4" t="n"/>
    </row>
    <row r="29">
      <c r="A29" s="20" t="n">
        <v>2200</v>
      </c>
      <c r="B29" s="4" t="n"/>
      <c r="C29" s="4" t="n"/>
      <c r="D29" s="4" t="n"/>
      <c r="E29" s="4" t="n"/>
      <c r="F29" s="4" t="n"/>
    </row>
    <row r="30">
      <c r="A30" s="20" t="n">
        <v>2400</v>
      </c>
      <c r="B30" s="4" t="n"/>
      <c r="C30" s="4" t="n"/>
      <c r="D30" s="4" t="n"/>
      <c r="E30" s="4" t="n"/>
      <c r="F3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8" customWidth="1" min="8" max="8"/>
  </cols>
  <sheetData>
    <row r="1">
      <c r="A1" s="3" t="inlineStr">
        <is>
          <t>Home loan EMI</t>
        </is>
      </c>
      <c r="H1" s="10" t="inlineStr">
        <is>
          <t>Values-only copy of the finished Data Tables</t>
        </is>
      </c>
    </row>
    <row r="2">
      <c r="A2" t="inlineStr">
        <is>
          <t>Loan amount</t>
        </is>
      </c>
      <c r="B2" s="7" t="n">
        <v>3000000</v>
      </c>
      <c r="H2" s="11" t="inlineStr">
        <is>
          <t>In your file B9:F15 and B26:F30 hold {=TABLE(B4,B3)} and {=TABLE(B19,B20)}.</t>
        </is>
      </c>
    </row>
    <row r="3">
      <c r="A3" t="inlineStr">
        <is>
          <t>Interest rate (p.a.)</t>
        </is>
      </c>
      <c r="B3" s="16" t="n">
        <v>0.08500000000000001</v>
      </c>
    </row>
    <row r="4">
      <c r="A4" t="inlineStr">
        <is>
          <t>Tenure (years)</t>
        </is>
      </c>
      <c r="B4" s="17" t="n">
        <v>20</v>
      </c>
    </row>
    <row r="5">
      <c r="A5" s="3" t="inlineStr">
        <is>
          <t>Monthly EMI</t>
        </is>
      </c>
      <c r="B5" s="6">
        <f>PMT(B3/12,B4*12,-B2)</f>
        <v/>
      </c>
    </row>
    <row r="7">
      <c r="A7" s="3" t="inlineStr">
        <is>
          <t>EMI by interest rate (down) and tenure in years (across)</t>
        </is>
      </c>
    </row>
    <row r="8">
      <c r="A8" s="4">
        <f>B5</f>
        <v/>
      </c>
      <c r="B8" s="18" t="n">
        <v>10</v>
      </c>
      <c r="C8" s="18" t="n">
        <v>15</v>
      </c>
      <c r="D8" s="18" t="n">
        <v>20</v>
      </c>
      <c r="E8" s="18" t="n">
        <v>25</v>
      </c>
      <c r="F8" s="18" t="n">
        <v>30</v>
      </c>
    </row>
    <row r="9">
      <c r="A9" s="19" t="n">
        <v>0.075</v>
      </c>
      <c r="B9" s="4" t="n">
        <v>35610.53</v>
      </c>
      <c r="C9" s="4" t="n">
        <v>27810.37</v>
      </c>
      <c r="D9" s="4" t="n">
        <v>24167.8</v>
      </c>
      <c r="E9" s="4" t="n">
        <v>22169.74</v>
      </c>
      <c r="F9" s="4" t="n">
        <v>20976.44</v>
      </c>
    </row>
    <row r="10">
      <c r="A10" s="19" t="n">
        <v>0.08</v>
      </c>
      <c r="B10" s="4" t="n">
        <v>36398.28</v>
      </c>
      <c r="C10" s="4" t="n">
        <v>28669.56</v>
      </c>
      <c r="D10" s="4" t="n">
        <v>25093.2</v>
      </c>
      <c r="E10" s="4" t="n">
        <v>23154.49</v>
      </c>
      <c r="F10" s="4" t="n">
        <v>22012.94</v>
      </c>
    </row>
    <row r="11">
      <c r="A11" s="19" t="n">
        <v>0.08499999999999999</v>
      </c>
      <c r="B11" s="4" t="n">
        <v>37195.71</v>
      </c>
      <c r="C11" s="4" t="n">
        <v>29542.19</v>
      </c>
      <c r="D11" s="4" t="n">
        <v>26034.7</v>
      </c>
      <c r="E11" s="4" t="n">
        <v>24156.81</v>
      </c>
      <c r="F11" s="4" t="n">
        <v>23067.4</v>
      </c>
    </row>
    <row r="12">
      <c r="A12" s="19" t="n">
        <v>0.09</v>
      </c>
      <c r="B12" s="4" t="n">
        <v>38002.73</v>
      </c>
      <c r="C12" s="4" t="n">
        <v>30428</v>
      </c>
      <c r="D12" s="4" t="n">
        <v>26991.78</v>
      </c>
      <c r="E12" s="4" t="n">
        <v>25175.89</v>
      </c>
      <c r="F12" s="4" t="n">
        <v>24138.68</v>
      </c>
    </row>
    <row r="13">
      <c r="A13" s="19" t="n">
        <v>0.095</v>
      </c>
      <c r="B13" s="4" t="n">
        <v>38819.27</v>
      </c>
      <c r="C13" s="4" t="n">
        <v>31326.74</v>
      </c>
      <c r="D13" s="4" t="n">
        <v>27963.94</v>
      </c>
      <c r="E13" s="4" t="n">
        <v>26210.9</v>
      </c>
      <c r="F13" s="4" t="n">
        <v>25225.63</v>
      </c>
    </row>
    <row r="14">
      <c r="A14" s="19" t="n">
        <v>0.1</v>
      </c>
      <c r="B14" s="4" t="n">
        <v>39645.22</v>
      </c>
      <c r="C14" s="4" t="n">
        <v>32238.15</v>
      </c>
      <c r="D14" s="4" t="n">
        <v>28950.65</v>
      </c>
      <c r="E14" s="4" t="n">
        <v>27261.02</v>
      </c>
      <c r="F14" s="4" t="n">
        <v>26327.15</v>
      </c>
    </row>
    <row r="15">
      <c r="A15" s="19" t="n">
        <v>0.105</v>
      </c>
      <c r="B15" s="4" t="n">
        <v>40480.5</v>
      </c>
      <c r="C15" s="4" t="n">
        <v>33161.97</v>
      </c>
      <c r="D15" s="4" t="n">
        <v>29951.4</v>
      </c>
      <c r="E15" s="4" t="n">
        <v>28325.45</v>
      </c>
      <c r="F15" s="4" t="n">
        <v>27442.18</v>
      </c>
    </row>
    <row r="18">
      <c r="A18" s="3" t="inlineStr">
        <is>
          <t>Profit sensitivity (challenge)</t>
        </is>
      </c>
    </row>
    <row r="19">
      <c r="A19" t="inlineStr">
        <is>
          <t>Selling price</t>
        </is>
      </c>
      <c r="B19" s="7" t="n">
        <v>1250</v>
      </c>
    </row>
    <row r="20">
      <c r="A20" t="inlineStr">
        <is>
          <t>Units sold</t>
        </is>
      </c>
      <c r="B20" s="5" t="n">
        <v>2000</v>
      </c>
    </row>
    <row r="21">
      <c r="A21" t="inlineStr">
        <is>
          <t>Variable cost per unit</t>
        </is>
      </c>
      <c r="B21" s="4" t="n">
        <v>780</v>
      </c>
    </row>
    <row r="22">
      <c r="A22" t="inlineStr">
        <is>
          <t>Fixed costs</t>
        </is>
      </c>
      <c r="B22" s="4" t="n">
        <v>600000</v>
      </c>
    </row>
    <row r="23">
      <c r="A23" s="3" t="inlineStr">
        <is>
          <t>Profit</t>
        </is>
      </c>
      <c r="B23" s="6">
        <f>(B19-B21)*B20-B22</f>
        <v/>
      </c>
    </row>
    <row r="25">
      <c r="A25" s="4">
        <f>B23</f>
        <v/>
      </c>
      <c r="B25" s="6" t="n">
        <v>1150</v>
      </c>
      <c r="C25" s="6" t="n">
        <v>1200</v>
      </c>
      <c r="D25" s="6" t="n">
        <v>1250</v>
      </c>
      <c r="E25" s="6" t="n">
        <v>1300</v>
      </c>
      <c r="F25" s="6" t="n">
        <v>1350</v>
      </c>
    </row>
    <row r="26">
      <c r="A26" s="20" t="n">
        <v>1600</v>
      </c>
      <c r="B26" s="4" t="n">
        <v>-8000</v>
      </c>
      <c r="C26" s="4" t="n">
        <v>72000</v>
      </c>
      <c r="D26" s="4" t="n">
        <v>152000</v>
      </c>
      <c r="E26" s="4" t="n">
        <v>232000</v>
      </c>
      <c r="F26" s="4" t="n">
        <v>312000</v>
      </c>
    </row>
    <row r="27">
      <c r="A27" s="20" t="n">
        <v>1800</v>
      </c>
      <c r="B27" s="4" t="n">
        <v>66000</v>
      </c>
      <c r="C27" s="4" t="n">
        <v>156000</v>
      </c>
      <c r="D27" s="4" t="n">
        <v>246000</v>
      </c>
      <c r="E27" s="4" t="n">
        <v>336000</v>
      </c>
      <c r="F27" s="4" t="n">
        <v>426000</v>
      </c>
    </row>
    <row r="28">
      <c r="A28" s="20" t="n">
        <v>2000</v>
      </c>
      <c r="B28" s="4" t="n">
        <v>140000</v>
      </c>
      <c r="C28" s="4" t="n">
        <v>240000</v>
      </c>
      <c r="D28" s="4" t="n">
        <v>340000</v>
      </c>
      <c r="E28" s="4" t="n">
        <v>440000</v>
      </c>
      <c r="F28" s="4" t="n">
        <v>540000</v>
      </c>
    </row>
    <row r="29">
      <c r="A29" s="20" t="n">
        <v>2200</v>
      </c>
      <c r="B29" s="4" t="n">
        <v>214000</v>
      </c>
      <c r="C29" s="4" t="n">
        <v>324000</v>
      </c>
      <c r="D29" s="4" t="n">
        <v>434000</v>
      </c>
      <c r="E29" s="4" t="n">
        <v>544000</v>
      </c>
      <c r="F29" s="4" t="n">
        <v>654000</v>
      </c>
    </row>
    <row r="30">
      <c r="A30" s="20" t="n">
        <v>2400</v>
      </c>
      <c r="B30" s="4" t="n">
        <v>288000</v>
      </c>
      <c r="C30" s="4" t="n">
        <v>408000</v>
      </c>
      <c r="D30" s="4" t="n">
        <v>528000</v>
      </c>
      <c r="E30" s="4" t="n">
        <v>648000</v>
      </c>
      <c r="F30" s="4" t="n">
        <v>768000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6" max="6"/>
    <col width="13" customWidth="1" min="7" max="7"/>
    <col width="13" customWidth="1" min="8" max="8"/>
    <col width="10" customWidth="1" min="9" max="9"/>
    <col width="48" customWidth="1" min="11" max="11"/>
  </cols>
  <sheetData>
    <row r="1">
      <c r="A1" s="2" t="inlineStr">
        <is>
          <t>Product</t>
        </is>
      </c>
      <c r="B1" s="2" t="inlineStr">
        <is>
          <t>Unit cost</t>
        </is>
      </c>
      <c r="C1" s="2" t="inlineStr">
        <is>
          <t>Profit per unit</t>
        </is>
      </c>
      <c r="D1" s="2" t="inlineStr">
        <is>
          <t>Space per unit (sq ft)</t>
        </is>
      </c>
      <c r="E1" s="2" t="inlineStr">
        <is>
          <t>Max demand</t>
        </is>
      </c>
      <c r="F1" s="2" t="inlineStr">
        <is>
          <t>Units to stock</t>
        </is>
      </c>
      <c r="G1" s="2" t="inlineStr">
        <is>
          <t>Total cost</t>
        </is>
      </c>
      <c r="H1" s="2" t="inlineStr">
        <is>
          <t>Total profit</t>
        </is>
      </c>
      <c r="I1" s="2" t="inlineStr">
        <is>
          <t>Space used</t>
        </is>
      </c>
      <c r="K1" s="10" t="inlineStr">
        <is>
          <t>Solver set-up</t>
        </is>
      </c>
    </row>
    <row r="2">
      <c r="A2" t="inlineStr">
        <is>
          <t>LED TV 43-inch</t>
        </is>
      </c>
      <c r="B2" s="4" t="n">
        <v>24000</v>
      </c>
      <c r="C2" s="4" t="n">
        <v>3200</v>
      </c>
      <c r="D2" t="n">
        <v>4</v>
      </c>
      <c r="E2" t="n">
        <v>120</v>
      </c>
      <c r="F2" s="5" t="n">
        <v>0</v>
      </c>
      <c r="G2" s="4">
        <f>B2*F2</f>
        <v/>
      </c>
      <c r="H2" s="4">
        <f>C2*F2</f>
        <v/>
      </c>
      <c r="I2" s="13">
        <f>D2*F2</f>
        <v/>
      </c>
      <c r="K2" s="11" t="inlineStr">
        <is>
          <t>Objective: H6, Max</t>
        </is>
      </c>
    </row>
    <row r="3">
      <c r="A3" t="inlineStr">
        <is>
          <t>Refrigerator 260 L</t>
        </is>
      </c>
      <c r="B3" s="4" t="n">
        <v>22000</v>
      </c>
      <c r="C3" s="4" t="n">
        <v>2900</v>
      </c>
      <c r="D3" t="n">
        <v>6</v>
      </c>
      <c r="E3" t="n">
        <v>90</v>
      </c>
      <c r="F3" s="5" t="n">
        <v>0</v>
      </c>
      <c r="G3" s="4">
        <f>B3*F3</f>
        <v/>
      </c>
      <c r="H3" s="4">
        <f>C3*F3</f>
        <v/>
      </c>
      <c r="I3" s="13">
        <f>D3*F3</f>
        <v/>
      </c>
      <c r="K3" s="11" t="inlineStr">
        <is>
          <t>Variable cells: F2:F5</t>
        </is>
      </c>
    </row>
    <row r="4">
      <c r="A4" t="inlineStr">
        <is>
          <t>Washing Machine 7 kg</t>
        </is>
      </c>
      <c r="B4" s="4" t="n">
        <v>18000</v>
      </c>
      <c r="C4" s="4" t="n">
        <v>2300</v>
      </c>
      <c r="D4" t="n">
        <v>5</v>
      </c>
      <c r="E4" t="n">
        <v>100</v>
      </c>
      <c r="F4" s="5" t="n">
        <v>0</v>
      </c>
      <c r="G4" s="4">
        <f>B4*F4</f>
        <v/>
      </c>
      <c r="H4" s="4">
        <f>C4*F4</f>
        <v/>
      </c>
      <c r="I4" s="13">
        <f>D4*F4</f>
        <v/>
      </c>
      <c r="K4" s="11" t="inlineStr">
        <is>
          <t>Constraints: G6 &lt;= B8, I6 &lt;= B9, F2:F5 &lt;= E2:E5, F2:F5 = integer</t>
        </is>
      </c>
    </row>
    <row r="5">
      <c r="A5" t="inlineStr">
        <is>
          <t>Split AC 1.5 ton</t>
        </is>
      </c>
      <c r="B5" s="4" t="n">
        <v>32000</v>
      </c>
      <c r="C5" s="4" t="n">
        <v>4600</v>
      </c>
      <c r="D5" t="n">
        <v>7</v>
      </c>
      <c r="E5" t="n">
        <v>70</v>
      </c>
      <c r="F5" s="5" t="n">
        <v>0</v>
      </c>
      <c r="G5" s="4">
        <f>B5*F5</f>
        <v/>
      </c>
      <c r="H5" s="4">
        <f>C5*F5</f>
        <v/>
      </c>
      <c r="I5" s="13">
        <f>D5*F5</f>
        <v/>
      </c>
      <c r="K5" s="11" t="inlineStr">
        <is>
          <t>Tick Make Unconstrained Variables Non-Negative; method Simplex LP</t>
        </is>
      </c>
    </row>
    <row r="6">
      <c r="A6" s="3" t="inlineStr">
        <is>
          <t>Total</t>
        </is>
      </c>
      <c r="F6" s="21">
        <f>SUM(F2:F5)</f>
        <v/>
      </c>
      <c r="G6" s="6">
        <f>SUM(G2:G5)</f>
        <v/>
      </c>
      <c r="H6" s="6">
        <f>SUM(H2:H5)</f>
        <v/>
      </c>
      <c r="I6" s="21">
        <f>SUM(I2:I5)</f>
        <v/>
      </c>
    </row>
    <row r="8">
      <c r="A8" s="3" t="inlineStr">
        <is>
          <t>Diwali stock budget</t>
        </is>
      </c>
      <c r="B8" s="4" t="n">
        <v>4640000</v>
      </c>
    </row>
    <row r="9">
      <c r="A9" s="3" t="inlineStr">
        <is>
          <t>Warehouse space (sq ft)</t>
        </is>
      </c>
      <c r="B9" s="13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6" max="6"/>
    <col width="13" customWidth="1" min="7" max="7"/>
    <col width="13" customWidth="1" min="8" max="8"/>
    <col width="10" customWidth="1" min="9" max="9"/>
  </cols>
  <sheetData>
    <row r="1">
      <c r="A1" s="2" t="inlineStr">
        <is>
          <t>Product</t>
        </is>
      </c>
      <c r="B1" s="2" t="inlineStr">
        <is>
          <t>Unit cost</t>
        </is>
      </c>
      <c r="C1" s="2" t="inlineStr">
        <is>
          <t>Profit per unit</t>
        </is>
      </c>
      <c r="D1" s="2" t="inlineStr">
        <is>
          <t>Space per unit (sq ft)</t>
        </is>
      </c>
      <c r="E1" s="2" t="inlineStr">
        <is>
          <t>Max demand</t>
        </is>
      </c>
      <c r="F1" s="2" t="inlineStr">
        <is>
          <t>Units to stock</t>
        </is>
      </c>
      <c r="G1" s="2" t="inlineStr">
        <is>
          <t>Total cost</t>
        </is>
      </c>
      <c r="H1" s="2" t="inlineStr">
        <is>
          <t>Total profit</t>
        </is>
      </c>
      <c r="I1" s="2" t="inlineStr">
        <is>
          <t>Space used</t>
        </is>
      </c>
    </row>
    <row r="2">
      <c r="A2" t="inlineStr">
        <is>
          <t>LED TV 43-inch</t>
        </is>
      </c>
      <c r="B2" s="4" t="n">
        <v>24000</v>
      </c>
      <c r="C2" s="4" t="n">
        <v>3200</v>
      </c>
      <c r="D2" t="n">
        <v>4</v>
      </c>
      <c r="E2" t="n">
        <v>120</v>
      </c>
      <c r="F2" s="5" t="n">
        <v>100</v>
      </c>
      <c r="G2" s="4">
        <f>B2*F2</f>
        <v/>
      </c>
      <c r="H2" s="4">
        <f>C2*F2</f>
        <v/>
      </c>
      <c r="I2" s="13">
        <f>D2*F2</f>
        <v/>
      </c>
    </row>
    <row r="3">
      <c r="A3" t="inlineStr">
        <is>
          <t>Refrigerator 260 L</t>
        </is>
      </c>
      <c r="B3" s="4" t="n">
        <v>22000</v>
      </c>
      <c r="C3" s="4" t="n">
        <v>2900</v>
      </c>
      <c r="D3" t="n">
        <v>6</v>
      </c>
      <c r="E3" t="n">
        <v>90</v>
      </c>
      <c r="F3" s="5" t="n">
        <v>0</v>
      </c>
      <c r="G3" s="4">
        <f>B3*F3</f>
        <v/>
      </c>
      <c r="H3" s="4">
        <f>C3*F3</f>
        <v/>
      </c>
      <c r="I3" s="13">
        <f>D3*F3</f>
        <v/>
      </c>
    </row>
    <row r="4">
      <c r="A4" t="inlineStr">
        <is>
          <t>Washing Machine 7 kg</t>
        </is>
      </c>
      <c r="B4" s="4" t="n">
        <v>18000</v>
      </c>
      <c r="C4" s="4" t="n">
        <v>2300</v>
      </c>
      <c r="D4" t="n">
        <v>5</v>
      </c>
      <c r="E4" t="n">
        <v>100</v>
      </c>
      <c r="F4" s="5" t="n">
        <v>0</v>
      </c>
      <c r="G4" s="4">
        <f>B4*F4</f>
        <v/>
      </c>
      <c r="H4" s="4">
        <f>C4*F4</f>
        <v/>
      </c>
      <c r="I4" s="13">
        <f>D4*F4</f>
        <v/>
      </c>
    </row>
    <row r="5">
      <c r="A5" t="inlineStr">
        <is>
          <t>Split AC 1.5 ton</t>
        </is>
      </c>
      <c r="B5" s="4" t="n">
        <v>32000</v>
      </c>
      <c r="C5" s="4" t="n">
        <v>4600</v>
      </c>
      <c r="D5" t="n">
        <v>7</v>
      </c>
      <c r="E5" t="n">
        <v>70</v>
      </c>
      <c r="F5" s="5" t="n">
        <v>70</v>
      </c>
      <c r="G5" s="4">
        <f>B5*F5</f>
        <v/>
      </c>
      <c r="H5" s="4">
        <f>C5*F5</f>
        <v/>
      </c>
      <c r="I5" s="13">
        <f>D5*F5</f>
        <v/>
      </c>
    </row>
    <row r="6">
      <c r="A6" s="3" t="inlineStr">
        <is>
          <t>Total</t>
        </is>
      </c>
      <c r="F6" s="21">
        <f>SUM(F2:F5)</f>
        <v/>
      </c>
      <c r="G6" s="6">
        <f>SUM(G2:G5)</f>
        <v/>
      </c>
      <c r="H6" s="6">
        <f>SUM(H2:H5)</f>
        <v/>
      </c>
      <c r="I6" s="21">
        <f>SUM(I2:I5)</f>
        <v/>
      </c>
    </row>
    <row r="8">
      <c r="A8" s="3" t="inlineStr">
        <is>
          <t>Diwali stock budget</t>
        </is>
      </c>
      <c r="B8" s="4" t="n">
        <v>4640000</v>
      </c>
    </row>
    <row r="9">
      <c r="A9" s="3" t="inlineStr">
        <is>
          <t>Warehouse space (sq ft)</t>
        </is>
      </c>
      <c r="B9" s="13" t="n">
        <v>1000</v>
      </c>
    </row>
    <row r="12">
      <c r="A12" s="15" t="inlineStr">
        <is>
          <t>Challenge answer: with a budget of ₹55,00,000 the best profit is ₹7,20,500 (units 120, 5, 0, 70)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7" max="7"/>
  </cols>
  <sheetData>
    <row r="1">
      <c r="A1" s="2" t="inlineStr">
        <is>
          <t>Month</t>
        </is>
      </c>
      <c r="B1" s="2" t="inlineStr">
        <is>
          <t>Sales</t>
        </is>
      </c>
      <c r="G1" s="10" t="inlineStr">
        <is>
          <t>Monthly sales, Apr-2023 to Sep-2026 (Diwali peaks every Oct-Nov)</t>
        </is>
      </c>
    </row>
    <row r="2">
      <c r="A2" s="22" t="n">
        <v>45017</v>
      </c>
      <c r="B2" s="4" t="n">
        <v>1702000</v>
      </c>
      <c r="G2" s="11" t="inlineStr">
        <is>
          <t>Forecast Sheet: select A1:B43 &gt; Data &gt; Forecast Sheet, end 01-03-2027.</t>
        </is>
      </c>
    </row>
    <row r="3">
      <c r="A3" s="22" t="n">
        <v>45047</v>
      </c>
      <c r="B3" s="4" t="n">
        <v>1754000</v>
      </c>
    </row>
    <row r="4">
      <c r="A4" s="22" t="n">
        <v>45078</v>
      </c>
      <c r="B4" s="4" t="n">
        <v>1606000</v>
      </c>
    </row>
    <row r="5">
      <c r="A5" s="22" t="n">
        <v>45108</v>
      </c>
      <c r="B5" s="4" t="n">
        <v>1587000</v>
      </c>
    </row>
    <row r="6">
      <c r="A6" s="22" t="n">
        <v>45139</v>
      </c>
      <c r="B6" s="4" t="n">
        <v>1867000</v>
      </c>
    </row>
    <row r="7">
      <c r="A7" s="22" t="n">
        <v>45170</v>
      </c>
      <c r="B7" s="4" t="n">
        <v>1906000</v>
      </c>
    </row>
    <row r="8">
      <c r="A8" s="22" t="n">
        <v>45200</v>
      </c>
      <c r="B8" s="4" t="n">
        <v>2602000</v>
      </c>
    </row>
    <row r="9">
      <c r="A9" s="22" t="n">
        <v>45231</v>
      </c>
      <c r="B9" s="4" t="n">
        <v>2581000</v>
      </c>
    </row>
    <row r="10">
      <c r="A10" s="22" t="n">
        <v>45261</v>
      </c>
      <c r="B10" s="4" t="n">
        <v>2050000</v>
      </c>
    </row>
    <row r="11">
      <c r="A11" s="22" t="n">
        <v>45292</v>
      </c>
      <c r="B11" s="4" t="n">
        <v>1832000</v>
      </c>
    </row>
    <row r="12">
      <c r="A12" s="22" t="n">
        <v>45323</v>
      </c>
      <c r="B12" s="4" t="n">
        <v>1799000</v>
      </c>
    </row>
    <row r="13">
      <c r="A13" s="22" t="n">
        <v>45352</v>
      </c>
      <c r="B13" s="4" t="n">
        <v>2216000</v>
      </c>
    </row>
    <row r="14">
      <c r="A14" s="22" t="n">
        <v>45383</v>
      </c>
      <c r="B14" s="4" t="n">
        <v>1925000</v>
      </c>
    </row>
    <row r="15">
      <c r="A15" s="22" t="n">
        <v>45413</v>
      </c>
      <c r="B15" s="4" t="n">
        <v>1944000</v>
      </c>
    </row>
    <row r="16">
      <c r="A16" s="22" t="n">
        <v>45444</v>
      </c>
      <c r="B16" s="4" t="n">
        <v>1823000</v>
      </c>
    </row>
    <row r="17">
      <c r="A17" s="22" t="n">
        <v>45474</v>
      </c>
      <c r="B17" s="4" t="n">
        <v>1892000</v>
      </c>
    </row>
    <row r="18">
      <c r="A18" s="22" t="n">
        <v>45505</v>
      </c>
      <c r="B18" s="4" t="n">
        <v>2055000</v>
      </c>
    </row>
    <row r="19">
      <c r="A19" s="22" t="n">
        <v>45536</v>
      </c>
      <c r="B19" s="4" t="n">
        <v>2194000</v>
      </c>
    </row>
    <row r="20">
      <c r="A20" s="22" t="n">
        <v>45566</v>
      </c>
      <c r="B20" s="4" t="n">
        <v>2894000</v>
      </c>
    </row>
    <row r="21">
      <c r="A21" s="22" t="n">
        <v>45597</v>
      </c>
      <c r="B21" s="4" t="n">
        <v>2726000</v>
      </c>
    </row>
    <row r="22">
      <c r="A22" s="22" t="n">
        <v>45627</v>
      </c>
      <c r="B22" s="4" t="n">
        <v>2295000</v>
      </c>
    </row>
    <row r="23">
      <c r="A23" s="22" t="n">
        <v>45658</v>
      </c>
      <c r="B23" s="4" t="n">
        <v>2086000</v>
      </c>
    </row>
    <row r="24">
      <c r="A24" s="22" t="n">
        <v>45689</v>
      </c>
      <c r="B24" s="4" t="n">
        <v>2133000</v>
      </c>
    </row>
    <row r="25">
      <c r="A25" s="22" t="n">
        <v>45717</v>
      </c>
      <c r="B25" s="4" t="n">
        <v>2513000</v>
      </c>
    </row>
    <row r="26">
      <c r="A26" s="22" t="n">
        <v>45748</v>
      </c>
      <c r="B26" s="4" t="n">
        <v>2090000</v>
      </c>
    </row>
    <row r="27">
      <c r="A27" s="22" t="n">
        <v>45778</v>
      </c>
      <c r="B27" s="4" t="n">
        <v>2187000</v>
      </c>
    </row>
    <row r="28">
      <c r="A28" s="22" t="n">
        <v>45809</v>
      </c>
      <c r="B28" s="4" t="n">
        <v>2064000</v>
      </c>
    </row>
    <row r="29">
      <c r="A29" s="22" t="n">
        <v>45839</v>
      </c>
      <c r="B29" s="4" t="n">
        <v>2114000</v>
      </c>
    </row>
    <row r="30">
      <c r="A30" s="22" t="n">
        <v>45870</v>
      </c>
      <c r="B30" s="4" t="n">
        <v>2327000</v>
      </c>
    </row>
    <row r="31">
      <c r="A31" s="22" t="n">
        <v>45901</v>
      </c>
      <c r="B31" s="4" t="n">
        <v>2525000</v>
      </c>
    </row>
    <row r="32">
      <c r="A32" s="22" t="n">
        <v>45931</v>
      </c>
      <c r="B32" s="4" t="n">
        <v>3320000</v>
      </c>
    </row>
    <row r="33">
      <c r="A33" s="22" t="n">
        <v>45962</v>
      </c>
      <c r="B33" s="4" t="n">
        <v>3058000</v>
      </c>
    </row>
    <row r="34">
      <c r="A34" s="22" t="n">
        <v>45992</v>
      </c>
      <c r="B34" s="4" t="n">
        <v>2529000</v>
      </c>
    </row>
    <row r="35">
      <c r="A35" s="22" t="n">
        <v>46023</v>
      </c>
      <c r="B35" s="4" t="n">
        <v>2447000</v>
      </c>
    </row>
    <row r="36">
      <c r="A36" s="22" t="n">
        <v>46054</v>
      </c>
      <c r="B36" s="4" t="n">
        <v>2236000</v>
      </c>
    </row>
    <row r="37">
      <c r="A37" s="22" t="n">
        <v>46082</v>
      </c>
      <c r="B37" s="4" t="n">
        <v>2694000</v>
      </c>
    </row>
    <row r="38">
      <c r="A38" s="22" t="n">
        <v>46113</v>
      </c>
      <c r="B38" s="4" t="n">
        <v>2412000</v>
      </c>
    </row>
    <row r="39">
      <c r="A39" s="22" t="n">
        <v>46143</v>
      </c>
      <c r="B39" s="4" t="n">
        <v>2397000</v>
      </c>
    </row>
    <row r="40">
      <c r="A40" s="22" t="n">
        <v>46174</v>
      </c>
      <c r="B40" s="4" t="n">
        <v>2441000</v>
      </c>
    </row>
    <row r="41">
      <c r="A41" s="22" t="n">
        <v>46204</v>
      </c>
      <c r="B41" s="4" t="n">
        <v>2255000</v>
      </c>
    </row>
    <row r="42">
      <c r="A42" s="22" t="n">
        <v>46235</v>
      </c>
      <c r="B42" s="4" t="n">
        <v>2570000</v>
      </c>
    </row>
    <row r="43">
      <c r="A43" s="22" t="n">
        <v>46266</v>
      </c>
      <c r="B43" s="4" t="n">
        <v>2646000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Month</t>
        </is>
      </c>
      <c r="B1" s="2" t="inlineStr">
        <is>
          <t>Sales</t>
        </is>
      </c>
      <c r="C1" s="2" t="inlineStr">
        <is>
          <t>Forecast(Sales)</t>
        </is>
      </c>
      <c r="D1" s="2" t="inlineStr">
        <is>
          <t>Lower Confidence Bound(Sales)</t>
        </is>
      </c>
      <c r="E1" s="2" t="inlineStr">
        <is>
          <t>Upper Confidence Bound(Sales)</t>
        </is>
      </c>
    </row>
    <row r="2">
      <c r="A2" s="22" t="n">
        <v>45017</v>
      </c>
      <c r="B2" s="4" t="n">
        <v>1702000</v>
      </c>
    </row>
    <row r="3">
      <c r="A3" s="22" t="n">
        <v>45047</v>
      </c>
      <c r="B3" s="4" t="n">
        <v>1754000</v>
      </c>
    </row>
    <row r="4">
      <c r="A4" s="22" t="n">
        <v>45078</v>
      </c>
      <c r="B4" s="4" t="n">
        <v>1606000</v>
      </c>
    </row>
    <row r="5">
      <c r="A5" s="22" t="n">
        <v>45108</v>
      </c>
      <c r="B5" s="4" t="n">
        <v>1587000</v>
      </c>
    </row>
    <row r="6">
      <c r="A6" s="22" t="n">
        <v>45139</v>
      </c>
      <c r="B6" s="4" t="n">
        <v>1867000</v>
      </c>
    </row>
    <row r="7">
      <c r="A7" s="22" t="n">
        <v>45170</v>
      </c>
      <c r="B7" s="4" t="n">
        <v>1906000</v>
      </c>
    </row>
    <row r="8">
      <c r="A8" s="22" t="n">
        <v>45200</v>
      </c>
      <c r="B8" s="4" t="n">
        <v>2602000</v>
      </c>
    </row>
    <row r="9">
      <c r="A9" s="22" t="n">
        <v>45231</v>
      </c>
      <c r="B9" s="4" t="n">
        <v>2581000</v>
      </c>
    </row>
    <row r="10">
      <c r="A10" s="22" t="n">
        <v>45261</v>
      </c>
      <c r="B10" s="4" t="n">
        <v>2050000</v>
      </c>
    </row>
    <row r="11">
      <c r="A11" s="22" t="n">
        <v>45292</v>
      </c>
      <c r="B11" s="4" t="n">
        <v>1832000</v>
      </c>
    </row>
    <row r="12">
      <c r="A12" s="22" t="n">
        <v>45323</v>
      </c>
      <c r="B12" s="4" t="n">
        <v>1799000</v>
      </c>
    </row>
    <row r="13">
      <c r="A13" s="22" t="n">
        <v>45352</v>
      </c>
      <c r="B13" s="4" t="n">
        <v>2216000</v>
      </c>
    </row>
    <row r="14">
      <c r="A14" s="22" t="n">
        <v>45383</v>
      </c>
      <c r="B14" s="4" t="n">
        <v>1925000</v>
      </c>
    </row>
    <row r="15">
      <c r="A15" s="22" t="n">
        <v>45413</v>
      </c>
      <c r="B15" s="4" t="n">
        <v>1944000</v>
      </c>
    </row>
    <row r="16">
      <c r="A16" s="22" t="n">
        <v>45444</v>
      </c>
      <c r="B16" s="4" t="n">
        <v>1823000</v>
      </c>
    </row>
    <row r="17">
      <c r="A17" s="22" t="n">
        <v>45474</v>
      </c>
      <c r="B17" s="4" t="n">
        <v>1892000</v>
      </c>
    </row>
    <row r="18">
      <c r="A18" s="22" t="n">
        <v>45505</v>
      </c>
      <c r="B18" s="4" t="n">
        <v>2055000</v>
      </c>
    </row>
    <row r="19">
      <c r="A19" s="22" t="n">
        <v>45536</v>
      </c>
      <c r="B19" s="4" t="n">
        <v>2194000</v>
      </c>
    </row>
    <row r="20">
      <c r="A20" s="22" t="n">
        <v>45566</v>
      </c>
      <c r="B20" s="4" t="n">
        <v>2894000</v>
      </c>
    </row>
    <row r="21">
      <c r="A21" s="22" t="n">
        <v>45597</v>
      </c>
      <c r="B21" s="4" t="n">
        <v>2726000</v>
      </c>
    </row>
    <row r="22">
      <c r="A22" s="22" t="n">
        <v>45627</v>
      </c>
      <c r="B22" s="4" t="n">
        <v>2295000</v>
      </c>
    </row>
    <row r="23">
      <c r="A23" s="22" t="n">
        <v>45658</v>
      </c>
      <c r="B23" s="4" t="n">
        <v>2086000</v>
      </c>
    </row>
    <row r="24">
      <c r="A24" s="22" t="n">
        <v>45689</v>
      </c>
      <c r="B24" s="4" t="n">
        <v>2133000</v>
      </c>
    </row>
    <row r="25">
      <c r="A25" s="22" t="n">
        <v>45717</v>
      </c>
      <c r="B25" s="4" t="n">
        <v>2513000</v>
      </c>
    </row>
    <row r="26">
      <c r="A26" s="22" t="n">
        <v>45748</v>
      </c>
      <c r="B26" s="4" t="n">
        <v>2090000</v>
      </c>
    </row>
    <row r="27">
      <c r="A27" s="22" t="n">
        <v>45778</v>
      </c>
      <c r="B27" s="4" t="n">
        <v>2187000</v>
      </c>
    </row>
    <row r="28">
      <c r="A28" s="22" t="n">
        <v>45809</v>
      </c>
      <c r="B28" s="4" t="n">
        <v>2064000</v>
      </c>
    </row>
    <row r="29">
      <c r="A29" s="22" t="n">
        <v>45839</v>
      </c>
      <c r="B29" s="4" t="n">
        <v>2114000</v>
      </c>
    </row>
    <row r="30">
      <c r="A30" s="22" t="n">
        <v>45870</v>
      </c>
      <c r="B30" s="4" t="n">
        <v>2327000</v>
      </c>
    </row>
    <row r="31">
      <c r="A31" s="22" t="n">
        <v>45901</v>
      </c>
      <c r="B31" s="4" t="n">
        <v>2525000</v>
      </c>
    </row>
    <row r="32">
      <c r="A32" s="22" t="n">
        <v>45931</v>
      </c>
      <c r="B32" s="4" t="n">
        <v>3320000</v>
      </c>
    </row>
    <row r="33">
      <c r="A33" s="22" t="n">
        <v>45962</v>
      </c>
      <c r="B33" s="4" t="n">
        <v>3058000</v>
      </c>
    </row>
    <row r="34">
      <c r="A34" s="22" t="n">
        <v>45992</v>
      </c>
      <c r="B34" s="4" t="n">
        <v>2529000</v>
      </c>
    </row>
    <row r="35">
      <c r="A35" s="22" t="n">
        <v>46023</v>
      </c>
      <c r="B35" s="4" t="n">
        <v>2447000</v>
      </c>
    </row>
    <row r="36">
      <c r="A36" s="22" t="n">
        <v>46054</v>
      </c>
      <c r="B36" s="4" t="n">
        <v>2236000</v>
      </c>
    </row>
    <row r="37">
      <c r="A37" s="22" t="n">
        <v>46082</v>
      </c>
      <c r="B37" s="4" t="n">
        <v>2694000</v>
      </c>
    </row>
    <row r="38">
      <c r="A38" s="22" t="n">
        <v>46113</v>
      </c>
      <c r="B38" s="4" t="n">
        <v>2412000</v>
      </c>
    </row>
    <row r="39">
      <c r="A39" s="22" t="n">
        <v>46143</v>
      </c>
      <c r="B39" s="4" t="n">
        <v>2397000</v>
      </c>
    </row>
    <row r="40">
      <c r="A40" s="22" t="n">
        <v>46174</v>
      </c>
      <c r="B40" s="4" t="n">
        <v>2441000</v>
      </c>
    </row>
    <row r="41">
      <c r="A41" s="22" t="n">
        <v>46204</v>
      </c>
      <c r="B41" s="4" t="n">
        <v>2255000</v>
      </c>
    </row>
    <row r="42">
      <c r="A42" s="22" t="n">
        <v>46235</v>
      </c>
      <c r="B42" s="4" t="n">
        <v>2570000</v>
      </c>
    </row>
    <row r="43">
      <c r="A43" s="22" t="n">
        <v>46266</v>
      </c>
      <c r="B43" s="4" t="n">
        <v>2646000</v>
      </c>
      <c r="C43" s="4">
        <f>B43</f>
        <v/>
      </c>
      <c r="D43" s="4">
        <f>B43</f>
        <v/>
      </c>
      <c r="E43" s="4">
        <f>B43</f>
        <v/>
      </c>
    </row>
    <row r="44">
      <c r="A44" s="22" t="n">
        <v>46296</v>
      </c>
      <c r="C44" s="4">
        <f>_xlfn.FORECAST.ETS(A44,$B$2:$B$43,$A$2:$A$43,1,1)</f>
        <v/>
      </c>
      <c r="D44" s="4">
        <f>C44-_xlfn.FORECAST.ETS.CONFINT(A44,$B$2:$B$43,$A$2:$A$43,0.95,1,1)</f>
        <v/>
      </c>
      <c r="E44" s="4">
        <f>C44+_xlfn.FORECAST.ETS.CONFINT(A44,$B$2:$B$43,$A$2:$A$43,0.95,1,1)</f>
        <v/>
      </c>
    </row>
    <row r="45">
      <c r="A45" s="22" t="n">
        <v>46327</v>
      </c>
      <c r="C45" s="4">
        <f>_xlfn.FORECAST.ETS(A45,$B$2:$B$43,$A$2:$A$43,1,1)</f>
        <v/>
      </c>
      <c r="D45" s="4">
        <f>C45-_xlfn.FORECAST.ETS.CONFINT(A45,$B$2:$B$43,$A$2:$A$43,0.95,1,1)</f>
        <v/>
      </c>
      <c r="E45" s="4">
        <f>C45+_xlfn.FORECAST.ETS.CONFINT(A45,$B$2:$B$43,$A$2:$A$43,0.95,1,1)</f>
        <v/>
      </c>
    </row>
    <row r="46">
      <c r="A46" s="22" t="n">
        <v>46357</v>
      </c>
      <c r="C46" s="4">
        <f>_xlfn.FORECAST.ETS(A46,$B$2:$B$43,$A$2:$A$43,1,1)</f>
        <v/>
      </c>
      <c r="D46" s="4">
        <f>C46-_xlfn.FORECAST.ETS.CONFINT(A46,$B$2:$B$43,$A$2:$A$43,0.95,1,1)</f>
        <v/>
      </c>
      <c r="E46" s="4">
        <f>C46+_xlfn.FORECAST.ETS.CONFINT(A46,$B$2:$B$43,$A$2:$A$43,0.95,1,1)</f>
        <v/>
      </c>
    </row>
    <row r="47">
      <c r="A47" s="22" t="n">
        <v>46388</v>
      </c>
      <c r="C47" s="4">
        <f>_xlfn.FORECAST.ETS(A47,$B$2:$B$43,$A$2:$A$43,1,1)</f>
        <v/>
      </c>
      <c r="D47" s="4">
        <f>C47-_xlfn.FORECAST.ETS.CONFINT(A47,$B$2:$B$43,$A$2:$A$43,0.95,1,1)</f>
        <v/>
      </c>
      <c r="E47" s="4">
        <f>C47+_xlfn.FORECAST.ETS.CONFINT(A47,$B$2:$B$43,$A$2:$A$43,0.95,1,1)</f>
        <v/>
      </c>
    </row>
    <row r="48">
      <c r="A48" s="22" t="n">
        <v>46419</v>
      </c>
      <c r="C48" s="4">
        <f>_xlfn.FORECAST.ETS(A48,$B$2:$B$43,$A$2:$A$43,1,1)</f>
        <v/>
      </c>
      <c r="D48" s="4">
        <f>C48-_xlfn.FORECAST.ETS.CONFINT(A48,$B$2:$B$43,$A$2:$A$43,0.95,1,1)</f>
        <v/>
      </c>
      <c r="E48" s="4">
        <f>C48+_xlfn.FORECAST.ETS.CONFINT(A48,$B$2:$B$43,$A$2:$A$43,0.95,1,1)</f>
        <v/>
      </c>
    </row>
    <row r="49">
      <c r="A49" s="22" t="n">
        <v>46447</v>
      </c>
      <c r="C49" s="4">
        <f>_xlfn.FORECAST.ETS(A49,$B$2:$B$43,$A$2:$A$43,1,1)</f>
        <v/>
      </c>
      <c r="D49" s="4">
        <f>C49-_xlfn.FORECAST.ETS.CONFINT(A49,$B$2:$B$43,$A$2:$A$43,0.95,1,1)</f>
        <v/>
      </c>
      <c r="E49" s="4">
        <f>C49+_xlfn.FORECAST.ETS.CONFINT(A49,$B$2:$B$43,$A$2:$A$43,0.95,1,1)</f>
        <v/>
      </c>
    </row>
    <row r="52">
      <c r="A52" s="15" t="inlineStr">
        <is>
          <t>Challenge answer: set Seasonality to 12 manually; the forecast barely changes because Excel already detected a 12-month cycle. Confidence 80% gives a narrower band.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11" customWidth="1" min="4" max="4"/>
    <col width="22" customWidth="1" min="6" max="6"/>
    <col width="14" customWidth="1" min="7" max="7"/>
    <col width="48" customWidth="1" min="9" max="9"/>
  </cols>
  <sheetData>
    <row r="1">
      <c r="A1" s="2" t="inlineStr">
        <is>
          <t>District</t>
        </is>
      </c>
      <c r="B1" s="2" t="inlineStr">
        <is>
          <t>Ad Spend (₹ lakh)</t>
        </is>
      </c>
      <c r="C1" s="2" t="inlineStr">
        <is>
          <t>Dealers</t>
        </is>
      </c>
      <c r="D1" s="2" t="inlineStr">
        <is>
          <t>Sales (₹ lakh)</t>
        </is>
      </c>
      <c r="I1" s="10" t="inlineStr">
        <is>
          <t>Analysis ToolPak</t>
        </is>
      </c>
    </row>
    <row r="2">
      <c r="A2" t="inlineStr">
        <is>
          <t>Ahmedabad</t>
        </is>
      </c>
      <c r="B2" s="23" t="n">
        <v>2.1</v>
      </c>
      <c r="C2" t="n">
        <v>6</v>
      </c>
      <c r="D2" s="23" t="n">
        <v>17</v>
      </c>
      <c r="I2" s="11" t="inlineStr">
        <is>
          <t>Descriptive Statistics: Input D1:D25, Labels, Output Range F1, Summary statistics.</t>
        </is>
      </c>
    </row>
    <row r="3">
      <c r="A3" t="inlineStr">
        <is>
          <t>Surat</t>
        </is>
      </c>
      <c r="B3" s="23" t="n">
        <v>2.6</v>
      </c>
      <c r="C3" t="n">
        <v>36</v>
      </c>
      <c r="D3" s="23" t="n">
        <v>52.2</v>
      </c>
      <c r="I3" s="11" t="inlineStr">
        <is>
          <t>Regression: Y = D1:D25, X = B1:C25, Labels, New Worksheet Ply 'Regression'.</t>
        </is>
      </c>
    </row>
    <row r="4">
      <c r="A4" t="inlineStr">
        <is>
          <t>Vadodara</t>
        </is>
      </c>
      <c r="B4" s="23" t="n">
        <v>13</v>
      </c>
      <c r="C4" t="n">
        <v>18</v>
      </c>
      <c r="D4" s="23" t="n">
        <v>65.2</v>
      </c>
    </row>
    <row r="5">
      <c r="A5" t="inlineStr">
        <is>
          <t>Rajkot</t>
        </is>
      </c>
      <c r="B5" s="23" t="n">
        <v>12.8</v>
      </c>
      <c r="C5" t="n">
        <v>23</v>
      </c>
      <c r="D5" s="23" t="n">
        <v>64.5</v>
      </c>
    </row>
    <row r="6">
      <c r="A6" t="inlineStr">
        <is>
          <t>Bhavnagar</t>
        </is>
      </c>
      <c r="B6" s="23" t="n">
        <v>4.3</v>
      </c>
      <c r="C6" t="n">
        <v>17</v>
      </c>
      <c r="D6" s="23" t="n">
        <v>44.6</v>
      </c>
    </row>
    <row r="7">
      <c r="A7" t="inlineStr">
        <is>
          <t>Jamnagar</t>
        </is>
      </c>
      <c r="B7" s="23" t="n">
        <v>10.8</v>
      </c>
      <c r="C7" t="n">
        <v>24</v>
      </c>
      <c r="D7" s="23" t="n">
        <v>65.90000000000001</v>
      </c>
    </row>
    <row r="8">
      <c r="A8" t="inlineStr">
        <is>
          <t>Junagadh</t>
        </is>
      </c>
      <c r="B8" s="23" t="n">
        <v>9.300000000000001</v>
      </c>
      <c r="C8" t="n">
        <v>21</v>
      </c>
      <c r="D8" s="23" t="n">
        <v>57</v>
      </c>
    </row>
    <row r="9">
      <c r="A9" t="inlineStr">
        <is>
          <t>Gandhinagar</t>
        </is>
      </c>
      <c r="B9" s="23" t="n">
        <v>3.1</v>
      </c>
      <c r="C9" t="n">
        <v>12</v>
      </c>
      <c r="D9" s="23" t="n">
        <v>32.2</v>
      </c>
    </row>
    <row r="10">
      <c r="A10" t="inlineStr">
        <is>
          <t>Anand</t>
        </is>
      </c>
      <c r="B10" s="23" t="n">
        <v>2.9</v>
      </c>
      <c r="C10" t="n">
        <v>17</v>
      </c>
      <c r="D10" s="23" t="n">
        <v>34.6</v>
      </c>
    </row>
    <row r="11">
      <c r="A11" t="inlineStr">
        <is>
          <t>Navsari</t>
        </is>
      </c>
      <c r="B11" s="23" t="n">
        <v>4.8</v>
      </c>
      <c r="C11" t="n">
        <v>23</v>
      </c>
      <c r="D11" s="23" t="n">
        <v>49.3</v>
      </c>
    </row>
    <row r="12">
      <c r="A12" t="inlineStr">
        <is>
          <t>Morbi</t>
        </is>
      </c>
      <c r="B12" s="23" t="n">
        <v>5.4</v>
      </c>
      <c r="C12" t="n">
        <v>26</v>
      </c>
      <c r="D12" s="23" t="n">
        <v>50.1</v>
      </c>
    </row>
    <row r="13">
      <c r="A13" t="inlineStr">
        <is>
          <t>Mehsana</t>
        </is>
      </c>
      <c r="B13" s="23" t="n">
        <v>3.3</v>
      </c>
      <c r="C13" t="n">
        <v>34</v>
      </c>
      <c r="D13" s="23" t="n">
        <v>48.6</v>
      </c>
    </row>
    <row r="14">
      <c r="A14" t="inlineStr">
        <is>
          <t>Bharuch</t>
        </is>
      </c>
      <c r="B14" s="23" t="n">
        <v>12.3</v>
      </c>
      <c r="C14" t="n">
        <v>20</v>
      </c>
      <c r="D14" s="23" t="n">
        <v>64.7</v>
      </c>
    </row>
    <row r="15">
      <c r="A15" t="inlineStr">
        <is>
          <t>Valsad</t>
        </is>
      </c>
      <c r="B15" s="23" t="n">
        <v>7.9</v>
      </c>
      <c r="C15" t="n">
        <v>36</v>
      </c>
      <c r="D15" s="23" t="n">
        <v>69.40000000000001</v>
      </c>
    </row>
    <row r="16">
      <c r="A16" t="inlineStr">
        <is>
          <t>Kutch</t>
        </is>
      </c>
      <c r="B16" s="23" t="n">
        <v>2.7</v>
      </c>
      <c r="C16" t="n">
        <v>33</v>
      </c>
      <c r="D16" s="23" t="n">
        <v>53.8</v>
      </c>
    </row>
    <row r="17">
      <c r="A17" t="inlineStr">
        <is>
          <t>Porbandar</t>
        </is>
      </c>
      <c r="B17" s="23" t="n">
        <v>3.9</v>
      </c>
      <c r="C17" t="n">
        <v>35</v>
      </c>
      <c r="D17" s="23" t="n">
        <v>48.9</v>
      </c>
    </row>
    <row r="18">
      <c r="A18" t="inlineStr">
        <is>
          <t>Amreli</t>
        </is>
      </c>
      <c r="B18" s="23" t="n">
        <v>5.5</v>
      </c>
      <c r="C18" t="n">
        <v>11</v>
      </c>
      <c r="D18" s="23" t="n">
        <v>38.9</v>
      </c>
    </row>
    <row r="19">
      <c r="A19" t="inlineStr">
        <is>
          <t>Patan</t>
        </is>
      </c>
      <c r="B19" s="23" t="n">
        <v>5.7</v>
      </c>
      <c r="C19" t="n">
        <v>26</v>
      </c>
      <c r="D19" s="23" t="n">
        <v>54</v>
      </c>
    </row>
    <row r="20">
      <c r="A20" t="inlineStr">
        <is>
          <t>Dahod</t>
        </is>
      </c>
      <c r="B20" s="23" t="n">
        <v>6.4</v>
      </c>
      <c r="C20" t="n">
        <v>10</v>
      </c>
      <c r="D20" s="23" t="n">
        <v>45.5</v>
      </c>
    </row>
    <row r="21">
      <c r="A21" t="inlineStr">
        <is>
          <t>Kheda</t>
        </is>
      </c>
      <c r="B21" s="23" t="n">
        <v>5.4</v>
      </c>
      <c r="C21" t="n">
        <v>14</v>
      </c>
      <c r="D21" s="23" t="n">
        <v>42.4</v>
      </c>
    </row>
    <row r="22">
      <c r="A22" t="inlineStr">
        <is>
          <t>Panchmahal</t>
        </is>
      </c>
      <c r="B22" s="23" t="n">
        <v>4</v>
      </c>
      <c r="C22" t="n">
        <v>23</v>
      </c>
      <c r="D22" s="23" t="n">
        <v>45.2</v>
      </c>
    </row>
    <row r="23">
      <c r="A23" t="inlineStr">
        <is>
          <t>Banaskantha</t>
        </is>
      </c>
      <c r="B23" s="23" t="n">
        <v>2</v>
      </c>
      <c r="C23" t="n">
        <v>15</v>
      </c>
      <c r="D23" s="23" t="n">
        <v>31.5</v>
      </c>
    </row>
    <row r="24">
      <c r="A24" t="inlineStr">
        <is>
          <t>Sabarkantha</t>
        </is>
      </c>
      <c r="B24" s="23" t="n">
        <v>7.9</v>
      </c>
      <c r="C24" t="n">
        <v>27</v>
      </c>
      <c r="D24" s="23" t="n">
        <v>61.1</v>
      </c>
    </row>
    <row r="25">
      <c r="A25" t="inlineStr">
        <is>
          <t>Surendranagar</t>
        </is>
      </c>
      <c r="B25" s="23" t="n">
        <v>4.8</v>
      </c>
      <c r="C25" t="n">
        <v>36</v>
      </c>
      <c r="D25" s="23" t="n">
        <v>57.3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11" customWidth="1" min="4" max="4"/>
    <col width="22" customWidth="1" min="6" max="6"/>
    <col width="14" customWidth="1" min="7" max="7"/>
  </cols>
  <sheetData>
    <row r="1">
      <c r="A1" s="2" t="inlineStr">
        <is>
          <t>District</t>
        </is>
      </c>
      <c r="B1" s="2" t="inlineStr">
        <is>
          <t>Ad Spend (₹ lakh)</t>
        </is>
      </c>
      <c r="C1" s="2" t="inlineStr">
        <is>
          <t>Dealers</t>
        </is>
      </c>
      <c r="D1" s="2" t="inlineStr">
        <is>
          <t>Sales (₹ lakh)</t>
        </is>
      </c>
      <c r="F1" s="3" t="inlineStr">
        <is>
          <t>Sales (₹ lakh)</t>
        </is>
      </c>
    </row>
    <row r="2">
      <c r="A2" t="inlineStr">
        <is>
          <t>Ahmedabad</t>
        </is>
      </c>
      <c r="B2" s="23" t="n">
        <v>2.1</v>
      </c>
      <c r="C2" t="n">
        <v>6</v>
      </c>
      <c r="D2" s="23" t="n">
        <v>17</v>
      </c>
    </row>
    <row r="3">
      <c r="A3" t="inlineStr">
        <is>
          <t>Surat</t>
        </is>
      </c>
      <c r="B3" s="23" t="n">
        <v>2.6</v>
      </c>
      <c r="C3" t="n">
        <v>36</v>
      </c>
      <c r="D3" s="23" t="n">
        <v>52.2</v>
      </c>
      <c r="F3" t="inlineStr">
        <is>
          <t>Mean</t>
        </is>
      </c>
      <c r="G3" s="24">
        <f>AVERAGE(D2:D25)</f>
        <v/>
      </c>
    </row>
    <row r="4">
      <c r="A4" t="inlineStr">
        <is>
          <t>Vadodara</t>
        </is>
      </c>
      <c r="B4" s="23" t="n">
        <v>13</v>
      </c>
      <c r="C4" t="n">
        <v>18</v>
      </c>
      <c r="D4" s="23" t="n">
        <v>65.2</v>
      </c>
      <c r="F4" t="inlineStr">
        <is>
          <t>Standard Error</t>
        </is>
      </c>
      <c r="G4" s="24">
        <f>STDEV.S(D2:D25)/SQRT(COUNT(D2:D25))</f>
        <v/>
      </c>
    </row>
    <row r="5">
      <c r="A5" t="inlineStr">
        <is>
          <t>Rajkot</t>
        </is>
      </c>
      <c r="B5" s="23" t="n">
        <v>12.8</v>
      </c>
      <c r="C5" t="n">
        <v>23</v>
      </c>
      <c r="D5" s="23" t="n">
        <v>64.5</v>
      </c>
      <c r="F5" t="inlineStr">
        <is>
          <t>Median</t>
        </is>
      </c>
      <c r="G5" s="24">
        <f>MEDIAN(D2:D25)</f>
        <v/>
      </c>
    </row>
    <row r="6">
      <c r="A6" t="inlineStr">
        <is>
          <t>Bhavnagar</t>
        </is>
      </c>
      <c r="B6" s="23" t="n">
        <v>4.3</v>
      </c>
      <c r="C6" t="n">
        <v>17</v>
      </c>
      <c r="D6" s="23" t="n">
        <v>44.6</v>
      </c>
      <c r="F6" t="inlineStr">
        <is>
          <t>Standard Deviation</t>
        </is>
      </c>
      <c r="G6" s="24">
        <f>STDEV.S(D2:D25)</f>
        <v/>
      </c>
    </row>
    <row r="7">
      <c r="A7" t="inlineStr">
        <is>
          <t>Jamnagar</t>
        </is>
      </c>
      <c r="B7" s="23" t="n">
        <v>10.8</v>
      </c>
      <c r="C7" t="n">
        <v>24</v>
      </c>
      <c r="D7" s="23" t="n">
        <v>65.90000000000001</v>
      </c>
      <c r="F7" t="inlineStr">
        <is>
          <t>Minimum</t>
        </is>
      </c>
      <c r="G7" s="24">
        <f>MIN(D2:D25)</f>
        <v/>
      </c>
    </row>
    <row r="8">
      <c r="A8" t="inlineStr">
        <is>
          <t>Junagadh</t>
        </is>
      </c>
      <c r="B8" s="23" t="n">
        <v>9.300000000000001</v>
      </c>
      <c r="C8" t="n">
        <v>21</v>
      </c>
      <c r="D8" s="23" t="n">
        <v>57</v>
      </c>
      <c r="F8" t="inlineStr">
        <is>
          <t>Maximum</t>
        </is>
      </c>
      <c r="G8" s="24">
        <f>MAX(D2:D25)</f>
        <v/>
      </c>
    </row>
    <row r="9">
      <c r="A9" t="inlineStr">
        <is>
          <t>Gandhinagar</t>
        </is>
      </c>
      <c r="B9" s="23" t="n">
        <v>3.1</v>
      </c>
      <c r="C9" t="n">
        <v>12</v>
      </c>
      <c r="D9" s="23" t="n">
        <v>32.2</v>
      </c>
      <c r="F9" t="inlineStr">
        <is>
          <t>Count</t>
        </is>
      </c>
      <c r="G9" s="24">
        <f>COUNT(D2:D25)</f>
        <v/>
      </c>
    </row>
    <row r="10">
      <c r="A10" t="inlineStr">
        <is>
          <t>Anand</t>
        </is>
      </c>
      <c r="B10" s="23" t="n">
        <v>2.9</v>
      </c>
      <c r="C10" t="n">
        <v>17</v>
      </c>
      <c r="D10" s="23" t="n">
        <v>34.6</v>
      </c>
    </row>
    <row r="11">
      <c r="A11" t="inlineStr">
        <is>
          <t>Navsari</t>
        </is>
      </c>
      <c r="B11" s="23" t="n">
        <v>4.8</v>
      </c>
      <c r="C11" t="n">
        <v>23</v>
      </c>
      <c r="D11" s="23" t="n">
        <v>49.3</v>
      </c>
    </row>
    <row r="12">
      <c r="A12" t="inlineStr">
        <is>
          <t>Morbi</t>
        </is>
      </c>
      <c r="B12" s="23" t="n">
        <v>5.4</v>
      </c>
      <c r="C12" t="n">
        <v>26</v>
      </c>
      <c r="D12" s="23" t="n">
        <v>50.1</v>
      </c>
      <c r="F12" s="3" t="inlineStr">
        <is>
          <t>Regression: Sales on Ad Spend and Dealers</t>
        </is>
      </c>
    </row>
    <row r="13">
      <c r="A13" t="inlineStr">
        <is>
          <t>Mehsana</t>
        </is>
      </c>
      <c r="B13" s="23" t="n">
        <v>3.3</v>
      </c>
      <c r="C13" t="n">
        <v>34</v>
      </c>
      <c r="D13" s="23" t="n">
        <v>48.6</v>
      </c>
      <c r="F13" t="inlineStr">
        <is>
          <t>Intercept</t>
        </is>
      </c>
      <c r="G13" s="25">
        <f>INDEX(LINEST(D2:D25,B2:C25,TRUE,TRUE),1,3)</f>
        <v/>
      </c>
    </row>
    <row r="14">
      <c r="A14" t="inlineStr">
        <is>
          <t>Bharuch</t>
        </is>
      </c>
      <c r="B14" s="23" t="n">
        <v>12.3</v>
      </c>
      <c r="C14" t="n">
        <v>20</v>
      </c>
      <c r="D14" s="23" t="n">
        <v>64.7</v>
      </c>
      <c r="F14" t="inlineStr">
        <is>
          <t>Ad Spend (₹ lakh)</t>
        </is>
      </c>
      <c r="G14" s="25">
        <f>INDEX(LINEST(D2:D25,B2:C25,TRUE,TRUE),1,2)</f>
        <v/>
      </c>
    </row>
    <row r="15">
      <c r="A15" t="inlineStr">
        <is>
          <t>Valsad</t>
        </is>
      </c>
      <c r="B15" s="23" t="n">
        <v>7.9</v>
      </c>
      <c r="C15" t="n">
        <v>36</v>
      </c>
      <c r="D15" s="23" t="n">
        <v>69.40000000000001</v>
      </c>
      <c r="F15" t="inlineStr">
        <is>
          <t>Dealers</t>
        </is>
      </c>
      <c r="G15" s="25">
        <f>INDEX(LINEST(D2:D25,B2:C25,TRUE,TRUE),1,1)</f>
        <v/>
      </c>
    </row>
    <row r="16">
      <c r="A16" t="inlineStr">
        <is>
          <t>Kutch</t>
        </is>
      </c>
      <c r="B16" s="23" t="n">
        <v>2.7</v>
      </c>
      <c r="C16" t="n">
        <v>33</v>
      </c>
      <c r="D16" s="23" t="n">
        <v>53.8</v>
      </c>
      <c r="F16" t="inlineStr">
        <is>
          <t>R Square</t>
        </is>
      </c>
      <c r="G16" s="25">
        <f>INDEX(LINEST(D2:D25,B2:C25,TRUE,TRUE),3,1)</f>
        <v/>
      </c>
    </row>
    <row r="17">
      <c r="A17" t="inlineStr">
        <is>
          <t>Porbandar</t>
        </is>
      </c>
      <c r="B17" s="23" t="n">
        <v>3.9</v>
      </c>
      <c r="C17" t="n">
        <v>35</v>
      </c>
      <c r="D17" s="23" t="n">
        <v>48.9</v>
      </c>
    </row>
    <row r="18">
      <c r="A18" t="inlineStr">
        <is>
          <t>Amreli</t>
        </is>
      </c>
      <c r="B18" s="23" t="n">
        <v>5.5</v>
      </c>
      <c r="C18" t="n">
        <v>11</v>
      </c>
      <c r="D18" s="23" t="n">
        <v>38.9</v>
      </c>
      <c r="F18" s="26" t="inlineStr">
        <is>
          <t>Formula versions of the ToolPak output (the ToolPak itself pastes static values).</t>
        </is>
      </c>
    </row>
    <row r="19">
      <c r="A19" t="inlineStr">
        <is>
          <t>Patan</t>
        </is>
      </c>
      <c r="B19" s="23" t="n">
        <v>5.7</v>
      </c>
      <c r="C19" t="n">
        <v>26</v>
      </c>
      <c r="D19" s="23" t="n">
        <v>54</v>
      </c>
    </row>
    <row r="20">
      <c r="A20" t="inlineStr">
        <is>
          <t>Dahod</t>
        </is>
      </c>
      <c r="B20" s="23" t="n">
        <v>6.4</v>
      </c>
      <c r="C20" t="n">
        <v>10</v>
      </c>
      <c r="D20" s="23" t="n">
        <v>45.5</v>
      </c>
    </row>
    <row r="21">
      <c r="A21" t="inlineStr">
        <is>
          <t>Kheda</t>
        </is>
      </c>
      <c r="B21" s="23" t="n">
        <v>5.4</v>
      </c>
      <c r="C21" t="n">
        <v>14</v>
      </c>
      <c r="D21" s="23" t="n">
        <v>42.4</v>
      </c>
    </row>
    <row r="22">
      <c r="A22" t="inlineStr">
        <is>
          <t>Panchmahal</t>
        </is>
      </c>
      <c r="B22" s="23" t="n">
        <v>4</v>
      </c>
      <c r="C22" t="n">
        <v>23</v>
      </c>
      <c r="D22" s="23" t="n">
        <v>45.2</v>
      </c>
    </row>
    <row r="23">
      <c r="A23" t="inlineStr">
        <is>
          <t>Banaskantha</t>
        </is>
      </c>
      <c r="B23" s="23" t="n">
        <v>2</v>
      </c>
      <c r="C23" t="n">
        <v>15</v>
      </c>
      <c r="D23" s="23" t="n">
        <v>31.5</v>
      </c>
    </row>
    <row r="24">
      <c r="A24" t="inlineStr">
        <is>
          <t>Sabarkantha</t>
        </is>
      </c>
      <c r="B24" s="23" t="n">
        <v>7.9</v>
      </c>
      <c r="C24" t="n">
        <v>27</v>
      </c>
      <c r="D24" s="23" t="n">
        <v>61.1</v>
      </c>
    </row>
    <row r="25">
      <c r="A25" t="inlineStr">
        <is>
          <t>Surendranagar</t>
        </is>
      </c>
      <c r="B25" s="23" t="n">
        <v>4.8</v>
      </c>
      <c r="C25" t="n">
        <v>36</v>
      </c>
      <c r="D25" s="23" t="n">
        <v>57.3</v>
      </c>
    </row>
    <row r="28">
      <c r="A28" s="15" t="inlineStr">
        <is>
          <t>Challenge answer: Correlation of Ad Spend and Sales = 0.752; Dealers and Sales = 0.603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2026-10-23T10:05:03Z</dcterms:created>
  <dcterms:modified xmlns:dcterms="http://purl.org/dc/terms/" xmlns:xsi="http://www.w3.org/2001/XMLSchema-instance" xsi:type="dcterms:W3CDTF">2026-10-23T10:05:04Z</dcterms:modified>
</cp:coreProperties>
</file>