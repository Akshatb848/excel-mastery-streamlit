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8-01" sheetId="2" state="visible" r:id="rId2"/>
    <sheet xmlns:r="http://schemas.openxmlformats.org/officeDocument/2006/relationships" name="S08-01 Done" sheetId="3" state="visible" r:id="rId3"/>
    <sheet xmlns:r="http://schemas.openxmlformats.org/officeDocument/2006/relationships" name="S08-02" sheetId="4" state="visible" r:id="rId4"/>
    <sheet xmlns:r="http://schemas.openxmlformats.org/officeDocument/2006/relationships" name="S08-02 Done" sheetId="5" state="visible" r:id="rId5"/>
    <sheet xmlns:r="http://schemas.openxmlformats.org/officeDocument/2006/relationships" name="S08-03" sheetId="6" state="visible" r:id="rId6"/>
    <sheet xmlns:r="http://schemas.openxmlformats.org/officeDocument/2006/relationships" name="S08-03 Done" sheetId="7" state="visible" r:id="rId7"/>
    <sheet xmlns:r="http://schemas.openxmlformats.org/officeDocument/2006/relationships" name="S08-04" sheetId="8" state="visible" r:id="rId8"/>
    <sheet xmlns:r="http://schemas.openxmlformats.org/officeDocument/2006/relationships" name="S08-04 Done" sheetId="9" state="visible" r:id="rId9"/>
    <sheet xmlns:r="http://schemas.openxmlformats.org/officeDocument/2006/relationships" name="S08-05" sheetId="10" state="visible" r:id="rId10"/>
    <sheet xmlns:r="http://schemas.openxmlformats.org/officeDocument/2006/relationships" name="S08-05 Done" sheetId="11" state="visible" r:id="rId11"/>
    <sheet xmlns:r="http://schemas.openxmlformats.org/officeDocument/2006/relationships" name="S08-06" sheetId="12" state="visible" r:id="rId12"/>
    <sheet xmlns:r="http://schemas.openxmlformats.org/officeDocument/2006/relationships" name="S08-06 Done" sheetId="13" state="visible" r:id="rId13"/>
    <sheet xmlns:r="http://schemas.openxmlformats.org/officeDocument/2006/relationships" name="S08-07" sheetId="14" state="visible" r:id="rId14"/>
    <sheet xmlns:r="http://schemas.openxmlformats.org/officeDocument/2006/relationships" name="S08-07 Done" sheetId="15" state="visible" r:id="rId15"/>
    <sheet xmlns:r="http://schemas.openxmlformats.org/officeDocument/2006/relationships" name="S08-08" sheetId="16" state="visible" r:id="rId16"/>
    <sheet xmlns:r="http://schemas.openxmlformats.org/officeDocument/2006/relationships" name="S08-08 Done" sheetId="17" state="visible" r:id="rId17"/>
    <sheet xmlns:r="http://schemas.openxmlformats.org/officeDocument/2006/relationships" name="S08-09" sheetId="18" state="visible" r:id="rId18"/>
    <sheet xmlns:r="http://schemas.openxmlformats.org/officeDocument/2006/relationships" name="S08-09 Done" sheetId="19" state="visible" r:id="rId19"/>
    <sheet xmlns:r="http://schemas.openxmlformats.org/officeDocument/2006/relationships" name="S08-10" sheetId="20" state="visible" r:id="rId20"/>
    <sheet xmlns:r="http://schemas.openxmlformats.org/officeDocument/2006/relationships" name="S08-10 Done" sheetId="21" state="visible" r:id="rId21"/>
    <sheet xmlns:r="http://schemas.openxmlformats.org/officeDocument/2006/relationships" name="S08-11" sheetId="22" state="visible" r:id="rId22"/>
    <sheet xmlns:r="http://schemas.openxmlformats.org/officeDocument/2006/relationships" name="S08-11 Done" sheetId="23" state="visible" r:id="rId23"/>
    <sheet xmlns:r="http://schemas.openxmlformats.org/officeDocument/2006/relationships" name="S08-12" sheetId="24" state="visible" r:id="rId24"/>
    <sheet xmlns:r="http://schemas.openxmlformats.org/officeDocument/2006/relationships" name="S08-12 Answers" sheetId="25" state="visible" r:id="rId25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[&gt;=10000000]&quot;₹&quot;##\,##\,##\,##0;[&gt;=100000]&quot;₹&quot;##\,##\,##0;&quot;₹&quot;##,##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595959"/>
    </font>
    <font>
      <b val="1"/>
      <color rgb="001F4E78"/>
      <sz val="12"/>
    </font>
    <font>
      <b val="1"/>
      <color rgb="001F4E78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1" fillId="0" borderId="0" pivotButton="0" quotePrefix="0" xfId="0"/>
    <xf numFmtId="0" fontId="3" fillId="0" borderId="0" pivotButton="0" quotePrefix="0" xfId="0"/>
    <xf numFmtId="165" fontId="0" fillId="3" borderId="0" pivotButton="0" quotePrefix="0" xfId="0"/>
    <xf numFmtId="0" fontId="4" fillId="0" borderId="0" pivotButton="0" quotePrefix="0" xfId="0"/>
    <xf numFmtId="9" fontId="0" fillId="0" borderId="0" pivotButton="0" quotePrefix="0" xfId="0"/>
    <xf numFmtId="9" fontId="1" fillId="0" borderId="0" pivotButton="0" quotePrefix="0" xfId="0"/>
    <xf numFmtId="9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5700"/>
      </font>
      <fill>
        <patternFill patternType="solid">
          <bgColor rgb="00FFEB9C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Id="rIdMeta1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tblSalesDone" displayName="tblSalesDone" ref="A1:G22" headerRowCount="1" totalsRowCount="1">
  <tableColumns count="7">
    <tableColumn id="1" name="Invoice No" totalsRowLabel="Total"/>
    <tableColumn id="2" name="Date"/>
    <tableColumn id="3" name="Branch"/>
    <tableColumn id="4" name="Salesperson"/>
    <tableColumn id="5" name="Qty"/>
    <tableColumn id="6" name="Unit Price"/>
    <tableColumn id="7" name="Amount" totalsRowFunction="sum"/>
  </tableColumns>
  <tableStyleInfo name="TableStyleMedium2" showRowStripes="1"/>
</table>
</file>

<file path=xl/tables/table2.xml><?xml version="1.0" encoding="utf-8"?>
<table xmlns="http://schemas.openxmlformats.org/spreadsheetml/2006/main" id="2" name="tblOrders" displayName="tblOrders" ref="A1:F21" headerRowCount="1">
  <tableColumns count="6">
    <tableColumn id="1" name="Order Date"/>
    <tableColumn id="2" name="Customer"/>
    <tableColumn id="3" name="City"/>
    <tableColumn id="4" name="Category"/>
    <tableColumn id="5" name="Status"/>
    <tableColumn id="6" name="Amount"/>
  </tableColumns>
  <tableStyleInfo name="TableStyleMedium2" showRowStripes="1"/>
</table>
</file>

<file path=xl/tables/table3.xml><?xml version="1.0" encoding="utf-8"?>
<table xmlns="http://schemas.openxmlformats.org/spreadsheetml/2006/main" id="3" name="tblOrdersDone" displayName="tblOrdersDone" ref="A1:F21" headerRowCount="1">
  <tableColumns count="6">
    <tableColumn id="1" name="Order Date"/>
    <tableColumn id="2" name="Customer"/>
    <tableColumn id="3" name="City"/>
    <tableColumn id="4" name="Category"/>
    <tableColumn id="5" name="Status"/>
    <tableColumn id="6" name="Amount"/>
  </tableColumns>
  <tableStyleInfo name="TableStyleMedium2" showRowStripes="1"/>
</table>
</file>

<file path=xl/tables/table4.xml><?xml version="1.0" encoding="utf-8"?>
<table xmlns="http://schemas.openxmlformats.org/spreadsheetml/2006/main" id="4" name="tblCities" displayName="tblCities" ref="D1:E17" headerRowCount="1">
  <tableColumns count="2">
    <tableColumn id="1" name="State"/>
    <tableColumn id="2" name="City"/>
  </tableColumns>
  <tableStyleInfo name="TableStyleLight9" showRowStripes="1"/>
</table>
</file>

<file path=xl/tables/table5.xml><?xml version="1.0" encoding="utf-8"?>
<table xmlns="http://schemas.openxmlformats.org/spreadsheetml/2006/main" id="5" name="tblCitiesDone" displayName="tblCitiesDone" ref="D1:E17" headerRowCount="1">
  <tableColumns count="2">
    <tableColumn id="1" name="State"/>
    <tableColumn id="2" name="City"/>
  </tableColumns>
  <tableStyleInfo name="TableStyleLight9" showRowStripes="1"/>
</table>
</file>

<file path=xl/tables/table6.xml><?xml version="1.0" encoding="utf-8"?>
<table xmlns="http://schemas.openxmlformats.org/spreadsheetml/2006/main" id="6" name="tblTrackerAns" displayName="tblTrackerAns" ref="A1:G16" headerRowCount="1">
  <tableColumns count="7">
    <tableColumn id="1" name="Order ID"/>
    <tableColumn id="2" name="Order Date"/>
    <tableColumn id="3" name="Customer"/>
    <tableColumn id="4" name="City"/>
    <tableColumn id="5" name="Status"/>
    <tableColumn id="6" name="Amount"/>
    <tableColumn id="7" name="Due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5" customWidth="1" min="4" max="4"/>
    <col width="17" customWidth="1" min="5" max="5"/>
  </cols>
  <sheetData>
    <row r="1">
      <c r="A1" s="1" t="inlineStr">
        <is>
          <t>S08: Data tools: tables, sorting, validation, conditional formatting</t>
        </is>
      </c>
    </row>
    <row r="2">
      <c r="A2" s="2" t="inlineStr">
        <is>
          <t>Excel Mastery for Mac. Practice workbook. Yellow cells are for you to fill in.</t>
        </is>
      </c>
    </row>
    <row r="4">
      <c r="A4" s="3" t="inlineStr">
        <is>
          <t>Lesson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Practice sheet</t>
        </is>
      </c>
      <c r="E4" s="3" t="inlineStr">
        <is>
          <t>Finished sheet</t>
        </is>
      </c>
    </row>
    <row r="5">
      <c r="A5" t="inlineStr">
        <is>
          <t>S08-01</t>
        </is>
      </c>
      <c r="B5" t="inlineStr">
        <is>
          <t>Excel Tables and structured references</t>
        </is>
      </c>
      <c r="C5" t="inlineStr">
        <is>
          <t>demo</t>
        </is>
      </c>
      <c r="D5" t="inlineStr">
        <is>
          <t>S08-01</t>
        </is>
      </c>
      <c r="E5" t="inlineStr">
        <is>
          <t>S08-01 Done</t>
        </is>
      </c>
    </row>
    <row r="6">
      <c r="A6" t="inlineStr">
        <is>
          <t>S08-02</t>
        </is>
      </c>
      <c r="B6" t="inlineStr">
        <is>
          <t>Sorting: multi-level, custom lists and colours</t>
        </is>
      </c>
      <c r="C6" t="inlineStr">
        <is>
          <t>demo</t>
        </is>
      </c>
      <c r="D6" t="inlineStr">
        <is>
          <t>S08-02</t>
        </is>
      </c>
      <c r="E6" t="inlineStr">
        <is>
          <t>S08-02 Done</t>
        </is>
      </c>
    </row>
    <row r="7">
      <c r="A7" t="inlineStr">
        <is>
          <t>S08-03</t>
        </is>
      </c>
      <c r="B7" t="inlineStr">
        <is>
          <t>Filtering and slicers on tables</t>
        </is>
      </c>
      <c r="C7" t="inlineStr">
        <is>
          <t>demo</t>
        </is>
      </c>
      <c r="D7" t="inlineStr">
        <is>
          <t>S08-03</t>
        </is>
      </c>
      <c r="E7" t="inlineStr">
        <is>
          <t>S08-03 Done</t>
        </is>
      </c>
    </row>
    <row r="8">
      <c r="A8" t="inlineStr">
        <is>
          <t>S08-04</t>
        </is>
      </c>
      <c r="B8" t="inlineStr">
        <is>
          <t>Advanced Filter</t>
        </is>
      </c>
      <c r="C8" t="inlineStr">
        <is>
          <t>demo</t>
        </is>
      </c>
      <c r="D8" t="inlineStr">
        <is>
          <t>S08-04</t>
        </is>
      </c>
      <c r="E8" t="inlineStr">
        <is>
          <t>S08-04 Done</t>
        </is>
      </c>
    </row>
    <row r="9">
      <c r="A9" t="inlineStr">
        <is>
          <t>S08-05</t>
        </is>
      </c>
      <c r="B9" t="inlineStr">
        <is>
          <t>Duplicates: find, highlight and remove</t>
        </is>
      </c>
      <c r="C9" t="inlineStr">
        <is>
          <t>demo</t>
        </is>
      </c>
      <c r="D9" t="inlineStr">
        <is>
          <t>S08-05</t>
        </is>
      </c>
      <c r="E9" t="inlineStr">
        <is>
          <t>S08-05 Done</t>
        </is>
      </c>
    </row>
    <row r="10">
      <c r="A10" t="inlineStr">
        <is>
          <t>S08-06</t>
        </is>
      </c>
      <c r="B10" t="inlineStr">
        <is>
          <t>Data validation and dropdown lists</t>
        </is>
      </c>
      <c r="C10" t="inlineStr">
        <is>
          <t>demo</t>
        </is>
      </c>
      <c r="D10" t="inlineStr">
        <is>
          <t>S08-06</t>
        </is>
      </c>
      <c r="E10" t="inlineStr">
        <is>
          <t>S08-06 Done</t>
        </is>
      </c>
    </row>
    <row r="11">
      <c r="A11" t="inlineStr">
        <is>
          <t>S08-07</t>
        </is>
      </c>
      <c r="B11" t="inlineStr">
        <is>
          <t>Dependent dropdowns</t>
        </is>
      </c>
      <c r="C11" t="inlineStr">
        <is>
          <t>demo</t>
        </is>
      </c>
      <c r="D11" t="inlineStr">
        <is>
          <t>S08-07</t>
        </is>
      </c>
      <c r="E11" t="inlineStr">
        <is>
          <t>S08-07 Done</t>
        </is>
      </c>
    </row>
    <row r="12">
      <c r="A12" t="inlineStr">
        <is>
          <t>S08-08</t>
        </is>
      </c>
      <c r="B12" t="inlineStr">
        <is>
          <t>Conditional formatting rules</t>
        </is>
      </c>
      <c r="C12" t="inlineStr">
        <is>
          <t>demo</t>
        </is>
      </c>
      <c r="D12" t="inlineStr">
        <is>
          <t>S08-08</t>
        </is>
      </c>
      <c r="E12" t="inlineStr">
        <is>
          <t>S08-08 Done</t>
        </is>
      </c>
    </row>
    <row r="13">
      <c r="A13" t="inlineStr">
        <is>
          <t>S08-09</t>
        </is>
      </c>
      <c r="B13" t="inlineStr">
        <is>
          <t>Formula-based conditional formatting</t>
        </is>
      </c>
      <c r="C13" t="inlineStr">
        <is>
          <t>demo</t>
        </is>
      </c>
      <c r="D13" t="inlineStr">
        <is>
          <t>S08-09</t>
        </is>
      </c>
      <c r="E13" t="inlineStr">
        <is>
          <t>S08-09 Done</t>
        </is>
      </c>
    </row>
    <row r="14">
      <c r="A14" t="inlineStr">
        <is>
          <t>S08-10</t>
        </is>
      </c>
      <c r="B14" t="inlineStr">
        <is>
          <t>Go To Special and fill-down tricks</t>
        </is>
      </c>
      <c r="C14" t="inlineStr">
        <is>
          <t>demo</t>
        </is>
      </c>
      <c r="D14" t="inlineStr">
        <is>
          <t>S08-10</t>
        </is>
      </c>
      <c r="E14" t="inlineStr">
        <is>
          <t>S08-10 Done</t>
        </is>
      </c>
    </row>
    <row r="15">
      <c r="A15" t="inlineStr">
        <is>
          <t>S08-11</t>
        </is>
      </c>
      <c r="B15" t="inlineStr">
        <is>
          <t>Checkboxes in cells: to-do and attendance lists</t>
        </is>
      </c>
      <c r="C15" t="inlineStr">
        <is>
          <t>demo</t>
        </is>
      </c>
      <c r="D15" t="inlineStr">
        <is>
          <t>S08-11</t>
        </is>
      </c>
      <c r="E15" t="inlineStr">
        <is>
          <t>S08-11 Done</t>
        </is>
      </c>
    </row>
    <row r="16">
      <c r="A16" t="inlineStr">
        <is>
          <t>S08-12</t>
        </is>
      </c>
      <c r="B16" t="inlineStr">
        <is>
          <t>Challenge 6: an order tracker with dropdowns and alerts</t>
        </is>
      </c>
      <c r="C16" t="inlineStr">
        <is>
          <t>challenge</t>
        </is>
      </c>
      <c r="D16" t="inlineStr">
        <is>
          <t>S08-12</t>
        </is>
      </c>
      <c r="E16" t="inlineStr">
        <is>
          <t>S08-12 Answers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6" customWidth="1" min="4" max="4"/>
    <col width="6" customWidth="1" min="5" max="5"/>
    <col width="11" customWidth="1" min="6" max="6"/>
    <col width="12" customWidth="1" min="7" max="7"/>
    <col width="3" customWidth="1" min="8" max="8"/>
    <col width="24" customWidth="1" min="9" max="9"/>
    <col width="13" customWidth="1" min="10" max="10"/>
  </cols>
  <sheetData>
    <row r="1">
      <c r="A1" s="3" t="inlineStr">
        <is>
          <t>Invoice No</t>
        </is>
      </c>
      <c r="B1" s="3" t="inlineStr">
        <is>
          <t>Date</t>
        </is>
      </c>
      <c r="C1" s="3" t="inlineStr">
        <is>
          <t>Branch</t>
        </is>
      </c>
      <c r="D1" s="3" t="inlineStr">
        <is>
          <t>Salesperson</t>
        </is>
      </c>
      <c r="E1" s="3" t="inlineStr">
        <is>
          <t>Qty</t>
        </is>
      </c>
      <c r="F1" s="3" t="inlineStr">
        <is>
          <t>Unit Price</t>
        </is>
      </c>
      <c r="I1" s="4" t="inlineStr">
        <is>
          <t>Total (table reference)</t>
        </is>
      </c>
      <c r="J1" s="5" t="n"/>
    </row>
    <row r="2">
      <c r="A2" t="inlineStr">
        <is>
          <t>INV-2601</t>
        </is>
      </c>
      <c r="B2" s="6" t="n">
        <v>46113</v>
      </c>
      <c r="C2" t="inlineStr">
        <is>
          <t>Nashik</t>
        </is>
      </c>
      <c r="D2" t="inlineStr">
        <is>
          <t>Meera Kulkarni</t>
        </is>
      </c>
      <c r="E2" t="n">
        <v>11</v>
      </c>
      <c r="F2" s="7" t="n">
        <v>2350</v>
      </c>
      <c r="G2" s="7" t="n"/>
      <c r="I2" s="4" t="inlineStr">
        <is>
          <t>Total (A1 range)</t>
        </is>
      </c>
      <c r="J2" s="5" t="n"/>
    </row>
    <row r="3">
      <c r="A3" t="inlineStr">
        <is>
          <t>INV-2602</t>
        </is>
      </c>
      <c r="B3" s="6" t="n">
        <v>46116</v>
      </c>
      <c r="C3" t="inlineStr">
        <is>
          <t>Nagpur</t>
        </is>
      </c>
      <c r="D3" t="inlineStr">
        <is>
          <t>Pooja Thakre</t>
        </is>
      </c>
      <c r="E3" t="n">
        <v>9</v>
      </c>
      <c r="F3" s="7" t="n">
        <v>420</v>
      </c>
      <c r="G3" s="7" t="n"/>
      <c r="I3" s="4" t="inlineStr">
        <is>
          <t>Challenge: Pune total</t>
        </is>
      </c>
      <c r="J3" s="5" t="n"/>
    </row>
    <row r="4">
      <c r="A4" t="inlineStr">
        <is>
          <t>INV-2603</t>
        </is>
      </c>
      <c r="B4" s="6" t="n">
        <v>46119</v>
      </c>
      <c r="C4" t="inlineStr">
        <is>
          <t>Mumbai</t>
        </is>
      </c>
      <c r="D4" t="inlineStr">
        <is>
          <t>Kavya Iyer</t>
        </is>
      </c>
      <c r="E4" t="n">
        <v>9</v>
      </c>
      <c r="F4" s="7" t="n">
        <v>2890</v>
      </c>
      <c r="G4" s="7" t="n"/>
    </row>
    <row r="5">
      <c r="A5" t="inlineStr">
        <is>
          <t>INV-2604</t>
        </is>
      </c>
      <c r="B5" s="6" t="n">
        <v>46122</v>
      </c>
      <c r="C5" t="inlineStr">
        <is>
          <t>Nagpur</t>
        </is>
      </c>
      <c r="D5" t="inlineStr">
        <is>
          <t>Rahul Wankhede</t>
        </is>
      </c>
      <c r="E5" t="n">
        <v>10</v>
      </c>
      <c r="F5" s="7" t="n">
        <v>99</v>
      </c>
      <c r="G5" s="7" t="n"/>
    </row>
    <row r="6">
      <c r="A6" t="inlineStr">
        <is>
          <t>INV-2605</t>
        </is>
      </c>
      <c r="B6" s="6" t="n">
        <v>46125</v>
      </c>
      <c r="C6" t="inlineStr">
        <is>
          <t>Nashik</t>
        </is>
      </c>
      <c r="D6" t="inlineStr">
        <is>
          <t>Kiran Jadhav</t>
        </is>
      </c>
      <c r="E6" t="n">
        <v>20</v>
      </c>
      <c r="F6" s="7" t="n">
        <v>99</v>
      </c>
      <c r="G6" s="7" t="n"/>
    </row>
    <row r="7">
      <c r="A7" t="inlineStr">
        <is>
          <t>INV-2606</t>
        </is>
      </c>
      <c r="B7" s="6" t="n">
        <v>46128</v>
      </c>
      <c r="C7" t="inlineStr">
        <is>
          <t>Nagpur</t>
        </is>
      </c>
      <c r="D7" t="inlineStr">
        <is>
          <t>Pooja Thakre</t>
        </is>
      </c>
      <c r="E7" t="n">
        <v>20</v>
      </c>
      <c r="F7" s="7" t="n">
        <v>2350</v>
      </c>
      <c r="G7" s="7" t="n"/>
    </row>
    <row r="8">
      <c r="A8" t="inlineStr">
        <is>
          <t>INV-2607</t>
        </is>
      </c>
      <c r="B8" s="6" t="n">
        <v>46131</v>
      </c>
      <c r="C8" t="inlineStr">
        <is>
          <t>Pune</t>
        </is>
      </c>
      <c r="D8" t="inlineStr">
        <is>
          <t>Amit Deshpande</t>
        </is>
      </c>
      <c r="E8" t="n">
        <v>3</v>
      </c>
      <c r="F8" s="7" t="n">
        <v>640</v>
      </c>
      <c r="G8" s="7" t="n"/>
    </row>
    <row r="9">
      <c r="A9" t="inlineStr">
        <is>
          <t>INV-2608</t>
        </is>
      </c>
      <c r="B9" s="6" t="n">
        <v>46134</v>
      </c>
      <c r="C9" t="inlineStr">
        <is>
          <t>Nagpur</t>
        </is>
      </c>
      <c r="D9" t="inlineStr">
        <is>
          <t>Rahul Wankhede</t>
        </is>
      </c>
      <c r="E9" t="n">
        <v>20</v>
      </c>
      <c r="F9" s="7" t="n">
        <v>640</v>
      </c>
      <c r="G9" s="7" t="n"/>
    </row>
    <row r="10">
      <c r="A10" t="inlineStr">
        <is>
          <t>INV-2609</t>
        </is>
      </c>
      <c r="B10" s="6" t="n">
        <v>46137</v>
      </c>
      <c r="C10" t="inlineStr">
        <is>
          <t>Nagpur</t>
        </is>
      </c>
      <c r="D10" t="inlineStr">
        <is>
          <t>Pooja Thakre</t>
        </is>
      </c>
      <c r="E10" t="n">
        <v>2</v>
      </c>
      <c r="F10" s="7" t="n">
        <v>2890</v>
      </c>
      <c r="G10" s="7" t="n"/>
    </row>
    <row r="11">
      <c r="A11" t="inlineStr">
        <is>
          <t>INV-2610</t>
        </is>
      </c>
      <c r="B11" s="6" t="n">
        <v>46140</v>
      </c>
      <c r="C11" t="inlineStr">
        <is>
          <t>Nagpur</t>
        </is>
      </c>
      <c r="D11" t="inlineStr">
        <is>
          <t>Rahul Wankhede</t>
        </is>
      </c>
      <c r="E11" t="n">
        <v>14</v>
      </c>
      <c r="F11" s="7" t="n">
        <v>640</v>
      </c>
      <c r="G11" s="7" t="n"/>
    </row>
    <row r="12">
      <c r="A12" t="inlineStr">
        <is>
          <t>INV-2611</t>
        </is>
      </c>
      <c r="B12" s="6" t="n">
        <v>46143</v>
      </c>
      <c r="C12" t="inlineStr">
        <is>
          <t>Pune</t>
        </is>
      </c>
      <c r="D12" t="inlineStr">
        <is>
          <t>Amit Deshpande</t>
        </is>
      </c>
      <c r="E12" t="n">
        <v>18</v>
      </c>
      <c r="F12" s="7" t="n">
        <v>420</v>
      </c>
      <c r="G12" s="7" t="n"/>
    </row>
    <row r="13">
      <c r="A13" t="inlineStr">
        <is>
          <t>INV-2612</t>
        </is>
      </c>
      <c r="B13" s="6" t="n">
        <v>46146</v>
      </c>
      <c r="C13" t="inlineStr">
        <is>
          <t>Mumbai</t>
        </is>
      </c>
      <c r="D13" t="inlineStr">
        <is>
          <t>Farhan Shaikh</t>
        </is>
      </c>
      <c r="E13" t="n">
        <v>20</v>
      </c>
      <c r="F13" s="7" t="n">
        <v>2890</v>
      </c>
      <c r="G13" s="7" t="n"/>
    </row>
    <row r="14">
      <c r="A14" t="inlineStr">
        <is>
          <t>INV-2613</t>
        </is>
      </c>
      <c r="B14" s="6" t="n">
        <v>46149</v>
      </c>
      <c r="C14" t="inlineStr">
        <is>
          <t>Nagpur</t>
        </is>
      </c>
      <c r="D14" t="inlineStr">
        <is>
          <t>Pooja Thakre</t>
        </is>
      </c>
      <c r="E14" t="n">
        <v>18</v>
      </c>
      <c r="F14" s="7" t="n">
        <v>155</v>
      </c>
      <c r="G14" s="7" t="n"/>
    </row>
    <row r="15">
      <c r="A15" t="inlineStr">
        <is>
          <t>INV-2614</t>
        </is>
      </c>
      <c r="B15" s="6" t="n">
        <v>46152</v>
      </c>
      <c r="C15" t="inlineStr">
        <is>
          <t>Nashik</t>
        </is>
      </c>
      <c r="D15" t="inlineStr">
        <is>
          <t>Kiran Jadhav</t>
        </is>
      </c>
      <c r="E15" t="n">
        <v>19</v>
      </c>
      <c r="F15" s="7" t="n">
        <v>549</v>
      </c>
      <c r="G15" s="7" t="n"/>
    </row>
    <row r="16">
      <c r="A16" t="inlineStr">
        <is>
          <t>INV-2615</t>
        </is>
      </c>
      <c r="B16" s="6" t="n">
        <v>46155</v>
      </c>
      <c r="C16" t="inlineStr">
        <is>
          <t>Mumbai</t>
        </is>
      </c>
      <c r="D16" t="inlineStr">
        <is>
          <t>Farhan Shaikh</t>
        </is>
      </c>
      <c r="E16" t="n">
        <v>16</v>
      </c>
      <c r="F16" s="7" t="n">
        <v>155</v>
      </c>
      <c r="G16" s="7" t="n"/>
    </row>
    <row r="17">
      <c r="A17" t="inlineStr">
        <is>
          <t>INV-2616</t>
        </is>
      </c>
      <c r="B17" s="6" t="n">
        <v>46158</v>
      </c>
      <c r="C17" t="inlineStr">
        <is>
          <t>Nagpur</t>
        </is>
      </c>
      <c r="D17" t="inlineStr">
        <is>
          <t>Rahul Wankhede</t>
        </is>
      </c>
      <c r="E17" t="n">
        <v>8</v>
      </c>
      <c r="F17" s="7" t="n">
        <v>420</v>
      </c>
      <c r="G17" s="7" t="n"/>
    </row>
    <row r="18">
      <c r="A18" t="inlineStr">
        <is>
          <t>INV-2617</t>
        </is>
      </c>
      <c r="B18" s="6" t="n">
        <v>46161</v>
      </c>
      <c r="C18" t="inlineStr">
        <is>
          <t>Nashik</t>
        </is>
      </c>
      <c r="D18" t="inlineStr">
        <is>
          <t>Kiran Jadhav</t>
        </is>
      </c>
      <c r="E18" t="n">
        <v>14</v>
      </c>
      <c r="F18" s="7" t="n">
        <v>420</v>
      </c>
      <c r="G18" s="7" t="n"/>
    </row>
    <row r="19">
      <c r="A19" t="inlineStr">
        <is>
          <t>INV-2618</t>
        </is>
      </c>
      <c r="B19" s="6" t="n">
        <v>46164</v>
      </c>
      <c r="C19" t="inlineStr">
        <is>
          <t>Nashik</t>
        </is>
      </c>
      <c r="D19" t="inlineStr">
        <is>
          <t>Meera Kulkarni</t>
        </is>
      </c>
      <c r="E19" t="n">
        <v>17</v>
      </c>
      <c r="F19" s="7" t="n">
        <v>420</v>
      </c>
      <c r="G19" s="7" t="n"/>
    </row>
    <row r="20">
      <c r="A20" t="inlineStr">
        <is>
          <t>INV-2619</t>
        </is>
      </c>
      <c r="B20" s="6" t="n">
        <v>46167</v>
      </c>
      <c r="C20" t="inlineStr">
        <is>
          <t>Mumbai</t>
        </is>
      </c>
      <c r="D20" t="inlineStr">
        <is>
          <t>Farhan Shaikh</t>
        </is>
      </c>
      <c r="E20" t="n">
        <v>2</v>
      </c>
      <c r="F20" s="7" t="n">
        <v>2890</v>
      </c>
      <c r="G20" s="7" t="n"/>
    </row>
    <row r="21">
      <c r="A21" t="inlineStr">
        <is>
          <t>INV-2620</t>
        </is>
      </c>
      <c r="B21" s="6" t="n">
        <v>46170</v>
      </c>
      <c r="C21" t="inlineStr">
        <is>
          <t>Nashik</t>
        </is>
      </c>
      <c r="D21" t="inlineStr">
        <is>
          <t>Meera Kulkarni</t>
        </is>
      </c>
      <c r="E21" t="n">
        <v>7</v>
      </c>
      <c r="F21" s="7" t="n">
        <v>155</v>
      </c>
      <c r="G21" s="7" t="n"/>
    </row>
    <row r="22">
      <c r="B22" s="6" t="n"/>
      <c r="F22" s="7" t="n"/>
      <c r="G2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6" customWidth="1" min="4" max="4"/>
    <col width="6" customWidth="1" min="5" max="5"/>
    <col width="11" customWidth="1" min="6" max="6"/>
    <col width="12" customWidth="1" min="7" max="7"/>
    <col width="3" customWidth="1" min="8" max="8"/>
    <col width="24" customWidth="1" min="9" max="9"/>
    <col width="13" customWidth="1" min="10" max="10"/>
  </cols>
  <sheetData>
    <row r="1">
      <c r="A1" t="inlineStr">
        <is>
          <t>Invoice No</t>
        </is>
      </c>
      <c r="B1" t="inlineStr">
        <is>
          <t>Date</t>
        </is>
      </c>
      <c r="C1" t="inlineStr">
        <is>
          <t>Branch</t>
        </is>
      </c>
      <c r="D1" t="inlineStr">
        <is>
          <t>Salesperson</t>
        </is>
      </c>
      <c r="E1" t="inlineStr">
        <is>
          <t>Qty</t>
        </is>
      </c>
      <c r="F1" t="inlineStr">
        <is>
          <t>Unit Price</t>
        </is>
      </c>
      <c r="G1" t="inlineStr">
        <is>
          <t>Amount</t>
        </is>
      </c>
      <c r="I1" s="4" t="inlineStr">
        <is>
          <t>Total (table reference)</t>
        </is>
      </c>
      <c r="J1" s="7">
        <f>SUM(tblSalesDone[Amount])</f>
        <v/>
      </c>
    </row>
    <row r="2">
      <c r="A2" t="inlineStr">
        <is>
          <t>INV-2601</t>
        </is>
      </c>
      <c r="B2" s="6" t="n">
        <v>46113</v>
      </c>
      <c r="C2" t="inlineStr">
        <is>
          <t>Nashik</t>
        </is>
      </c>
      <c r="D2" t="inlineStr">
        <is>
          <t>Meera Kulkarni</t>
        </is>
      </c>
      <c r="E2" t="n">
        <v>11</v>
      </c>
      <c r="F2" s="7" t="n">
        <v>2350</v>
      </c>
      <c r="G2" s="7">
        <f>tblSalesDone[[#This Row],[Qty]]*tblSalesDone[[#This Row],[Unit Price]]</f>
        <v/>
      </c>
      <c r="I2" s="4" t="inlineStr">
        <is>
          <t>Total (A1 range)</t>
        </is>
      </c>
      <c r="J2" s="7">
        <f>SUM(G2:G21)</f>
        <v/>
      </c>
    </row>
    <row r="3">
      <c r="A3" t="inlineStr">
        <is>
          <t>INV-2602</t>
        </is>
      </c>
      <c r="B3" s="6" t="n">
        <v>46116</v>
      </c>
      <c r="C3" t="inlineStr">
        <is>
          <t>Nagpur</t>
        </is>
      </c>
      <c r="D3" t="inlineStr">
        <is>
          <t>Pooja Thakre</t>
        </is>
      </c>
      <c r="E3" t="n">
        <v>9</v>
      </c>
      <c r="F3" s="7" t="n">
        <v>420</v>
      </c>
      <c r="G3" s="7">
        <f>tblSalesDone[[#This Row],[Qty]]*tblSalesDone[[#This Row],[Unit Price]]</f>
        <v/>
      </c>
      <c r="I3" s="4" t="inlineStr">
        <is>
          <t>Challenge: Pune total</t>
        </is>
      </c>
      <c r="J3" s="7">
        <f>SUMIFS(tblSalesDone[Amount],tblSalesDone[Branch],"Pune")</f>
        <v/>
      </c>
    </row>
    <row r="4">
      <c r="A4" t="inlineStr">
        <is>
          <t>INV-2603</t>
        </is>
      </c>
      <c r="B4" s="6" t="n">
        <v>46119</v>
      </c>
      <c r="C4" t="inlineStr">
        <is>
          <t>Mumbai</t>
        </is>
      </c>
      <c r="D4" t="inlineStr">
        <is>
          <t>Kavya Iyer</t>
        </is>
      </c>
      <c r="E4" t="n">
        <v>9</v>
      </c>
      <c r="F4" s="7" t="n">
        <v>2890</v>
      </c>
      <c r="G4" s="7">
        <f>tblSalesDone[[#This Row],[Qty]]*tblSalesDone[[#This Row],[Unit Price]]</f>
        <v/>
      </c>
    </row>
    <row r="5">
      <c r="A5" t="inlineStr">
        <is>
          <t>INV-2604</t>
        </is>
      </c>
      <c r="B5" s="6" t="n">
        <v>46122</v>
      </c>
      <c r="C5" t="inlineStr">
        <is>
          <t>Nagpur</t>
        </is>
      </c>
      <c r="D5" t="inlineStr">
        <is>
          <t>Rahul Wankhede</t>
        </is>
      </c>
      <c r="E5" t="n">
        <v>10</v>
      </c>
      <c r="F5" s="7" t="n">
        <v>99</v>
      </c>
      <c r="G5" s="7">
        <f>tblSalesDone[[#This Row],[Qty]]*tblSalesDone[[#This Row],[Unit Price]]</f>
        <v/>
      </c>
    </row>
    <row r="6">
      <c r="A6" t="inlineStr">
        <is>
          <t>INV-2605</t>
        </is>
      </c>
      <c r="B6" s="6" t="n">
        <v>46125</v>
      </c>
      <c r="C6" t="inlineStr">
        <is>
          <t>Nashik</t>
        </is>
      </c>
      <c r="D6" t="inlineStr">
        <is>
          <t>Kiran Jadhav</t>
        </is>
      </c>
      <c r="E6" t="n">
        <v>20</v>
      </c>
      <c r="F6" s="7" t="n">
        <v>99</v>
      </c>
      <c r="G6" s="7">
        <f>tblSalesDone[[#This Row],[Qty]]*tblSalesDone[[#This Row],[Unit Price]]</f>
        <v/>
      </c>
    </row>
    <row r="7">
      <c r="A7" t="inlineStr">
        <is>
          <t>INV-2606</t>
        </is>
      </c>
      <c r="B7" s="6" t="n">
        <v>46128</v>
      </c>
      <c r="C7" t="inlineStr">
        <is>
          <t>Nagpur</t>
        </is>
      </c>
      <c r="D7" t="inlineStr">
        <is>
          <t>Pooja Thakre</t>
        </is>
      </c>
      <c r="E7" t="n">
        <v>20</v>
      </c>
      <c r="F7" s="7" t="n">
        <v>2350</v>
      </c>
      <c r="G7" s="7">
        <f>tblSalesDone[[#This Row],[Qty]]*tblSalesDone[[#This Row],[Unit Price]]</f>
        <v/>
      </c>
    </row>
    <row r="8">
      <c r="A8" t="inlineStr">
        <is>
          <t>INV-2607</t>
        </is>
      </c>
      <c r="B8" s="6" t="n">
        <v>46131</v>
      </c>
      <c r="C8" t="inlineStr">
        <is>
          <t>Pune</t>
        </is>
      </c>
      <c r="D8" t="inlineStr">
        <is>
          <t>Amit Deshpande</t>
        </is>
      </c>
      <c r="E8" t="n">
        <v>3</v>
      </c>
      <c r="F8" s="7" t="n">
        <v>640</v>
      </c>
      <c r="G8" s="7">
        <f>tblSalesDone[[#This Row],[Qty]]*tblSalesDone[[#This Row],[Unit Price]]</f>
        <v/>
      </c>
    </row>
    <row r="9">
      <c r="A9" t="inlineStr">
        <is>
          <t>INV-2608</t>
        </is>
      </c>
      <c r="B9" s="6" t="n">
        <v>46134</v>
      </c>
      <c r="C9" t="inlineStr">
        <is>
          <t>Nagpur</t>
        </is>
      </c>
      <c r="D9" t="inlineStr">
        <is>
          <t>Rahul Wankhede</t>
        </is>
      </c>
      <c r="E9" t="n">
        <v>20</v>
      </c>
      <c r="F9" s="7" t="n">
        <v>640</v>
      </c>
      <c r="G9" s="7">
        <f>tblSalesDone[[#This Row],[Qty]]*tblSalesDone[[#This Row],[Unit Price]]</f>
        <v/>
      </c>
    </row>
    <row r="10">
      <c r="A10" t="inlineStr">
        <is>
          <t>INV-2609</t>
        </is>
      </c>
      <c r="B10" s="6" t="n">
        <v>46137</v>
      </c>
      <c r="C10" t="inlineStr">
        <is>
          <t>Nagpur</t>
        </is>
      </c>
      <c r="D10" t="inlineStr">
        <is>
          <t>Pooja Thakre</t>
        </is>
      </c>
      <c r="E10" t="n">
        <v>2</v>
      </c>
      <c r="F10" s="7" t="n">
        <v>2890</v>
      </c>
      <c r="G10" s="7">
        <f>tblSalesDone[[#This Row],[Qty]]*tblSalesDone[[#This Row],[Unit Price]]</f>
        <v/>
      </c>
    </row>
    <row r="11">
      <c r="A11" t="inlineStr">
        <is>
          <t>INV-2610</t>
        </is>
      </c>
      <c r="B11" s="6" t="n">
        <v>46140</v>
      </c>
      <c r="C11" t="inlineStr">
        <is>
          <t>Nagpur</t>
        </is>
      </c>
      <c r="D11" t="inlineStr">
        <is>
          <t>Rahul Wankhede</t>
        </is>
      </c>
      <c r="E11" t="n">
        <v>14</v>
      </c>
      <c r="F11" s="7" t="n">
        <v>640</v>
      </c>
      <c r="G11" s="7">
        <f>tblSalesDone[[#This Row],[Qty]]*tblSalesDone[[#This Row],[Unit Price]]</f>
        <v/>
      </c>
    </row>
    <row r="12">
      <c r="A12" t="inlineStr">
        <is>
          <t>INV-2611</t>
        </is>
      </c>
      <c r="B12" s="6" t="n">
        <v>46143</v>
      </c>
      <c r="C12" t="inlineStr">
        <is>
          <t>Pune</t>
        </is>
      </c>
      <c r="D12" t="inlineStr">
        <is>
          <t>Amit Deshpande</t>
        </is>
      </c>
      <c r="E12" t="n">
        <v>18</v>
      </c>
      <c r="F12" s="7" t="n">
        <v>420</v>
      </c>
      <c r="G12" s="7">
        <f>tblSalesDone[[#This Row],[Qty]]*tblSalesDone[[#This Row],[Unit Price]]</f>
        <v/>
      </c>
    </row>
    <row r="13">
      <c r="A13" t="inlineStr">
        <is>
          <t>INV-2612</t>
        </is>
      </c>
      <c r="B13" s="6" t="n">
        <v>46146</v>
      </c>
      <c r="C13" t="inlineStr">
        <is>
          <t>Mumbai</t>
        </is>
      </c>
      <c r="D13" t="inlineStr">
        <is>
          <t>Farhan Shaikh</t>
        </is>
      </c>
      <c r="E13" t="n">
        <v>20</v>
      </c>
      <c r="F13" s="7" t="n">
        <v>2890</v>
      </c>
      <c r="G13" s="7">
        <f>tblSalesDone[[#This Row],[Qty]]*tblSalesDone[[#This Row],[Unit Price]]</f>
        <v/>
      </c>
    </row>
    <row r="14">
      <c r="A14" t="inlineStr">
        <is>
          <t>INV-2613</t>
        </is>
      </c>
      <c r="B14" s="6" t="n">
        <v>46149</v>
      </c>
      <c r="C14" t="inlineStr">
        <is>
          <t>Nagpur</t>
        </is>
      </c>
      <c r="D14" t="inlineStr">
        <is>
          <t>Pooja Thakre</t>
        </is>
      </c>
      <c r="E14" t="n">
        <v>18</v>
      </c>
      <c r="F14" s="7" t="n">
        <v>155</v>
      </c>
      <c r="G14" s="7">
        <f>tblSalesDone[[#This Row],[Qty]]*tblSalesDone[[#This Row],[Unit Price]]</f>
        <v/>
      </c>
    </row>
    <row r="15">
      <c r="A15" t="inlineStr">
        <is>
          <t>INV-2614</t>
        </is>
      </c>
      <c r="B15" s="6" t="n">
        <v>46152</v>
      </c>
      <c r="C15" t="inlineStr">
        <is>
          <t>Nashik</t>
        </is>
      </c>
      <c r="D15" t="inlineStr">
        <is>
          <t>Kiran Jadhav</t>
        </is>
      </c>
      <c r="E15" t="n">
        <v>19</v>
      </c>
      <c r="F15" s="7" t="n">
        <v>549</v>
      </c>
      <c r="G15" s="7">
        <f>tblSalesDone[[#This Row],[Qty]]*tblSalesDone[[#This Row],[Unit Price]]</f>
        <v/>
      </c>
    </row>
    <row r="16">
      <c r="A16" t="inlineStr">
        <is>
          <t>INV-2615</t>
        </is>
      </c>
      <c r="B16" s="6" t="n">
        <v>46155</v>
      </c>
      <c r="C16" t="inlineStr">
        <is>
          <t>Mumbai</t>
        </is>
      </c>
      <c r="D16" t="inlineStr">
        <is>
          <t>Farhan Shaikh</t>
        </is>
      </c>
      <c r="E16" t="n">
        <v>16</v>
      </c>
      <c r="F16" s="7" t="n">
        <v>155</v>
      </c>
      <c r="G16" s="7">
        <f>tblSalesDone[[#This Row],[Qty]]*tblSalesDone[[#This Row],[Unit Price]]</f>
        <v/>
      </c>
    </row>
    <row r="17">
      <c r="A17" t="inlineStr">
        <is>
          <t>INV-2616</t>
        </is>
      </c>
      <c r="B17" s="6" t="n">
        <v>46158</v>
      </c>
      <c r="C17" t="inlineStr">
        <is>
          <t>Nagpur</t>
        </is>
      </c>
      <c r="D17" t="inlineStr">
        <is>
          <t>Rahul Wankhede</t>
        </is>
      </c>
      <c r="E17" t="n">
        <v>8</v>
      </c>
      <c r="F17" s="7" t="n">
        <v>420</v>
      </c>
      <c r="G17" s="7">
        <f>tblSalesDone[[#This Row],[Qty]]*tblSalesDone[[#This Row],[Unit Price]]</f>
        <v/>
      </c>
    </row>
    <row r="18">
      <c r="A18" t="inlineStr">
        <is>
          <t>INV-2617</t>
        </is>
      </c>
      <c r="B18" s="6" t="n">
        <v>46161</v>
      </c>
      <c r="C18" t="inlineStr">
        <is>
          <t>Nashik</t>
        </is>
      </c>
      <c r="D18" t="inlineStr">
        <is>
          <t>Kiran Jadhav</t>
        </is>
      </c>
      <c r="E18" t="n">
        <v>14</v>
      </c>
      <c r="F18" s="7" t="n">
        <v>420</v>
      </c>
      <c r="G18" s="7">
        <f>tblSalesDone[[#This Row],[Qty]]*tblSalesDone[[#This Row],[Unit Price]]</f>
        <v/>
      </c>
    </row>
    <row r="19">
      <c r="A19" t="inlineStr">
        <is>
          <t>INV-2618</t>
        </is>
      </c>
      <c r="B19" s="6" t="n">
        <v>46164</v>
      </c>
      <c r="C19" t="inlineStr">
        <is>
          <t>Nashik</t>
        </is>
      </c>
      <c r="D19" t="inlineStr">
        <is>
          <t>Meera Kulkarni</t>
        </is>
      </c>
      <c r="E19" t="n">
        <v>17</v>
      </c>
      <c r="F19" s="7" t="n">
        <v>420</v>
      </c>
      <c r="G19" s="7">
        <f>tblSalesDone[[#This Row],[Qty]]*tblSalesDone[[#This Row],[Unit Price]]</f>
        <v/>
      </c>
    </row>
    <row r="20">
      <c r="A20" t="inlineStr">
        <is>
          <t>INV-2619</t>
        </is>
      </c>
      <c r="B20" s="6" t="n">
        <v>46167</v>
      </c>
      <c r="C20" t="inlineStr">
        <is>
          <t>Mumbai</t>
        </is>
      </c>
      <c r="D20" t="inlineStr">
        <is>
          <t>Farhan Shaikh</t>
        </is>
      </c>
      <c r="E20" t="n">
        <v>2</v>
      </c>
      <c r="F20" s="7" t="n">
        <v>2890</v>
      </c>
      <c r="G20" s="7">
        <f>tblSalesDone[[#This Row],[Qty]]*tblSalesDone[[#This Row],[Unit Price]]</f>
        <v/>
      </c>
    </row>
    <row r="21">
      <c r="A21" t="inlineStr">
        <is>
          <t>INV-2620</t>
        </is>
      </c>
      <c r="B21" s="6" t="n">
        <v>46170</v>
      </c>
      <c r="C21" t="inlineStr">
        <is>
          <t>Nashik</t>
        </is>
      </c>
      <c r="D21" t="inlineStr">
        <is>
          <t>Meera Kulkarni</t>
        </is>
      </c>
      <c r="E21" t="n">
        <v>7</v>
      </c>
      <c r="F21" s="7" t="n">
        <v>155</v>
      </c>
      <c r="G21" s="7">
        <f>tblSalesDone[[#This Row],[Qty]]*tblSalesDone[[#This Row],[Unit Price]]</f>
        <v/>
      </c>
    </row>
    <row r="22">
      <c r="A22" t="inlineStr">
        <is>
          <t>Total</t>
        </is>
      </c>
      <c r="B22" s="6" t="n"/>
      <c r="F22" s="7" t="n"/>
      <c r="G22" s="7">
        <f>SUBTOTAL(109,tblSalesDone[Amount])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20" customWidth="1" min="4" max="4"/>
    <col width="12" customWidth="1" min="5" max="5"/>
    <col width="13" customWidth="1" min="6" max="6"/>
  </cols>
  <sheetData>
    <row r="1">
      <c r="A1" s="3" t="inlineStr">
        <is>
          <t>Region</t>
        </is>
      </c>
      <c r="B1" s="3" t="inlineStr">
        <is>
          <t>Branch</t>
        </is>
      </c>
      <c r="C1" s="3" t="inlineStr">
        <is>
          <t>Month</t>
        </is>
      </c>
      <c r="D1" s="3" t="inlineStr">
        <is>
          <t>Salesperson</t>
        </is>
      </c>
      <c r="E1" s="3" t="inlineStr">
        <is>
          <t>Sales</t>
        </is>
      </c>
      <c r="F1" s="3" t="inlineStr">
        <is>
          <t>FY Month No</t>
        </is>
      </c>
    </row>
    <row r="2">
      <c r="A2" t="inlineStr">
        <is>
          <t>East</t>
        </is>
      </c>
      <c r="B2" t="inlineStr">
        <is>
          <t>Kolkata</t>
        </is>
      </c>
      <c r="C2" t="inlineStr">
        <is>
          <t>Jun</t>
        </is>
      </c>
      <c r="D2" t="inlineStr">
        <is>
          <t>Arindam Ghosh</t>
        </is>
      </c>
      <c r="E2" s="7" t="n">
        <v>941000</v>
      </c>
      <c r="F2" s="8" t="n"/>
    </row>
    <row r="3">
      <c r="A3" t="inlineStr">
        <is>
          <t>East</t>
        </is>
      </c>
      <c r="B3" t="inlineStr">
        <is>
          <t>Kolkata</t>
        </is>
      </c>
      <c r="C3" t="inlineStr">
        <is>
          <t>Apr</t>
        </is>
      </c>
      <c r="D3" t="inlineStr">
        <is>
          <t>Arindam Ghosh</t>
        </is>
      </c>
      <c r="E3" s="7" t="n">
        <v>252000</v>
      </c>
      <c r="F3" s="8" t="n"/>
    </row>
    <row r="4">
      <c r="A4" t="inlineStr">
        <is>
          <t>West</t>
        </is>
      </c>
      <c r="B4" t="inlineStr">
        <is>
          <t>Ahmedabad</t>
        </is>
      </c>
      <c r="C4" t="inlineStr">
        <is>
          <t>Aug</t>
        </is>
      </c>
      <c r="D4" t="inlineStr">
        <is>
          <t>Tanvi Shah</t>
        </is>
      </c>
      <c r="E4" s="7" t="n">
        <v>535000</v>
      </c>
      <c r="F4" s="8" t="n"/>
    </row>
    <row r="5">
      <c r="A5" t="inlineStr">
        <is>
          <t>South</t>
        </is>
      </c>
      <c r="B5" t="inlineStr">
        <is>
          <t>Chennai</t>
        </is>
      </c>
      <c r="C5" t="inlineStr">
        <is>
          <t>Sep</t>
        </is>
      </c>
      <c r="D5" t="inlineStr">
        <is>
          <t>Lakshmi Srinivasan</t>
        </is>
      </c>
      <c r="E5" s="7" t="n">
        <v>433000</v>
      </c>
      <c r="F5" s="8" t="n"/>
    </row>
    <row r="6">
      <c r="A6" t="inlineStr">
        <is>
          <t>South</t>
        </is>
      </c>
      <c r="B6" t="inlineStr">
        <is>
          <t>Chennai</t>
        </is>
      </c>
      <c r="C6" t="inlineStr">
        <is>
          <t>Jun</t>
        </is>
      </c>
      <c r="D6" t="inlineStr">
        <is>
          <t>Lakshmi Srinivasan</t>
        </is>
      </c>
      <c r="E6" s="7" t="n">
        <v>769000</v>
      </c>
      <c r="F6" s="8" t="n"/>
    </row>
    <row r="7">
      <c r="A7" t="inlineStr">
        <is>
          <t>North</t>
        </is>
      </c>
      <c r="B7" t="inlineStr">
        <is>
          <t>Delhi</t>
        </is>
      </c>
      <c r="C7" t="inlineStr">
        <is>
          <t>Aug</t>
        </is>
      </c>
      <c r="D7" t="inlineStr">
        <is>
          <t>Neeraj Kapoor</t>
        </is>
      </c>
      <c r="E7" s="7" t="n">
        <v>277000</v>
      </c>
      <c r="F7" s="8" t="n"/>
    </row>
    <row r="8">
      <c r="A8" t="inlineStr">
        <is>
          <t>East</t>
        </is>
      </c>
      <c r="B8" t="inlineStr">
        <is>
          <t>Bhubaneswar</t>
        </is>
      </c>
      <c r="C8" t="inlineStr">
        <is>
          <t>May</t>
        </is>
      </c>
      <c r="D8" t="inlineStr">
        <is>
          <t>Smita Mohanty</t>
        </is>
      </c>
      <c r="E8" s="7" t="n">
        <v>811000</v>
      </c>
      <c r="F8" s="8" t="n"/>
    </row>
    <row r="9">
      <c r="A9" t="inlineStr">
        <is>
          <t>North</t>
        </is>
      </c>
      <c r="B9" t="inlineStr">
        <is>
          <t>Lucknow</t>
        </is>
      </c>
      <c r="C9" t="inlineStr">
        <is>
          <t>Sep</t>
        </is>
      </c>
      <c r="D9" t="inlineStr">
        <is>
          <t>Manoj Yadav</t>
        </is>
      </c>
      <c r="E9" s="7" t="n">
        <v>332000</v>
      </c>
      <c r="F9" s="8" t="n"/>
    </row>
    <row r="10">
      <c r="A10" t="inlineStr">
        <is>
          <t>West</t>
        </is>
      </c>
      <c r="B10" t="inlineStr">
        <is>
          <t>Ahmedabad</t>
        </is>
      </c>
      <c r="C10" t="inlineStr">
        <is>
          <t>Apr</t>
        </is>
      </c>
      <c r="D10" t="inlineStr">
        <is>
          <t>Tanvi Shah</t>
        </is>
      </c>
      <c r="E10" s="7" t="n">
        <v>803000</v>
      </c>
      <c r="F10" s="8" t="n"/>
    </row>
    <row r="11">
      <c r="A11" t="inlineStr">
        <is>
          <t>West</t>
        </is>
      </c>
      <c r="B11" t="inlineStr">
        <is>
          <t>Ahmedabad</t>
        </is>
      </c>
      <c r="C11" t="inlineStr">
        <is>
          <t>Apr</t>
        </is>
      </c>
      <c r="D11" t="inlineStr">
        <is>
          <t>Tanvi Shah</t>
        </is>
      </c>
      <c r="E11" s="7" t="n">
        <v>426000</v>
      </c>
      <c r="F11" s="8" t="n"/>
    </row>
    <row r="12">
      <c r="A12" t="inlineStr">
        <is>
          <t>North</t>
        </is>
      </c>
      <c r="B12" t="inlineStr">
        <is>
          <t>Delhi</t>
        </is>
      </c>
      <c r="C12" t="inlineStr">
        <is>
          <t>Jul</t>
        </is>
      </c>
      <c r="D12" t="inlineStr">
        <is>
          <t>Neeraj Kapoor</t>
        </is>
      </c>
      <c r="E12" s="7" t="n">
        <v>346000</v>
      </c>
      <c r="F12" s="8" t="n"/>
    </row>
    <row r="13">
      <c r="A13" t="inlineStr">
        <is>
          <t>West</t>
        </is>
      </c>
      <c r="B13" t="inlineStr">
        <is>
          <t>Ahmedabad</t>
        </is>
      </c>
      <c r="C13" t="inlineStr">
        <is>
          <t>Jun</t>
        </is>
      </c>
      <c r="D13" t="inlineStr">
        <is>
          <t>Tanvi Shah</t>
        </is>
      </c>
      <c r="E13" s="7" t="n">
        <v>356000</v>
      </c>
      <c r="F13" s="8" t="n"/>
    </row>
    <row r="14">
      <c r="A14" t="inlineStr">
        <is>
          <t>East</t>
        </is>
      </c>
      <c r="B14" t="inlineStr">
        <is>
          <t>Kolkata</t>
        </is>
      </c>
      <c r="C14" t="inlineStr">
        <is>
          <t>Aug</t>
        </is>
      </c>
      <c r="D14" t="inlineStr">
        <is>
          <t>Arindam Ghosh</t>
        </is>
      </c>
      <c r="E14" s="7" t="n">
        <v>450000</v>
      </c>
      <c r="F14" s="8" t="n"/>
    </row>
    <row r="15">
      <c r="A15" t="inlineStr">
        <is>
          <t>West</t>
        </is>
      </c>
      <c r="B15" t="inlineStr">
        <is>
          <t>Ahmedabad</t>
        </is>
      </c>
      <c r="C15" t="inlineStr">
        <is>
          <t>Sep</t>
        </is>
      </c>
      <c r="D15" t="inlineStr">
        <is>
          <t>Tanvi Shah</t>
        </is>
      </c>
      <c r="E15" s="7" t="n">
        <v>736000</v>
      </c>
      <c r="F15" s="8" t="n"/>
    </row>
    <row r="16">
      <c r="A16" t="inlineStr">
        <is>
          <t>South</t>
        </is>
      </c>
      <c r="B16" t="inlineStr">
        <is>
          <t>Chennai</t>
        </is>
      </c>
      <c r="C16" t="inlineStr">
        <is>
          <t>Jun</t>
        </is>
      </c>
      <c r="D16" t="inlineStr">
        <is>
          <t>Lakshmi Srinivasan</t>
        </is>
      </c>
      <c r="E16" s="7" t="n">
        <v>818000</v>
      </c>
      <c r="F16" s="8" t="n"/>
    </row>
    <row r="17">
      <c r="A17" t="inlineStr">
        <is>
          <t>East</t>
        </is>
      </c>
      <c r="B17" t="inlineStr">
        <is>
          <t>Kolkata</t>
        </is>
      </c>
      <c r="C17" t="inlineStr">
        <is>
          <t>Jul</t>
        </is>
      </c>
      <c r="D17" t="inlineStr">
        <is>
          <t>Arindam Ghosh</t>
        </is>
      </c>
      <c r="E17" s="7" t="n">
        <v>434000</v>
      </c>
      <c r="F17" s="8" t="n"/>
    </row>
    <row r="18">
      <c r="A18" t="inlineStr">
        <is>
          <t>North</t>
        </is>
      </c>
      <c r="B18" t="inlineStr">
        <is>
          <t>Delhi</t>
        </is>
      </c>
      <c r="C18" t="inlineStr">
        <is>
          <t>Jul</t>
        </is>
      </c>
      <c r="D18" t="inlineStr">
        <is>
          <t>Neeraj Kapoor</t>
        </is>
      </c>
      <c r="E18" s="7" t="n">
        <v>685000</v>
      </c>
      <c r="F18" s="8" t="n"/>
    </row>
    <row r="19">
      <c r="A19" t="inlineStr">
        <is>
          <t>East</t>
        </is>
      </c>
      <c r="B19" t="inlineStr">
        <is>
          <t>Kolkata</t>
        </is>
      </c>
      <c r="C19" t="inlineStr">
        <is>
          <t>Aug</t>
        </is>
      </c>
      <c r="D19" t="inlineStr">
        <is>
          <t>Arindam Ghosh</t>
        </is>
      </c>
      <c r="E19" s="7" t="n">
        <v>363000</v>
      </c>
      <c r="F19" s="8" t="n"/>
    </row>
    <row r="20">
      <c r="A20" t="inlineStr">
        <is>
          <t>West</t>
        </is>
      </c>
      <c r="B20" t="inlineStr">
        <is>
          <t>Ahmedabad</t>
        </is>
      </c>
      <c r="C20" t="inlineStr">
        <is>
          <t>May</t>
        </is>
      </c>
      <c r="D20" t="inlineStr">
        <is>
          <t>Tanvi Shah</t>
        </is>
      </c>
      <c r="E20" s="7" t="n">
        <v>663000</v>
      </c>
      <c r="F20" s="8" t="n"/>
    </row>
    <row r="21">
      <c r="A21" t="inlineStr">
        <is>
          <t>South</t>
        </is>
      </c>
      <c r="B21" t="inlineStr">
        <is>
          <t>Chennai</t>
        </is>
      </c>
      <c r="C21" t="inlineStr">
        <is>
          <t>Apr</t>
        </is>
      </c>
      <c r="D21" t="inlineStr">
        <is>
          <t>Lakshmi Srinivasan</t>
        </is>
      </c>
      <c r="E21" s="7" t="n">
        <v>402000</v>
      </c>
      <c r="F2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20" customWidth="1" min="4" max="4"/>
    <col width="12" customWidth="1" min="5" max="5"/>
    <col width="13" customWidth="1" min="6" max="6"/>
  </cols>
  <sheetData>
    <row r="1">
      <c r="A1" s="3" t="inlineStr">
        <is>
          <t>Region</t>
        </is>
      </c>
      <c r="B1" s="3" t="inlineStr">
        <is>
          <t>Branch</t>
        </is>
      </c>
      <c r="C1" s="3" t="inlineStr">
        <is>
          <t>Month</t>
        </is>
      </c>
      <c r="D1" s="3" t="inlineStr">
        <is>
          <t>Salesperson</t>
        </is>
      </c>
      <c r="E1" s="3" t="inlineStr">
        <is>
          <t>Sales</t>
        </is>
      </c>
      <c r="F1" s="3" t="inlineStr">
        <is>
          <t>FY Month No</t>
        </is>
      </c>
    </row>
    <row r="2">
      <c r="A2" t="inlineStr">
        <is>
          <t>East</t>
        </is>
      </c>
      <c r="B2" t="inlineStr">
        <is>
          <t>Kolkata</t>
        </is>
      </c>
      <c r="C2" t="inlineStr">
        <is>
          <t>Apr</t>
        </is>
      </c>
      <c r="D2" t="inlineStr">
        <is>
          <t>Arindam Ghosh</t>
        </is>
      </c>
      <c r="E2" s="7" t="n">
        <v>252000</v>
      </c>
      <c r="F2">
        <f>MATCH(C2,{"Apr","May","Jun","Jul","Aug","Sep","Oct","Nov","Dec","Jan","Feb","Mar"},0)</f>
        <v/>
      </c>
    </row>
    <row r="3">
      <c r="A3" t="inlineStr">
        <is>
          <t>South</t>
        </is>
      </c>
      <c r="B3" t="inlineStr">
        <is>
          <t>Chennai</t>
        </is>
      </c>
      <c r="C3" t="inlineStr">
        <is>
          <t>Apr</t>
        </is>
      </c>
      <c r="D3" t="inlineStr">
        <is>
          <t>Lakshmi Srinivasan</t>
        </is>
      </c>
      <c r="E3" s="7" t="n">
        <v>402000</v>
      </c>
      <c r="F3">
        <f>MATCH(C3,{"Apr","May","Jun","Jul","Aug","Sep","Oct","Nov","Dec","Jan","Feb","Mar"},0)</f>
        <v/>
      </c>
    </row>
    <row r="4">
      <c r="A4" t="inlineStr">
        <is>
          <t>West</t>
        </is>
      </c>
      <c r="B4" t="inlineStr">
        <is>
          <t>Ahmedabad</t>
        </is>
      </c>
      <c r="C4" t="inlineStr">
        <is>
          <t>Apr</t>
        </is>
      </c>
      <c r="D4" t="inlineStr">
        <is>
          <t>Tanvi Shah</t>
        </is>
      </c>
      <c r="E4" s="7" t="n">
        <v>803000</v>
      </c>
      <c r="F4">
        <f>MATCH(C4,{"Apr","May","Jun","Jul","Aug","Sep","Oct","Nov","Dec","Jan","Feb","Mar"},0)</f>
        <v/>
      </c>
    </row>
    <row r="5">
      <c r="A5" t="inlineStr">
        <is>
          <t>West</t>
        </is>
      </c>
      <c r="B5" t="inlineStr">
        <is>
          <t>Ahmedabad</t>
        </is>
      </c>
      <c r="C5" t="inlineStr">
        <is>
          <t>Apr</t>
        </is>
      </c>
      <c r="D5" t="inlineStr">
        <is>
          <t>Tanvi Shah</t>
        </is>
      </c>
      <c r="E5" s="7" t="n">
        <v>426000</v>
      </c>
      <c r="F5">
        <f>MATCH(C5,{"Apr","May","Jun","Jul","Aug","Sep","Oct","Nov","Dec","Jan","Feb","Mar"},0)</f>
        <v/>
      </c>
    </row>
    <row r="6">
      <c r="A6" t="inlineStr">
        <is>
          <t>East</t>
        </is>
      </c>
      <c r="B6" t="inlineStr">
        <is>
          <t>Bhubaneswar</t>
        </is>
      </c>
      <c r="C6" t="inlineStr">
        <is>
          <t>May</t>
        </is>
      </c>
      <c r="D6" t="inlineStr">
        <is>
          <t>Smita Mohanty</t>
        </is>
      </c>
      <c r="E6" s="7" t="n">
        <v>811000</v>
      </c>
      <c r="F6">
        <f>MATCH(C6,{"Apr","May","Jun","Jul","Aug","Sep","Oct","Nov","Dec","Jan","Feb","Mar"},0)</f>
        <v/>
      </c>
    </row>
    <row r="7">
      <c r="A7" t="inlineStr">
        <is>
          <t>West</t>
        </is>
      </c>
      <c r="B7" t="inlineStr">
        <is>
          <t>Ahmedabad</t>
        </is>
      </c>
      <c r="C7" t="inlineStr">
        <is>
          <t>May</t>
        </is>
      </c>
      <c r="D7" t="inlineStr">
        <is>
          <t>Tanvi Shah</t>
        </is>
      </c>
      <c r="E7" s="7" t="n">
        <v>663000</v>
      </c>
      <c r="F7">
        <f>MATCH(C7,{"Apr","May","Jun","Jul","Aug","Sep","Oct","Nov","Dec","Jan","Feb","Mar"},0)</f>
        <v/>
      </c>
    </row>
    <row r="8">
      <c r="A8" t="inlineStr">
        <is>
          <t>East</t>
        </is>
      </c>
      <c r="B8" t="inlineStr">
        <is>
          <t>Kolkata</t>
        </is>
      </c>
      <c r="C8" t="inlineStr">
        <is>
          <t>Jun</t>
        </is>
      </c>
      <c r="D8" t="inlineStr">
        <is>
          <t>Arindam Ghosh</t>
        </is>
      </c>
      <c r="E8" s="7" t="n">
        <v>941000</v>
      </c>
      <c r="F8">
        <f>MATCH(C8,{"Apr","May","Jun","Jul","Aug","Sep","Oct","Nov","Dec","Jan","Feb","Mar"},0)</f>
        <v/>
      </c>
    </row>
    <row r="9">
      <c r="A9" t="inlineStr">
        <is>
          <t>South</t>
        </is>
      </c>
      <c r="B9" t="inlineStr">
        <is>
          <t>Chennai</t>
        </is>
      </c>
      <c r="C9" t="inlineStr">
        <is>
          <t>Jun</t>
        </is>
      </c>
      <c r="D9" t="inlineStr">
        <is>
          <t>Lakshmi Srinivasan</t>
        </is>
      </c>
      <c r="E9" s="7" t="n">
        <v>818000</v>
      </c>
      <c r="F9">
        <f>MATCH(C9,{"Apr","May","Jun","Jul","Aug","Sep","Oct","Nov","Dec","Jan","Feb","Mar"},0)</f>
        <v/>
      </c>
    </row>
    <row r="10">
      <c r="A10" t="inlineStr">
        <is>
          <t>South</t>
        </is>
      </c>
      <c r="B10" t="inlineStr">
        <is>
          <t>Chennai</t>
        </is>
      </c>
      <c r="C10" t="inlineStr">
        <is>
          <t>Jun</t>
        </is>
      </c>
      <c r="D10" t="inlineStr">
        <is>
          <t>Lakshmi Srinivasan</t>
        </is>
      </c>
      <c r="E10" s="7" t="n">
        <v>769000</v>
      </c>
      <c r="F10">
        <f>MATCH(C10,{"Apr","May","Jun","Jul","Aug","Sep","Oct","Nov","Dec","Jan","Feb","Mar"},0)</f>
        <v/>
      </c>
    </row>
    <row r="11">
      <c r="A11" t="inlineStr">
        <is>
          <t>West</t>
        </is>
      </c>
      <c r="B11" t="inlineStr">
        <is>
          <t>Ahmedabad</t>
        </is>
      </c>
      <c r="C11" t="inlineStr">
        <is>
          <t>Jun</t>
        </is>
      </c>
      <c r="D11" t="inlineStr">
        <is>
          <t>Tanvi Shah</t>
        </is>
      </c>
      <c r="E11" s="7" t="n">
        <v>356000</v>
      </c>
      <c r="F11">
        <f>MATCH(C11,{"Apr","May","Jun","Jul","Aug","Sep","Oct","Nov","Dec","Jan","Feb","Mar"},0)</f>
        <v/>
      </c>
    </row>
    <row r="12">
      <c r="A12" t="inlineStr">
        <is>
          <t>East</t>
        </is>
      </c>
      <c r="B12" t="inlineStr">
        <is>
          <t>Kolkata</t>
        </is>
      </c>
      <c r="C12" t="inlineStr">
        <is>
          <t>Jul</t>
        </is>
      </c>
      <c r="D12" t="inlineStr">
        <is>
          <t>Arindam Ghosh</t>
        </is>
      </c>
      <c r="E12" s="7" t="n">
        <v>434000</v>
      </c>
      <c r="F12">
        <f>MATCH(C12,{"Apr","May","Jun","Jul","Aug","Sep","Oct","Nov","Dec","Jan","Feb","Mar"},0)</f>
        <v/>
      </c>
    </row>
    <row r="13">
      <c r="A13" t="inlineStr">
        <is>
          <t>North</t>
        </is>
      </c>
      <c r="B13" t="inlineStr">
        <is>
          <t>Delhi</t>
        </is>
      </c>
      <c r="C13" t="inlineStr">
        <is>
          <t>Jul</t>
        </is>
      </c>
      <c r="D13" t="inlineStr">
        <is>
          <t>Neeraj Kapoor</t>
        </is>
      </c>
      <c r="E13" s="7" t="n">
        <v>685000</v>
      </c>
      <c r="F13">
        <f>MATCH(C13,{"Apr","May","Jun","Jul","Aug","Sep","Oct","Nov","Dec","Jan","Feb","Mar"},0)</f>
        <v/>
      </c>
    </row>
    <row r="14">
      <c r="A14" t="inlineStr">
        <is>
          <t>North</t>
        </is>
      </c>
      <c r="B14" t="inlineStr">
        <is>
          <t>Delhi</t>
        </is>
      </c>
      <c r="C14" t="inlineStr">
        <is>
          <t>Jul</t>
        </is>
      </c>
      <c r="D14" t="inlineStr">
        <is>
          <t>Neeraj Kapoor</t>
        </is>
      </c>
      <c r="E14" s="7" t="n">
        <v>346000</v>
      </c>
      <c r="F14">
        <f>MATCH(C14,{"Apr","May","Jun","Jul","Aug","Sep","Oct","Nov","Dec","Jan","Feb","Mar"},0)</f>
        <v/>
      </c>
    </row>
    <row r="15">
      <c r="A15" t="inlineStr">
        <is>
          <t>East</t>
        </is>
      </c>
      <c r="B15" t="inlineStr">
        <is>
          <t>Kolkata</t>
        </is>
      </c>
      <c r="C15" t="inlineStr">
        <is>
          <t>Aug</t>
        </is>
      </c>
      <c r="D15" t="inlineStr">
        <is>
          <t>Arindam Ghosh</t>
        </is>
      </c>
      <c r="E15" s="7" t="n">
        <v>450000</v>
      </c>
      <c r="F15">
        <f>MATCH(C15,{"Apr","May","Jun","Jul","Aug","Sep","Oct","Nov","Dec","Jan","Feb","Mar"},0)</f>
        <v/>
      </c>
    </row>
    <row r="16">
      <c r="A16" t="inlineStr">
        <is>
          <t>East</t>
        </is>
      </c>
      <c r="B16" t="inlineStr">
        <is>
          <t>Kolkata</t>
        </is>
      </c>
      <c r="C16" t="inlineStr">
        <is>
          <t>Aug</t>
        </is>
      </c>
      <c r="D16" t="inlineStr">
        <is>
          <t>Arindam Ghosh</t>
        </is>
      </c>
      <c r="E16" s="7" t="n">
        <v>363000</v>
      </c>
      <c r="F16">
        <f>MATCH(C16,{"Apr","May","Jun","Jul","Aug","Sep","Oct","Nov","Dec","Jan","Feb","Mar"},0)</f>
        <v/>
      </c>
    </row>
    <row r="17">
      <c r="A17" t="inlineStr">
        <is>
          <t>North</t>
        </is>
      </c>
      <c r="B17" t="inlineStr">
        <is>
          <t>Delhi</t>
        </is>
      </c>
      <c r="C17" t="inlineStr">
        <is>
          <t>Aug</t>
        </is>
      </c>
      <c r="D17" t="inlineStr">
        <is>
          <t>Neeraj Kapoor</t>
        </is>
      </c>
      <c r="E17" s="7" t="n">
        <v>277000</v>
      </c>
      <c r="F17">
        <f>MATCH(C17,{"Apr","May","Jun","Jul","Aug","Sep","Oct","Nov","Dec","Jan","Feb","Mar"},0)</f>
        <v/>
      </c>
    </row>
    <row r="18">
      <c r="A18" t="inlineStr">
        <is>
          <t>West</t>
        </is>
      </c>
      <c r="B18" t="inlineStr">
        <is>
          <t>Ahmedabad</t>
        </is>
      </c>
      <c r="C18" t="inlineStr">
        <is>
          <t>Aug</t>
        </is>
      </c>
      <c r="D18" t="inlineStr">
        <is>
          <t>Tanvi Shah</t>
        </is>
      </c>
      <c r="E18" s="7" t="n">
        <v>535000</v>
      </c>
      <c r="F18">
        <f>MATCH(C18,{"Apr","May","Jun","Jul","Aug","Sep","Oct","Nov","Dec","Jan","Feb","Mar"},0)</f>
        <v/>
      </c>
    </row>
    <row r="19">
      <c r="A19" t="inlineStr">
        <is>
          <t>North</t>
        </is>
      </c>
      <c r="B19" t="inlineStr">
        <is>
          <t>Lucknow</t>
        </is>
      </c>
      <c r="C19" t="inlineStr">
        <is>
          <t>Sep</t>
        </is>
      </c>
      <c r="D19" t="inlineStr">
        <is>
          <t>Manoj Yadav</t>
        </is>
      </c>
      <c r="E19" s="7" t="n">
        <v>332000</v>
      </c>
      <c r="F19">
        <f>MATCH(C19,{"Apr","May","Jun","Jul","Aug","Sep","Oct","Nov","Dec","Jan","Feb","Mar"},0)</f>
        <v/>
      </c>
    </row>
    <row r="20">
      <c r="A20" t="inlineStr">
        <is>
          <t>South</t>
        </is>
      </c>
      <c r="B20" t="inlineStr">
        <is>
          <t>Chennai</t>
        </is>
      </c>
      <c r="C20" t="inlineStr">
        <is>
          <t>Sep</t>
        </is>
      </c>
      <c r="D20" t="inlineStr">
        <is>
          <t>Lakshmi Srinivasan</t>
        </is>
      </c>
      <c r="E20" s="7" t="n">
        <v>433000</v>
      </c>
      <c r="F20">
        <f>MATCH(C20,{"Apr","May","Jun","Jul","Aug","Sep","Oct","Nov","Dec","Jan","Feb","Mar"},0)</f>
        <v/>
      </c>
    </row>
    <row r="21">
      <c r="A21" t="inlineStr">
        <is>
          <t>West</t>
        </is>
      </c>
      <c r="B21" t="inlineStr">
        <is>
          <t>Ahmedabad</t>
        </is>
      </c>
      <c r="C21" t="inlineStr">
        <is>
          <t>Sep</t>
        </is>
      </c>
      <c r="D21" t="inlineStr">
        <is>
          <t>Tanvi Shah</t>
        </is>
      </c>
      <c r="E21" s="7" t="n">
        <v>736000</v>
      </c>
      <c r="F21">
        <f>MATCH(C21,{"Apr","May","Jun","Jul","Aug","Sep","Oct","Nov","Dec","Jan","Feb","Mar"},0)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12" customWidth="1" min="4" max="4"/>
    <col width="10" customWidth="1" min="5" max="5"/>
    <col width="11" customWidth="1" min="6" max="6"/>
    <col width="3" customWidth="1" min="7" max="7"/>
    <col width="32" customWidth="1" min="8" max="8"/>
  </cols>
  <sheetData>
    <row r="1">
      <c r="A1" t="inlineStr">
        <is>
          <t>Order Date</t>
        </is>
      </c>
      <c r="B1" t="inlineStr">
        <is>
          <t>Customer</t>
        </is>
      </c>
      <c r="C1" t="inlineStr">
        <is>
          <t>City</t>
        </is>
      </c>
      <c r="D1" t="inlineStr">
        <is>
          <t>Category</t>
        </is>
      </c>
      <c r="E1" t="inlineStr">
        <is>
          <t>Status</t>
        </is>
      </c>
      <c r="F1" t="inlineStr">
        <is>
          <t>Amount</t>
        </is>
      </c>
      <c r="H1" s="4" t="inlineStr">
        <is>
          <t>Total of visible rows (SUBTOTAL)</t>
        </is>
      </c>
    </row>
    <row r="2">
      <c r="A2" s="6" t="n">
        <v>46115</v>
      </c>
      <c r="B2" t="inlineStr">
        <is>
          <t>Balaji Agencies</t>
        </is>
      </c>
      <c r="C2" t="inlineStr">
        <is>
          <t>Mumbai</t>
        </is>
      </c>
      <c r="D2" t="inlineStr">
        <is>
          <t>Electronics</t>
        </is>
      </c>
      <c r="E2" t="inlineStr">
        <is>
          <t>Delivered</t>
        </is>
      </c>
      <c r="F2" s="7" t="n">
        <v>64700</v>
      </c>
      <c r="H2" s="5" t="n"/>
    </row>
    <row r="3">
      <c r="A3" s="6" t="n">
        <v>46123</v>
      </c>
      <c r="B3" t="inlineStr">
        <is>
          <t>Balaji Agencies</t>
        </is>
      </c>
      <c r="C3" t="inlineStr">
        <is>
          <t>Nagpur</t>
        </is>
      </c>
      <c r="D3" t="inlineStr">
        <is>
          <t>Stationery</t>
        </is>
      </c>
      <c r="E3" t="inlineStr">
        <is>
          <t>Pending</t>
        </is>
      </c>
      <c r="F3" s="7" t="n">
        <v>31200</v>
      </c>
      <c r="H3" s="9" t="inlineStr">
        <is>
          <t>Total of all rows (SUM)</t>
        </is>
      </c>
    </row>
    <row r="4">
      <c r="A4" s="6" t="n">
        <v>46131</v>
      </c>
      <c r="B4" t="inlineStr">
        <is>
          <t>Kumar Stores</t>
        </is>
      </c>
      <c r="C4" t="inlineStr">
        <is>
          <t>Nagpur</t>
        </is>
      </c>
      <c r="D4" t="inlineStr">
        <is>
          <t>Furniture</t>
        </is>
      </c>
      <c r="E4" t="inlineStr">
        <is>
          <t>Delivered</t>
        </is>
      </c>
      <c r="F4" s="7" t="n">
        <v>72700</v>
      </c>
      <c r="H4" s="5" t="n"/>
    </row>
    <row r="5">
      <c r="A5" s="6" t="n">
        <v>46139</v>
      </c>
      <c r="B5" t="inlineStr">
        <is>
          <t>Balaji Agencies</t>
        </is>
      </c>
      <c r="C5" t="inlineStr">
        <is>
          <t>Nagpur</t>
        </is>
      </c>
      <c r="D5" t="inlineStr">
        <is>
          <t>Furniture</t>
        </is>
      </c>
      <c r="E5" t="inlineStr">
        <is>
          <t>Delivered</t>
        </is>
      </c>
      <c r="F5" s="7" t="n">
        <v>13500</v>
      </c>
      <c r="H5" s="4" t="inlineStr">
        <is>
          <t>Challenge: visible order count</t>
        </is>
      </c>
    </row>
    <row r="6">
      <c r="A6" s="6" t="n">
        <v>46147</v>
      </c>
      <c r="B6" t="inlineStr">
        <is>
          <t>Mehta &amp; Sons</t>
        </is>
      </c>
      <c r="C6" t="inlineStr">
        <is>
          <t>Nagpur</t>
        </is>
      </c>
      <c r="D6" t="inlineStr">
        <is>
          <t>Electronics</t>
        </is>
      </c>
      <c r="E6" t="inlineStr">
        <is>
          <t>Delivered</t>
        </is>
      </c>
      <c r="F6" s="7" t="n">
        <v>13300</v>
      </c>
      <c r="H6" s="8" t="n"/>
    </row>
    <row r="7">
      <c r="A7" s="6" t="n">
        <v>46155</v>
      </c>
      <c r="B7" t="inlineStr">
        <is>
          <t>Shree Ganesh Traders</t>
        </is>
      </c>
      <c r="C7" t="inlineStr">
        <is>
          <t>Pune</t>
        </is>
      </c>
      <c r="D7" t="inlineStr">
        <is>
          <t>Stationery</t>
        </is>
      </c>
      <c r="E7" t="inlineStr">
        <is>
          <t>Delivered</t>
        </is>
      </c>
      <c r="F7" s="7" t="n">
        <v>89400</v>
      </c>
    </row>
    <row r="8">
      <c r="A8" s="6" t="n">
        <v>46163</v>
      </c>
      <c r="B8" t="inlineStr">
        <is>
          <t>Sharma Stationers</t>
        </is>
      </c>
      <c r="C8" t="inlineStr">
        <is>
          <t>Mumbai</t>
        </is>
      </c>
      <c r="D8" t="inlineStr">
        <is>
          <t>Stationery</t>
        </is>
      </c>
      <c r="E8" t="inlineStr">
        <is>
          <t>Delivered</t>
        </is>
      </c>
      <c r="F8" s="7" t="n">
        <v>31100</v>
      </c>
    </row>
    <row r="9">
      <c r="A9" s="6" t="n">
        <v>46171</v>
      </c>
      <c r="B9" t="inlineStr">
        <is>
          <t>Sharma Stationers</t>
        </is>
      </c>
      <c r="C9" t="inlineStr">
        <is>
          <t>Nagpur</t>
        </is>
      </c>
      <c r="D9" t="inlineStr">
        <is>
          <t>Stationery</t>
        </is>
      </c>
      <c r="E9" t="inlineStr">
        <is>
          <t>Pending</t>
        </is>
      </c>
      <c r="F9" s="7" t="n">
        <v>40500</v>
      </c>
    </row>
    <row r="10">
      <c r="A10" s="6" t="n">
        <v>46179</v>
      </c>
      <c r="B10" t="inlineStr">
        <is>
          <t>Balaji Agencies</t>
        </is>
      </c>
      <c r="C10" t="inlineStr">
        <is>
          <t>Mumbai</t>
        </is>
      </c>
      <c r="D10" t="inlineStr">
        <is>
          <t>Furniture</t>
        </is>
      </c>
      <c r="E10" t="inlineStr">
        <is>
          <t>Delivered</t>
        </is>
      </c>
      <c r="F10" s="7" t="n">
        <v>53600</v>
      </c>
    </row>
    <row r="11">
      <c r="A11" s="6" t="n">
        <v>46187</v>
      </c>
      <c r="B11" t="inlineStr">
        <is>
          <t>Om Sai Enterprises</t>
        </is>
      </c>
      <c r="C11" t="inlineStr">
        <is>
          <t>Mumbai</t>
        </is>
      </c>
      <c r="D11" t="inlineStr">
        <is>
          <t>Stationery</t>
        </is>
      </c>
      <c r="E11" t="inlineStr">
        <is>
          <t>Delivered</t>
        </is>
      </c>
      <c r="F11" s="7" t="n">
        <v>19200</v>
      </c>
    </row>
    <row r="12">
      <c r="A12" s="6" t="n">
        <v>46195</v>
      </c>
      <c r="B12" t="inlineStr">
        <is>
          <t>Om Sai Enterprises</t>
        </is>
      </c>
      <c r="C12" t="inlineStr">
        <is>
          <t>Nagpur</t>
        </is>
      </c>
      <c r="D12" t="inlineStr">
        <is>
          <t>Electronics</t>
        </is>
      </c>
      <c r="E12" t="inlineStr">
        <is>
          <t>Delivered</t>
        </is>
      </c>
      <c r="F12" s="7" t="n">
        <v>20500</v>
      </c>
    </row>
    <row r="13">
      <c r="A13" s="6" t="n">
        <v>46203</v>
      </c>
      <c r="B13" t="inlineStr">
        <is>
          <t>Balaji Agencies</t>
        </is>
      </c>
      <c r="C13" t="inlineStr">
        <is>
          <t>Nagpur</t>
        </is>
      </c>
      <c r="D13" t="inlineStr">
        <is>
          <t>Furniture</t>
        </is>
      </c>
      <c r="E13" t="inlineStr">
        <is>
          <t>Delivered</t>
        </is>
      </c>
      <c r="F13" s="7" t="n">
        <v>18000</v>
      </c>
    </row>
    <row r="14">
      <c r="A14" s="6" t="n">
        <v>46211</v>
      </c>
      <c r="B14" t="inlineStr">
        <is>
          <t>Balaji Agencies</t>
        </is>
      </c>
      <c r="C14" t="inlineStr">
        <is>
          <t>Nashik</t>
        </is>
      </c>
      <c r="D14" t="inlineStr">
        <is>
          <t>Furniture</t>
        </is>
      </c>
      <c r="E14" t="inlineStr">
        <is>
          <t>Pending</t>
        </is>
      </c>
      <c r="F14" s="7" t="n">
        <v>7000</v>
      </c>
    </row>
    <row r="15">
      <c r="A15" s="6" t="n">
        <v>46219</v>
      </c>
      <c r="B15" t="inlineStr">
        <is>
          <t>Om Sai Enterprises</t>
        </is>
      </c>
      <c r="C15" t="inlineStr">
        <is>
          <t>Mumbai</t>
        </is>
      </c>
      <c r="D15" t="inlineStr">
        <is>
          <t>Stationery</t>
        </is>
      </c>
      <c r="E15" t="inlineStr">
        <is>
          <t>Pending</t>
        </is>
      </c>
      <c r="F15" s="7" t="n">
        <v>32000</v>
      </c>
    </row>
    <row r="16">
      <c r="A16" s="6" t="n">
        <v>46227</v>
      </c>
      <c r="B16" t="inlineStr">
        <is>
          <t>Mehta &amp; Sons</t>
        </is>
      </c>
      <c r="C16" t="inlineStr">
        <is>
          <t>Pune</t>
        </is>
      </c>
      <c r="D16" t="inlineStr">
        <is>
          <t>Electronics</t>
        </is>
      </c>
      <c r="E16" t="inlineStr">
        <is>
          <t>Delivered</t>
        </is>
      </c>
      <c r="F16" s="7" t="n">
        <v>66100</v>
      </c>
    </row>
    <row r="17">
      <c r="A17" s="6" t="n">
        <v>46235</v>
      </c>
      <c r="B17" t="inlineStr">
        <is>
          <t>Shree Ganesh Traders</t>
        </is>
      </c>
      <c r="C17" t="inlineStr">
        <is>
          <t>Mumbai</t>
        </is>
      </c>
      <c r="D17" t="inlineStr">
        <is>
          <t>Stationery</t>
        </is>
      </c>
      <c r="E17" t="inlineStr">
        <is>
          <t>Delivered</t>
        </is>
      </c>
      <c r="F17" s="7" t="n">
        <v>28200</v>
      </c>
    </row>
    <row r="18">
      <c r="A18" s="6" t="n">
        <v>46243</v>
      </c>
      <c r="B18" t="inlineStr">
        <is>
          <t>Om Sai Enterprises</t>
        </is>
      </c>
      <c r="C18" t="inlineStr">
        <is>
          <t>Pune</t>
        </is>
      </c>
      <c r="D18" t="inlineStr">
        <is>
          <t>Furniture</t>
        </is>
      </c>
      <c r="E18" t="inlineStr">
        <is>
          <t>Pending</t>
        </is>
      </c>
      <c r="F18" s="7" t="n">
        <v>81700</v>
      </c>
    </row>
    <row r="19">
      <c r="A19" s="6" t="n">
        <v>46251</v>
      </c>
      <c r="B19" t="inlineStr">
        <is>
          <t>Kumar Stores</t>
        </is>
      </c>
      <c r="C19" t="inlineStr">
        <is>
          <t>Pune</t>
        </is>
      </c>
      <c r="D19" t="inlineStr">
        <is>
          <t>Electronics</t>
        </is>
      </c>
      <c r="E19" t="inlineStr">
        <is>
          <t>Delivered</t>
        </is>
      </c>
      <c r="F19" s="7" t="n">
        <v>34800</v>
      </c>
    </row>
    <row r="20">
      <c r="A20" s="6" t="n">
        <v>46259</v>
      </c>
      <c r="B20" t="inlineStr">
        <is>
          <t>Shree Ganesh Traders</t>
        </is>
      </c>
      <c r="C20" t="inlineStr">
        <is>
          <t>Mumbai</t>
        </is>
      </c>
      <c r="D20" t="inlineStr">
        <is>
          <t>Furniture</t>
        </is>
      </c>
      <c r="E20" t="inlineStr">
        <is>
          <t>Pending</t>
        </is>
      </c>
      <c r="F20" s="7" t="n">
        <v>36700</v>
      </c>
    </row>
    <row r="21">
      <c r="A21" s="6" t="n">
        <v>46267</v>
      </c>
      <c r="B21" t="inlineStr">
        <is>
          <t>Mehta &amp; Sons</t>
        </is>
      </c>
      <c r="C21" t="inlineStr">
        <is>
          <t>Mumbai</t>
        </is>
      </c>
      <c r="D21" t="inlineStr">
        <is>
          <t>Stationery</t>
        </is>
      </c>
      <c r="E21" t="inlineStr">
        <is>
          <t>Delivered</t>
        </is>
      </c>
      <c r="F21" s="7" t="n">
        <v>13300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12" customWidth="1" min="4" max="4"/>
    <col width="10" customWidth="1" min="5" max="5"/>
    <col width="11" customWidth="1" min="6" max="6"/>
    <col width="3" customWidth="1" min="7" max="7"/>
    <col width="32" customWidth="1" min="8" max="8"/>
  </cols>
  <sheetData>
    <row r="1">
      <c r="A1" t="inlineStr">
        <is>
          <t>Order Date</t>
        </is>
      </c>
      <c r="B1" t="inlineStr">
        <is>
          <t>Customer</t>
        </is>
      </c>
      <c r="C1" t="inlineStr">
        <is>
          <t>City</t>
        </is>
      </c>
      <c r="D1" t="inlineStr">
        <is>
          <t>Category</t>
        </is>
      </c>
      <c r="E1" t="inlineStr">
        <is>
          <t>Status</t>
        </is>
      </c>
      <c r="F1" t="inlineStr">
        <is>
          <t>Amount</t>
        </is>
      </c>
      <c r="H1" s="4" t="inlineStr">
        <is>
          <t>Total of visible rows (SUBTOTAL)</t>
        </is>
      </c>
    </row>
    <row r="2">
      <c r="A2" s="6" t="n">
        <v>46115</v>
      </c>
      <c r="B2" t="inlineStr">
        <is>
          <t>Balaji Agencies</t>
        </is>
      </c>
      <c r="C2" t="inlineStr">
        <is>
          <t>Mumbai</t>
        </is>
      </c>
      <c r="D2" t="inlineStr">
        <is>
          <t>Electronics</t>
        </is>
      </c>
      <c r="E2" t="inlineStr">
        <is>
          <t>Delivered</t>
        </is>
      </c>
      <c r="F2" s="7" t="n">
        <v>64700</v>
      </c>
      <c r="H2" s="7">
        <f>SUBTOTAL(109,tblOrdersDone[Amount])</f>
        <v/>
      </c>
    </row>
    <row r="3">
      <c r="A3" s="6" t="n">
        <v>46123</v>
      </c>
      <c r="B3" t="inlineStr">
        <is>
          <t>Balaji Agencies</t>
        </is>
      </c>
      <c r="C3" t="inlineStr">
        <is>
          <t>Nagpur</t>
        </is>
      </c>
      <c r="D3" t="inlineStr">
        <is>
          <t>Stationery</t>
        </is>
      </c>
      <c r="E3" t="inlineStr">
        <is>
          <t>Pending</t>
        </is>
      </c>
      <c r="F3" s="7" t="n">
        <v>31200</v>
      </c>
      <c r="H3" s="9" t="inlineStr">
        <is>
          <t>Total of all rows (SUM)</t>
        </is>
      </c>
    </row>
    <row r="4">
      <c r="A4" s="6" t="n">
        <v>46131</v>
      </c>
      <c r="B4" t="inlineStr">
        <is>
          <t>Kumar Stores</t>
        </is>
      </c>
      <c r="C4" t="inlineStr">
        <is>
          <t>Nagpur</t>
        </is>
      </c>
      <c r="D4" t="inlineStr">
        <is>
          <t>Furniture</t>
        </is>
      </c>
      <c r="E4" t="inlineStr">
        <is>
          <t>Delivered</t>
        </is>
      </c>
      <c r="F4" s="7" t="n">
        <v>72700</v>
      </c>
      <c r="H4" s="7">
        <f>SUM(tblOrdersDone[Amount])</f>
        <v/>
      </c>
    </row>
    <row r="5">
      <c r="A5" s="6" t="n">
        <v>46139</v>
      </c>
      <c r="B5" t="inlineStr">
        <is>
          <t>Balaji Agencies</t>
        </is>
      </c>
      <c r="C5" t="inlineStr">
        <is>
          <t>Nagpur</t>
        </is>
      </c>
      <c r="D5" t="inlineStr">
        <is>
          <t>Furniture</t>
        </is>
      </c>
      <c r="E5" t="inlineStr">
        <is>
          <t>Delivered</t>
        </is>
      </c>
      <c r="F5" s="7" t="n">
        <v>13500</v>
      </c>
      <c r="H5" s="4" t="inlineStr">
        <is>
          <t>Challenge: visible order count</t>
        </is>
      </c>
    </row>
    <row r="6">
      <c r="A6" s="6" t="n">
        <v>46147</v>
      </c>
      <c r="B6" t="inlineStr">
        <is>
          <t>Mehta &amp; Sons</t>
        </is>
      </c>
      <c r="C6" t="inlineStr">
        <is>
          <t>Nagpur</t>
        </is>
      </c>
      <c r="D6" t="inlineStr">
        <is>
          <t>Electronics</t>
        </is>
      </c>
      <c r="E6" t="inlineStr">
        <is>
          <t>Delivered</t>
        </is>
      </c>
      <c r="F6" s="7" t="n">
        <v>13300</v>
      </c>
      <c r="H6">
        <f>SUBTOTAL(103,tblOrdersDone[Customer])</f>
        <v/>
      </c>
    </row>
    <row r="7">
      <c r="A7" s="6" t="n">
        <v>46155</v>
      </c>
      <c r="B7" t="inlineStr">
        <is>
          <t>Shree Ganesh Traders</t>
        </is>
      </c>
      <c r="C7" t="inlineStr">
        <is>
          <t>Pune</t>
        </is>
      </c>
      <c r="D7" t="inlineStr">
        <is>
          <t>Stationery</t>
        </is>
      </c>
      <c r="E7" t="inlineStr">
        <is>
          <t>Delivered</t>
        </is>
      </c>
      <c r="F7" s="7" t="n">
        <v>89400</v>
      </c>
    </row>
    <row r="8">
      <c r="A8" s="6" t="n">
        <v>46163</v>
      </c>
      <c r="B8" t="inlineStr">
        <is>
          <t>Sharma Stationers</t>
        </is>
      </c>
      <c r="C8" t="inlineStr">
        <is>
          <t>Mumbai</t>
        </is>
      </c>
      <c r="D8" t="inlineStr">
        <is>
          <t>Stationery</t>
        </is>
      </c>
      <c r="E8" t="inlineStr">
        <is>
          <t>Delivered</t>
        </is>
      </c>
      <c r="F8" s="7" t="n">
        <v>31100</v>
      </c>
    </row>
    <row r="9">
      <c r="A9" s="6" t="n">
        <v>46171</v>
      </c>
      <c r="B9" t="inlineStr">
        <is>
          <t>Sharma Stationers</t>
        </is>
      </c>
      <c r="C9" t="inlineStr">
        <is>
          <t>Nagpur</t>
        </is>
      </c>
      <c r="D9" t="inlineStr">
        <is>
          <t>Stationery</t>
        </is>
      </c>
      <c r="E9" t="inlineStr">
        <is>
          <t>Pending</t>
        </is>
      </c>
      <c r="F9" s="7" t="n">
        <v>40500</v>
      </c>
    </row>
    <row r="10">
      <c r="A10" s="6" t="n">
        <v>46179</v>
      </c>
      <c r="B10" t="inlineStr">
        <is>
          <t>Balaji Agencies</t>
        </is>
      </c>
      <c r="C10" t="inlineStr">
        <is>
          <t>Mumbai</t>
        </is>
      </c>
      <c r="D10" t="inlineStr">
        <is>
          <t>Furniture</t>
        </is>
      </c>
      <c r="E10" t="inlineStr">
        <is>
          <t>Delivered</t>
        </is>
      </c>
      <c r="F10" s="7" t="n">
        <v>53600</v>
      </c>
    </row>
    <row r="11">
      <c r="A11" s="6" t="n">
        <v>46187</v>
      </c>
      <c r="B11" t="inlineStr">
        <is>
          <t>Om Sai Enterprises</t>
        </is>
      </c>
      <c r="C11" t="inlineStr">
        <is>
          <t>Mumbai</t>
        </is>
      </c>
      <c r="D11" t="inlineStr">
        <is>
          <t>Stationery</t>
        </is>
      </c>
      <c r="E11" t="inlineStr">
        <is>
          <t>Delivered</t>
        </is>
      </c>
      <c r="F11" s="7" t="n">
        <v>19200</v>
      </c>
    </row>
    <row r="12">
      <c r="A12" s="6" t="n">
        <v>46195</v>
      </c>
      <c r="B12" t="inlineStr">
        <is>
          <t>Om Sai Enterprises</t>
        </is>
      </c>
      <c r="C12" t="inlineStr">
        <is>
          <t>Nagpur</t>
        </is>
      </c>
      <c r="D12" t="inlineStr">
        <is>
          <t>Electronics</t>
        </is>
      </c>
      <c r="E12" t="inlineStr">
        <is>
          <t>Delivered</t>
        </is>
      </c>
      <c r="F12" s="7" t="n">
        <v>20500</v>
      </c>
    </row>
    <row r="13">
      <c r="A13" s="6" t="n">
        <v>46203</v>
      </c>
      <c r="B13" t="inlineStr">
        <is>
          <t>Balaji Agencies</t>
        </is>
      </c>
      <c r="C13" t="inlineStr">
        <is>
          <t>Nagpur</t>
        </is>
      </c>
      <c r="D13" t="inlineStr">
        <is>
          <t>Furniture</t>
        </is>
      </c>
      <c r="E13" t="inlineStr">
        <is>
          <t>Delivered</t>
        </is>
      </c>
      <c r="F13" s="7" t="n">
        <v>18000</v>
      </c>
    </row>
    <row r="14">
      <c r="A14" s="6" t="n">
        <v>46211</v>
      </c>
      <c r="B14" t="inlineStr">
        <is>
          <t>Balaji Agencies</t>
        </is>
      </c>
      <c r="C14" t="inlineStr">
        <is>
          <t>Nashik</t>
        </is>
      </c>
      <c r="D14" t="inlineStr">
        <is>
          <t>Furniture</t>
        </is>
      </c>
      <c r="E14" t="inlineStr">
        <is>
          <t>Pending</t>
        </is>
      </c>
      <c r="F14" s="7" t="n">
        <v>7000</v>
      </c>
    </row>
    <row r="15">
      <c r="A15" s="6" t="n">
        <v>46219</v>
      </c>
      <c r="B15" t="inlineStr">
        <is>
          <t>Om Sai Enterprises</t>
        </is>
      </c>
      <c r="C15" t="inlineStr">
        <is>
          <t>Mumbai</t>
        </is>
      </c>
      <c r="D15" t="inlineStr">
        <is>
          <t>Stationery</t>
        </is>
      </c>
      <c r="E15" t="inlineStr">
        <is>
          <t>Pending</t>
        </is>
      </c>
      <c r="F15" s="7" t="n">
        <v>32000</v>
      </c>
    </row>
    <row r="16">
      <c r="A16" s="6" t="n">
        <v>46227</v>
      </c>
      <c r="B16" t="inlineStr">
        <is>
          <t>Mehta &amp; Sons</t>
        </is>
      </c>
      <c r="C16" t="inlineStr">
        <is>
          <t>Pune</t>
        </is>
      </c>
      <c r="D16" t="inlineStr">
        <is>
          <t>Electronics</t>
        </is>
      </c>
      <c r="E16" t="inlineStr">
        <is>
          <t>Delivered</t>
        </is>
      </c>
      <c r="F16" s="7" t="n">
        <v>66100</v>
      </c>
    </row>
    <row r="17">
      <c r="A17" s="6" t="n">
        <v>46235</v>
      </c>
      <c r="B17" t="inlineStr">
        <is>
          <t>Shree Ganesh Traders</t>
        </is>
      </c>
      <c r="C17" t="inlineStr">
        <is>
          <t>Mumbai</t>
        </is>
      </c>
      <c r="D17" t="inlineStr">
        <is>
          <t>Stationery</t>
        </is>
      </c>
      <c r="E17" t="inlineStr">
        <is>
          <t>Delivered</t>
        </is>
      </c>
      <c r="F17" s="7" t="n">
        <v>28200</v>
      </c>
    </row>
    <row r="18">
      <c r="A18" s="6" t="n">
        <v>46243</v>
      </c>
      <c r="B18" t="inlineStr">
        <is>
          <t>Om Sai Enterprises</t>
        </is>
      </c>
      <c r="C18" t="inlineStr">
        <is>
          <t>Pune</t>
        </is>
      </c>
      <c r="D18" t="inlineStr">
        <is>
          <t>Furniture</t>
        </is>
      </c>
      <c r="E18" t="inlineStr">
        <is>
          <t>Pending</t>
        </is>
      </c>
      <c r="F18" s="7" t="n">
        <v>81700</v>
      </c>
    </row>
    <row r="19">
      <c r="A19" s="6" t="n">
        <v>46251</v>
      </c>
      <c r="B19" t="inlineStr">
        <is>
          <t>Kumar Stores</t>
        </is>
      </c>
      <c r="C19" t="inlineStr">
        <is>
          <t>Pune</t>
        </is>
      </c>
      <c r="D19" t="inlineStr">
        <is>
          <t>Electronics</t>
        </is>
      </c>
      <c r="E19" t="inlineStr">
        <is>
          <t>Delivered</t>
        </is>
      </c>
      <c r="F19" s="7" t="n">
        <v>34800</v>
      </c>
    </row>
    <row r="20">
      <c r="A20" s="6" t="n">
        <v>46259</v>
      </c>
      <c r="B20" t="inlineStr">
        <is>
          <t>Shree Ganesh Traders</t>
        </is>
      </c>
      <c r="C20" t="inlineStr">
        <is>
          <t>Mumbai</t>
        </is>
      </c>
      <c r="D20" t="inlineStr">
        <is>
          <t>Furniture</t>
        </is>
      </c>
      <c r="E20" t="inlineStr">
        <is>
          <t>Pending</t>
        </is>
      </c>
      <c r="F20" s="7" t="n">
        <v>36700</v>
      </c>
    </row>
    <row r="21">
      <c r="A21" s="6" t="n">
        <v>46267</v>
      </c>
      <c r="B21" t="inlineStr">
        <is>
          <t>Mehta &amp; Sons</t>
        </is>
      </c>
      <c r="C21" t="inlineStr">
        <is>
          <t>Mumbai</t>
        </is>
      </c>
      <c r="D21" t="inlineStr">
        <is>
          <t>Stationery</t>
        </is>
      </c>
      <c r="E21" t="inlineStr">
        <is>
          <t>Delivered</t>
        </is>
      </c>
      <c r="F21" s="7" t="n">
        <v>13300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6" customWidth="1" min="3" max="3"/>
    <col width="6" customWidth="1" min="4" max="4"/>
    <col width="11" customWidth="1" min="5" max="5"/>
    <col width="11" customWidth="1" min="6" max="6"/>
    <col width="3" customWidth="1" min="7" max="7"/>
    <col width="9" customWidth="1" min="8" max="8"/>
    <col width="19" customWidth="1" min="9" max="9"/>
    <col width="16" customWidth="1" min="10" max="10"/>
    <col width="6" customWidth="1" min="11" max="11"/>
    <col width="11" customWidth="1" min="12" max="12"/>
    <col width="11" customWidth="1" min="13" max="13"/>
    <col width="9" customWidth="1" min="15" max="15"/>
  </cols>
  <sheetData>
    <row r="1">
      <c r="A1" s="3" t="inlineStr">
        <is>
          <t>Region</t>
        </is>
      </c>
      <c r="B1" s="3" t="inlineStr">
        <is>
          <t>Salesperson</t>
        </is>
      </c>
      <c r="C1" s="3" t="inlineStr">
        <is>
          <t>Product</t>
        </is>
      </c>
      <c r="D1" s="3" t="inlineStr">
        <is>
          <t>Units</t>
        </is>
      </c>
      <c r="E1" s="3" t="inlineStr">
        <is>
          <t>Amount</t>
        </is>
      </c>
      <c r="F1" s="3" t="inlineStr">
        <is>
          <t>Date</t>
        </is>
      </c>
      <c r="H1" s="3" t="inlineStr">
        <is>
          <t>Region</t>
        </is>
      </c>
      <c r="I1" s="3" t="inlineStr">
        <is>
          <t>Amount</t>
        </is>
      </c>
      <c r="O1" s="4" t="n"/>
    </row>
    <row r="2">
      <c r="A2" t="inlineStr">
        <is>
          <t>North</t>
        </is>
      </c>
      <c r="B2" t="inlineStr">
        <is>
          <t>Harpreet Kaur</t>
        </is>
      </c>
      <c r="C2" t="inlineStr">
        <is>
          <t>Pressure Cooker</t>
        </is>
      </c>
      <c r="D2" t="n">
        <v>11</v>
      </c>
      <c r="E2" s="7" t="n">
        <v>25850</v>
      </c>
      <c r="F2" s="6" t="n">
        <v>46144</v>
      </c>
      <c r="H2" s="8" t="n"/>
      <c r="I2" s="8" t="n"/>
    </row>
    <row r="3">
      <c r="A3" t="inlineStr">
        <is>
          <t>South</t>
        </is>
      </c>
      <c r="B3" t="inlineStr">
        <is>
          <t>Lakshmi Srinivasan</t>
        </is>
      </c>
      <c r="C3" t="inlineStr">
        <is>
          <t>LED Bulb 9 W</t>
        </is>
      </c>
      <c r="D3" t="n">
        <v>35</v>
      </c>
      <c r="E3" s="7" t="n">
        <v>3465</v>
      </c>
      <c r="F3" s="6" t="n">
        <v>46148</v>
      </c>
      <c r="H3" s="8" t="n"/>
      <c r="I3" s="8" t="n"/>
    </row>
    <row r="4">
      <c r="A4" t="inlineStr">
        <is>
          <t>East</t>
        </is>
      </c>
      <c r="B4" t="inlineStr">
        <is>
          <t>Smita Mohanty</t>
        </is>
      </c>
      <c r="C4" t="inlineStr">
        <is>
          <t>Extension Board</t>
        </is>
      </c>
      <c r="D4" t="n">
        <v>23</v>
      </c>
      <c r="E4" s="7" t="n">
        <v>12627</v>
      </c>
      <c r="F4" s="6" t="n">
        <v>46152</v>
      </c>
    </row>
    <row r="5">
      <c r="A5" t="inlineStr">
        <is>
          <t>West</t>
        </is>
      </c>
      <c r="B5" t="inlineStr">
        <is>
          <t>Tanvi Shah</t>
        </is>
      </c>
      <c r="C5" t="inlineStr">
        <is>
          <t>Extension Board</t>
        </is>
      </c>
      <c r="D5" t="n">
        <v>23</v>
      </c>
      <c r="E5" s="7" t="n">
        <v>12627</v>
      </c>
      <c r="F5" s="6" t="n">
        <v>46156</v>
      </c>
      <c r="H5" s="10" t="inlineStr">
        <is>
          <t>Results (copied here)</t>
        </is>
      </c>
    </row>
    <row r="6">
      <c r="A6" t="inlineStr">
        <is>
          <t>North</t>
        </is>
      </c>
      <c r="B6" t="inlineStr">
        <is>
          <t>Harpreet Kaur</t>
        </is>
      </c>
      <c r="C6" t="inlineStr">
        <is>
          <t>Extension Board</t>
        </is>
      </c>
      <c r="D6" t="n">
        <v>25</v>
      </c>
      <c r="E6" s="7" t="n">
        <v>13725</v>
      </c>
      <c r="F6" s="6" t="n">
        <v>46160</v>
      </c>
    </row>
    <row r="7">
      <c r="A7" t="inlineStr">
        <is>
          <t>South</t>
        </is>
      </c>
      <c r="B7" t="inlineStr">
        <is>
          <t>Lakshmi Srinivasan</t>
        </is>
      </c>
      <c r="C7" t="inlineStr">
        <is>
          <t>Extension Board</t>
        </is>
      </c>
      <c r="D7" t="n">
        <v>7</v>
      </c>
      <c r="E7" s="7" t="n">
        <v>3843</v>
      </c>
      <c r="F7" s="6" t="n">
        <v>46164</v>
      </c>
    </row>
    <row r="8">
      <c r="A8" t="inlineStr">
        <is>
          <t>East</t>
        </is>
      </c>
      <c r="B8" t="inlineStr">
        <is>
          <t>Smita Mohanty</t>
        </is>
      </c>
      <c r="C8" t="inlineStr">
        <is>
          <t>Extension Board</t>
        </is>
      </c>
      <c r="D8" t="n">
        <v>36</v>
      </c>
      <c r="E8" s="7" t="n">
        <v>19764</v>
      </c>
      <c r="F8" s="6" t="n">
        <v>46168</v>
      </c>
    </row>
    <row r="9">
      <c r="A9" t="inlineStr">
        <is>
          <t>West</t>
        </is>
      </c>
      <c r="B9" t="inlineStr">
        <is>
          <t>Tanvi Shah</t>
        </is>
      </c>
      <c r="C9" t="inlineStr">
        <is>
          <t>Ceiling Fan</t>
        </is>
      </c>
      <c r="D9" t="n">
        <v>39</v>
      </c>
      <c r="E9" s="7" t="n">
        <v>112710</v>
      </c>
      <c r="F9" s="6" t="n">
        <v>46172</v>
      </c>
    </row>
    <row r="10">
      <c r="A10" t="inlineStr">
        <is>
          <t>East</t>
        </is>
      </c>
      <c r="B10" t="inlineStr">
        <is>
          <t>Smita Mohanty</t>
        </is>
      </c>
      <c r="C10" t="inlineStr">
        <is>
          <t>Extension Board</t>
        </is>
      </c>
      <c r="D10" t="n">
        <v>34</v>
      </c>
      <c r="E10" s="7" t="n">
        <v>18666</v>
      </c>
      <c r="F10" s="6" t="n">
        <v>46176</v>
      </c>
    </row>
    <row r="11">
      <c r="A11" t="inlineStr">
        <is>
          <t>North</t>
        </is>
      </c>
      <c r="B11" t="inlineStr">
        <is>
          <t>Neeraj Kapoor</t>
        </is>
      </c>
      <c r="C11" t="inlineStr">
        <is>
          <t>Ceiling Fan</t>
        </is>
      </c>
      <c r="D11" t="n">
        <v>30</v>
      </c>
      <c r="E11" s="7" t="n">
        <v>86700</v>
      </c>
      <c r="F11" s="6" t="n">
        <v>46180</v>
      </c>
    </row>
    <row r="12">
      <c r="A12" t="inlineStr">
        <is>
          <t>East</t>
        </is>
      </c>
      <c r="B12" t="inlineStr">
        <is>
          <t>Smita Mohanty</t>
        </is>
      </c>
      <c r="C12" t="inlineStr">
        <is>
          <t>Ceiling Fan</t>
        </is>
      </c>
      <c r="D12" t="n">
        <v>26</v>
      </c>
      <c r="E12" s="7" t="n">
        <v>75140</v>
      </c>
      <c r="F12" s="6" t="n">
        <v>46184</v>
      </c>
    </row>
    <row r="13">
      <c r="A13" t="inlineStr">
        <is>
          <t>West</t>
        </is>
      </c>
      <c r="B13" t="inlineStr">
        <is>
          <t>Kiran Desai</t>
        </is>
      </c>
      <c r="C13" t="inlineStr">
        <is>
          <t>Ceiling Fan</t>
        </is>
      </c>
      <c r="D13" t="n">
        <v>15</v>
      </c>
      <c r="E13" s="7" t="n">
        <v>43350</v>
      </c>
      <c r="F13" s="6" t="n">
        <v>46188</v>
      </c>
    </row>
    <row r="14">
      <c r="A14" t="inlineStr">
        <is>
          <t>West</t>
        </is>
      </c>
      <c r="B14" t="inlineStr">
        <is>
          <t>Tanvi Shah</t>
        </is>
      </c>
      <c r="C14" t="inlineStr">
        <is>
          <t>Extension Board</t>
        </is>
      </c>
      <c r="D14" t="n">
        <v>32</v>
      </c>
      <c r="E14" s="7" t="n">
        <v>17568</v>
      </c>
      <c r="F14" s="6" t="n">
        <v>46192</v>
      </c>
    </row>
    <row r="15">
      <c r="A15" t="inlineStr">
        <is>
          <t>West</t>
        </is>
      </c>
      <c r="B15" t="inlineStr">
        <is>
          <t>Tanvi Shah</t>
        </is>
      </c>
      <c r="C15" t="inlineStr">
        <is>
          <t>Ceiling Fan</t>
        </is>
      </c>
      <c r="D15" t="n">
        <v>23</v>
      </c>
      <c r="E15" s="7" t="n">
        <v>66470</v>
      </c>
      <c r="F15" s="6" t="n">
        <v>46196</v>
      </c>
    </row>
    <row r="16">
      <c r="A16" t="inlineStr">
        <is>
          <t>South</t>
        </is>
      </c>
      <c r="B16" t="inlineStr">
        <is>
          <t>Suresh Pillai</t>
        </is>
      </c>
      <c r="C16" t="inlineStr">
        <is>
          <t>LED Bulb 9 W</t>
        </is>
      </c>
      <c r="D16" t="n">
        <v>22</v>
      </c>
      <c r="E16" s="7" t="n">
        <v>2178</v>
      </c>
      <c r="F16" s="6" t="n">
        <v>46200</v>
      </c>
    </row>
    <row r="17">
      <c r="A17" t="inlineStr">
        <is>
          <t>North</t>
        </is>
      </c>
      <c r="B17" t="inlineStr">
        <is>
          <t>Neeraj Kapoor</t>
        </is>
      </c>
      <c r="C17" t="inlineStr">
        <is>
          <t>Pressure Cooker</t>
        </is>
      </c>
      <c r="D17" t="n">
        <v>17</v>
      </c>
      <c r="E17" s="7" t="n">
        <v>39950</v>
      </c>
      <c r="F17" s="6" t="n">
        <v>46204</v>
      </c>
    </row>
    <row r="18">
      <c r="A18" t="inlineStr">
        <is>
          <t>South</t>
        </is>
      </c>
      <c r="B18" t="inlineStr">
        <is>
          <t>Suresh Pillai</t>
        </is>
      </c>
      <c r="C18" t="inlineStr">
        <is>
          <t>Pressure Cooker</t>
        </is>
      </c>
      <c r="D18" t="n">
        <v>17</v>
      </c>
      <c r="E18" s="7" t="n">
        <v>39950</v>
      </c>
      <c r="F18" s="6" t="n">
        <v>46208</v>
      </c>
    </row>
    <row r="19">
      <c r="A19" t="inlineStr">
        <is>
          <t>East</t>
        </is>
      </c>
      <c r="B19" t="inlineStr">
        <is>
          <t>Smita Mohanty</t>
        </is>
      </c>
      <c r="C19" t="inlineStr">
        <is>
          <t>Ceiling Fan</t>
        </is>
      </c>
      <c r="D19" t="n">
        <v>23</v>
      </c>
      <c r="E19" s="7" t="n">
        <v>66470</v>
      </c>
      <c r="F19" s="6" t="n">
        <v>46212</v>
      </c>
    </row>
    <row r="20">
      <c r="A20" t="inlineStr">
        <is>
          <t>North</t>
        </is>
      </c>
      <c r="B20" t="inlineStr">
        <is>
          <t>Neeraj Kapoor</t>
        </is>
      </c>
      <c r="C20" t="inlineStr">
        <is>
          <t>LED Bulb 9 W</t>
        </is>
      </c>
      <c r="D20" t="n">
        <v>11</v>
      </c>
      <c r="E20" s="7" t="n">
        <v>1089</v>
      </c>
      <c r="F20" s="6" t="n">
        <v>46216</v>
      </c>
    </row>
    <row r="21">
      <c r="A21" t="inlineStr">
        <is>
          <t>West</t>
        </is>
      </c>
      <c r="B21" t="inlineStr">
        <is>
          <t>Kiran Desai</t>
        </is>
      </c>
      <c r="C21" t="inlineStr">
        <is>
          <t>Extension Board</t>
        </is>
      </c>
      <c r="D21" t="n">
        <v>25</v>
      </c>
      <c r="E21" s="7" t="n">
        <v>13725</v>
      </c>
      <c r="F21" s="6" t="n">
        <v>46220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6" customWidth="1" min="3" max="3"/>
    <col width="6" customWidth="1" min="4" max="4"/>
    <col width="11" customWidth="1" min="5" max="5"/>
    <col width="11" customWidth="1" min="6" max="6"/>
    <col width="3" customWidth="1" min="7" max="7"/>
    <col width="9" customWidth="1" min="8" max="8"/>
    <col width="19" customWidth="1" min="9" max="9"/>
    <col width="16" customWidth="1" min="10" max="10"/>
    <col width="6" customWidth="1" min="11" max="11"/>
    <col width="11" customWidth="1" min="12" max="12"/>
    <col width="11" customWidth="1" min="13" max="13"/>
    <col width="9" customWidth="1" min="15" max="15"/>
  </cols>
  <sheetData>
    <row r="1">
      <c r="A1" s="3" t="inlineStr">
        <is>
          <t>Region</t>
        </is>
      </c>
      <c r="B1" s="3" t="inlineStr">
        <is>
          <t>Salesperson</t>
        </is>
      </c>
      <c r="C1" s="3" t="inlineStr">
        <is>
          <t>Product</t>
        </is>
      </c>
      <c r="D1" s="3" t="inlineStr">
        <is>
          <t>Units</t>
        </is>
      </c>
      <c r="E1" s="3" t="inlineStr">
        <is>
          <t>Amount</t>
        </is>
      </c>
      <c r="F1" s="3" t="inlineStr">
        <is>
          <t>Date</t>
        </is>
      </c>
      <c r="H1" s="3" t="inlineStr">
        <is>
          <t>Region</t>
        </is>
      </c>
      <c r="I1" s="3" t="inlineStr">
        <is>
          <t>Amount</t>
        </is>
      </c>
      <c r="O1" s="3" t="inlineStr">
        <is>
          <t>Region</t>
        </is>
      </c>
    </row>
    <row r="2">
      <c r="A2" t="inlineStr">
        <is>
          <t>North</t>
        </is>
      </c>
      <c r="B2" t="inlineStr">
        <is>
          <t>Harpreet Kaur</t>
        </is>
      </c>
      <c r="C2" t="inlineStr">
        <is>
          <t>Pressure Cooker</t>
        </is>
      </c>
      <c r="D2" t="n">
        <v>11</v>
      </c>
      <c r="E2" s="7" t="n">
        <v>25850</v>
      </c>
      <c r="F2" s="6" t="n">
        <v>46144</v>
      </c>
      <c r="H2" t="inlineStr">
        <is>
          <t>North</t>
        </is>
      </c>
      <c r="I2" t="inlineStr">
        <is>
          <t>&gt;50000</t>
        </is>
      </c>
      <c r="O2" t="inlineStr">
        <is>
          <t>North</t>
        </is>
      </c>
    </row>
    <row r="3">
      <c r="A3" t="inlineStr">
        <is>
          <t>South</t>
        </is>
      </c>
      <c r="B3" t="inlineStr">
        <is>
          <t>Lakshmi Srinivasan</t>
        </is>
      </c>
      <c r="C3" t="inlineStr">
        <is>
          <t>LED Bulb 9 W</t>
        </is>
      </c>
      <c r="D3" t="n">
        <v>35</v>
      </c>
      <c r="E3" s="7" t="n">
        <v>3465</v>
      </c>
      <c r="F3" s="6" t="n">
        <v>46148</v>
      </c>
      <c r="H3" t="inlineStr">
        <is>
          <t>South</t>
        </is>
      </c>
      <c r="O3" t="inlineStr">
        <is>
          <t>South</t>
        </is>
      </c>
    </row>
    <row r="4">
      <c r="A4" t="inlineStr">
        <is>
          <t>East</t>
        </is>
      </c>
      <c r="B4" t="inlineStr">
        <is>
          <t>Smita Mohanty</t>
        </is>
      </c>
      <c r="C4" t="inlineStr">
        <is>
          <t>Extension Board</t>
        </is>
      </c>
      <c r="D4" t="n">
        <v>23</v>
      </c>
      <c r="E4" s="7" t="n">
        <v>12627</v>
      </c>
      <c r="F4" s="6" t="n">
        <v>46152</v>
      </c>
      <c r="O4" t="inlineStr">
        <is>
          <t>East</t>
        </is>
      </c>
    </row>
    <row r="5">
      <c r="A5" t="inlineStr">
        <is>
          <t>West</t>
        </is>
      </c>
      <c r="B5" t="inlineStr">
        <is>
          <t>Tanvi Shah</t>
        </is>
      </c>
      <c r="C5" t="inlineStr">
        <is>
          <t>Extension Board</t>
        </is>
      </c>
      <c r="D5" t="n">
        <v>23</v>
      </c>
      <c r="E5" s="7" t="n">
        <v>12627</v>
      </c>
      <c r="F5" s="6" t="n">
        <v>46156</v>
      </c>
      <c r="H5" s="10" t="inlineStr">
        <is>
          <t>Results (copied here)</t>
        </is>
      </c>
      <c r="O5" t="inlineStr">
        <is>
          <t>West</t>
        </is>
      </c>
    </row>
    <row r="6">
      <c r="A6" t="inlineStr">
        <is>
          <t>North</t>
        </is>
      </c>
      <c r="B6" t="inlineStr">
        <is>
          <t>Harpreet Kaur</t>
        </is>
      </c>
      <c r="C6" t="inlineStr">
        <is>
          <t>Extension Board</t>
        </is>
      </c>
      <c r="D6" t="n">
        <v>25</v>
      </c>
      <c r="E6" s="7" t="n">
        <v>13725</v>
      </c>
      <c r="F6" s="6" t="n">
        <v>46160</v>
      </c>
      <c r="H6" s="3" t="inlineStr">
        <is>
          <t>Region</t>
        </is>
      </c>
      <c r="I6" s="3" t="inlineStr">
        <is>
          <t>Salesperson</t>
        </is>
      </c>
      <c r="J6" s="3" t="inlineStr">
        <is>
          <t>Product</t>
        </is>
      </c>
      <c r="K6" s="3" t="inlineStr">
        <is>
          <t>Units</t>
        </is>
      </c>
      <c r="L6" s="3" t="inlineStr">
        <is>
          <t>Amount</t>
        </is>
      </c>
      <c r="M6" s="3" t="inlineStr">
        <is>
          <t>Date</t>
        </is>
      </c>
    </row>
    <row r="7">
      <c r="A7" t="inlineStr">
        <is>
          <t>South</t>
        </is>
      </c>
      <c r="B7" t="inlineStr">
        <is>
          <t>Lakshmi Srinivasan</t>
        </is>
      </c>
      <c r="C7" t="inlineStr">
        <is>
          <t>Extension Board</t>
        </is>
      </c>
      <c r="D7" t="n">
        <v>7</v>
      </c>
      <c r="E7" s="7" t="n">
        <v>3843</v>
      </c>
      <c r="F7" s="6" t="n">
        <v>46164</v>
      </c>
      <c r="H7" t="inlineStr">
        <is>
          <t>South</t>
        </is>
      </c>
      <c r="I7" t="inlineStr">
        <is>
          <t>Lakshmi Srinivasan</t>
        </is>
      </c>
      <c r="J7" t="inlineStr">
        <is>
          <t>LED Bulb 9 W</t>
        </is>
      </c>
      <c r="K7" t="n">
        <v>35</v>
      </c>
      <c r="L7" s="7" t="n">
        <v>3465</v>
      </c>
      <c r="M7" s="6" t="n">
        <v>46148</v>
      </c>
    </row>
    <row r="8">
      <c r="A8" t="inlineStr">
        <is>
          <t>East</t>
        </is>
      </c>
      <c r="B8" t="inlineStr">
        <is>
          <t>Smita Mohanty</t>
        </is>
      </c>
      <c r="C8" t="inlineStr">
        <is>
          <t>Extension Board</t>
        </is>
      </c>
      <c r="D8" t="n">
        <v>36</v>
      </c>
      <c r="E8" s="7" t="n">
        <v>19764</v>
      </c>
      <c r="F8" s="6" t="n">
        <v>46168</v>
      </c>
      <c r="H8" t="inlineStr">
        <is>
          <t>South</t>
        </is>
      </c>
      <c r="I8" t="inlineStr">
        <is>
          <t>Lakshmi Srinivasan</t>
        </is>
      </c>
      <c r="J8" t="inlineStr">
        <is>
          <t>Extension Board</t>
        </is>
      </c>
      <c r="K8" t="n">
        <v>7</v>
      </c>
      <c r="L8" s="7" t="n">
        <v>3843</v>
      </c>
      <c r="M8" s="6" t="n">
        <v>46164</v>
      </c>
      <c r="O8" s="10" t="inlineStr">
        <is>
          <t>Challenge criteria</t>
        </is>
      </c>
    </row>
    <row r="9">
      <c r="A9" t="inlineStr">
        <is>
          <t>West</t>
        </is>
      </c>
      <c r="B9" t="inlineStr">
        <is>
          <t>Tanvi Shah</t>
        </is>
      </c>
      <c r="C9" t="inlineStr">
        <is>
          <t>Ceiling Fan</t>
        </is>
      </c>
      <c r="D9" t="n">
        <v>39</v>
      </c>
      <c r="E9" s="7" t="n">
        <v>112710</v>
      </c>
      <c r="F9" s="6" t="n">
        <v>46172</v>
      </c>
      <c r="H9" t="inlineStr">
        <is>
          <t>North</t>
        </is>
      </c>
      <c r="I9" t="inlineStr">
        <is>
          <t>Neeraj Kapoor</t>
        </is>
      </c>
      <c r="J9" t="inlineStr">
        <is>
          <t>Ceiling Fan</t>
        </is>
      </c>
      <c r="K9" t="n">
        <v>30</v>
      </c>
      <c r="L9" s="7" t="n">
        <v>86700</v>
      </c>
      <c r="M9" s="6" t="n">
        <v>46180</v>
      </c>
      <c r="O9" s="3" t="inlineStr">
        <is>
          <t>Region</t>
        </is>
      </c>
      <c r="P9" s="3" t="inlineStr">
        <is>
          <t>Amount</t>
        </is>
      </c>
      <c r="Q9" s="3" t="inlineStr">
        <is>
          <t>Units</t>
        </is>
      </c>
    </row>
    <row r="10">
      <c r="A10" t="inlineStr">
        <is>
          <t>East</t>
        </is>
      </c>
      <c r="B10" t="inlineStr">
        <is>
          <t>Smita Mohanty</t>
        </is>
      </c>
      <c r="C10" t="inlineStr">
        <is>
          <t>Extension Board</t>
        </is>
      </c>
      <c r="D10" t="n">
        <v>34</v>
      </c>
      <c r="E10" s="7" t="n">
        <v>18666</v>
      </c>
      <c r="F10" s="6" t="n">
        <v>46176</v>
      </c>
      <c r="H10" t="inlineStr">
        <is>
          <t>South</t>
        </is>
      </c>
      <c r="I10" t="inlineStr">
        <is>
          <t>Suresh Pillai</t>
        </is>
      </c>
      <c r="J10" t="inlineStr">
        <is>
          <t>LED Bulb 9 W</t>
        </is>
      </c>
      <c r="K10" t="n">
        <v>22</v>
      </c>
      <c r="L10" s="7" t="n">
        <v>2178</v>
      </c>
      <c r="M10" s="6" t="n">
        <v>46200</v>
      </c>
      <c r="O10" t="inlineStr">
        <is>
          <t>West</t>
        </is>
      </c>
      <c r="P10" t="inlineStr">
        <is>
          <t>&gt;30000</t>
        </is>
      </c>
    </row>
    <row r="11">
      <c r="A11" t="inlineStr">
        <is>
          <t>North</t>
        </is>
      </c>
      <c r="B11" t="inlineStr">
        <is>
          <t>Neeraj Kapoor</t>
        </is>
      </c>
      <c r="C11" t="inlineStr">
        <is>
          <t>Ceiling Fan</t>
        </is>
      </c>
      <c r="D11" t="n">
        <v>30</v>
      </c>
      <c r="E11" s="7" t="n">
        <v>86700</v>
      </c>
      <c r="F11" s="6" t="n">
        <v>46180</v>
      </c>
      <c r="H11" t="inlineStr">
        <is>
          <t>South</t>
        </is>
      </c>
      <c r="I11" t="inlineStr">
        <is>
          <t>Suresh Pillai</t>
        </is>
      </c>
      <c r="J11" t="inlineStr">
        <is>
          <t>Pressure Cooker</t>
        </is>
      </c>
      <c r="K11" t="n">
        <v>17</v>
      </c>
      <c r="L11" s="7" t="n">
        <v>39950</v>
      </c>
      <c r="M11" s="6" t="n">
        <v>46208</v>
      </c>
      <c r="Q11" t="inlineStr">
        <is>
          <t>&gt;30</t>
        </is>
      </c>
    </row>
    <row r="12">
      <c r="A12" t="inlineStr">
        <is>
          <t>East</t>
        </is>
      </c>
      <c r="B12" t="inlineStr">
        <is>
          <t>Smita Mohanty</t>
        </is>
      </c>
      <c r="C12" t="inlineStr">
        <is>
          <t>Ceiling Fan</t>
        </is>
      </c>
      <c r="D12" t="n">
        <v>26</v>
      </c>
      <c r="E12" s="7" t="n">
        <v>75140</v>
      </c>
      <c r="F12" s="6" t="n">
        <v>46184</v>
      </c>
    </row>
    <row r="13">
      <c r="A13" t="inlineStr">
        <is>
          <t>West</t>
        </is>
      </c>
      <c r="B13" t="inlineStr">
        <is>
          <t>Kiran Desai</t>
        </is>
      </c>
      <c r="C13" t="inlineStr">
        <is>
          <t>Ceiling Fan</t>
        </is>
      </c>
      <c r="D13" t="n">
        <v>15</v>
      </c>
      <c r="E13" s="7" t="n">
        <v>43350</v>
      </c>
      <c r="F13" s="6" t="n">
        <v>46188</v>
      </c>
      <c r="O13" s="10" t="inlineStr">
        <is>
          <t>Challenge results (Copy to O14)</t>
        </is>
      </c>
    </row>
    <row r="14">
      <c r="A14" t="inlineStr">
        <is>
          <t>West</t>
        </is>
      </c>
      <c r="B14" t="inlineStr">
        <is>
          <t>Tanvi Shah</t>
        </is>
      </c>
      <c r="C14" t="inlineStr">
        <is>
          <t>Extension Board</t>
        </is>
      </c>
      <c r="D14" t="n">
        <v>32</v>
      </c>
      <c r="E14" s="7" t="n">
        <v>17568</v>
      </c>
      <c r="F14" s="6" t="n">
        <v>46192</v>
      </c>
      <c r="O14" s="3" t="inlineStr">
        <is>
          <t>Region</t>
        </is>
      </c>
      <c r="P14" s="3" t="inlineStr">
        <is>
          <t>Salesperson</t>
        </is>
      </c>
      <c r="Q14" s="3" t="inlineStr">
        <is>
          <t>Product</t>
        </is>
      </c>
      <c r="R14" s="3" t="inlineStr">
        <is>
          <t>Units</t>
        </is>
      </c>
      <c r="S14" s="3" t="inlineStr">
        <is>
          <t>Amount</t>
        </is>
      </c>
      <c r="T14" s="3" t="inlineStr">
        <is>
          <t>Date</t>
        </is>
      </c>
    </row>
    <row r="15">
      <c r="A15" t="inlineStr">
        <is>
          <t>West</t>
        </is>
      </c>
      <c r="B15" t="inlineStr">
        <is>
          <t>Tanvi Shah</t>
        </is>
      </c>
      <c r="C15" t="inlineStr">
        <is>
          <t>Ceiling Fan</t>
        </is>
      </c>
      <c r="D15" t="n">
        <v>23</v>
      </c>
      <c r="E15" s="7" t="n">
        <v>66470</v>
      </c>
      <c r="F15" s="6" t="n">
        <v>46196</v>
      </c>
      <c r="O15" t="inlineStr">
        <is>
          <t>South</t>
        </is>
      </c>
      <c r="P15" t="inlineStr">
        <is>
          <t>Lakshmi Srinivasan</t>
        </is>
      </c>
      <c r="Q15" t="inlineStr">
        <is>
          <t>LED Bulb 9 W</t>
        </is>
      </c>
      <c r="R15" t="n">
        <v>35</v>
      </c>
      <c r="S15" s="7" t="n">
        <v>3465</v>
      </c>
      <c r="T15" s="6" t="n">
        <v>46148</v>
      </c>
    </row>
    <row r="16">
      <c r="A16" t="inlineStr">
        <is>
          <t>South</t>
        </is>
      </c>
      <c r="B16" t="inlineStr">
        <is>
          <t>Suresh Pillai</t>
        </is>
      </c>
      <c r="C16" t="inlineStr">
        <is>
          <t>LED Bulb 9 W</t>
        </is>
      </c>
      <c r="D16" t="n">
        <v>22</v>
      </c>
      <c r="E16" s="7" t="n">
        <v>2178</v>
      </c>
      <c r="F16" s="6" t="n">
        <v>46200</v>
      </c>
      <c r="O16" t="inlineStr">
        <is>
          <t>East</t>
        </is>
      </c>
      <c r="P16" t="inlineStr">
        <is>
          <t>Smita Mohanty</t>
        </is>
      </c>
      <c r="Q16" t="inlineStr">
        <is>
          <t>Extension Board</t>
        </is>
      </c>
      <c r="R16" t="n">
        <v>36</v>
      </c>
      <c r="S16" s="7" t="n">
        <v>19764</v>
      </c>
      <c r="T16" s="6" t="n">
        <v>46168</v>
      </c>
    </row>
    <row r="17">
      <c r="A17" t="inlineStr">
        <is>
          <t>North</t>
        </is>
      </c>
      <c r="B17" t="inlineStr">
        <is>
          <t>Neeraj Kapoor</t>
        </is>
      </c>
      <c r="C17" t="inlineStr">
        <is>
          <t>Pressure Cooker</t>
        </is>
      </c>
      <c r="D17" t="n">
        <v>17</v>
      </c>
      <c r="E17" s="7" t="n">
        <v>39950</v>
      </c>
      <c r="F17" s="6" t="n">
        <v>46204</v>
      </c>
      <c r="O17" t="inlineStr">
        <is>
          <t>West</t>
        </is>
      </c>
      <c r="P17" t="inlineStr">
        <is>
          <t>Tanvi Shah</t>
        </is>
      </c>
      <c r="Q17" t="inlineStr">
        <is>
          <t>Ceiling Fan</t>
        </is>
      </c>
      <c r="R17" t="n">
        <v>39</v>
      </c>
      <c r="S17" s="7" t="n">
        <v>112710</v>
      </c>
      <c r="T17" s="6" t="n">
        <v>46172</v>
      </c>
    </row>
    <row r="18">
      <c r="A18" t="inlineStr">
        <is>
          <t>South</t>
        </is>
      </c>
      <c r="B18" t="inlineStr">
        <is>
          <t>Suresh Pillai</t>
        </is>
      </c>
      <c r="C18" t="inlineStr">
        <is>
          <t>Pressure Cooker</t>
        </is>
      </c>
      <c r="D18" t="n">
        <v>17</v>
      </c>
      <c r="E18" s="7" t="n">
        <v>39950</v>
      </c>
      <c r="F18" s="6" t="n">
        <v>46208</v>
      </c>
      <c r="O18" t="inlineStr">
        <is>
          <t>East</t>
        </is>
      </c>
      <c r="P18" t="inlineStr">
        <is>
          <t>Smita Mohanty</t>
        </is>
      </c>
      <c r="Q18" t="inlineStr">
        <is>
          <t>Extension Board</t>
        </is>
      </c>
      <c r="R18" t="n">
        <v>34</v>
      </c>
      <c r="S18" s="7" t="n">
        <v>18666</v>
      </c>
      <c r="T18" s="6" t="n">
        <v>46176</v>
      </c>
    </row>
    <row r="19">
      <c r="A19" t="inlineStr">
        <is>
          <t>East</t>
        </is>
      </c>
      <c r="B19" t="inlineStr">
        <is>
          <t>Smita Mohanty</t>
        </is>
      </c>
      <c r="C19" t="inlineStr">
        <is>
          <t>Ceiling Fan</t>
        </is>
      </c>
      <c r="D19" t="n">
        <v>23</v>
      </c>
      <c r="E19" s="7" t="n">
        <v>66470</v>
      </c>
      <c r="F19" s="6" t="n">
        <v>46212</v>
      </c>
      <c r="O19" t="inlineStr">
        <is>
          <t>West</t>
        </is>
      </c>
      <c r="P19" t="inlineStr">
        <is>
          <t>Kiran Desai</t>
        </is>
      </c>
      <c r="Q19" t="inlineStr">
        <is>
          <t>Ceiling Fan</t>
        </is>
      </c>
      <c r="R19" t="n">
        <v>15</v>
      </c>
      <c r="S19" s="7" t="n">
        <v>43350</v>
      </c>
      <c r="T19" s="6" t="n">
        <v>46188</v>
      </c>
    </row>
    <row r="20">
      <c r="A20" t="inlineStr">
        <is>
          <t>North</t>
        </is>
      </c>
      <c r="B20" t="inlineStr">
        <is>
          <t>Neeraj Kapoor</t>
        </is>
      </c>
      <c r="C20" t="inlineStr">
        <is>
          <t>LED Bulb 9 W</t>
        </is>
      </c>
      <c r="D20" t="n">
        <v>11</v>
      </c>
      <c r="E20" s="7" t="n">
        <v>1089</v>
      </c>
      <c r="F20" s="6" t="n">
        <v>46216</v>
      </c>
      <c r="O20" t="inlineStr">
        <is>
          <t>West</t>
        </is>
      </c>
      <c r="P20" t="inlineStr">
        <is>
          <t>Tanvi Shah</t>
        </is>
      </c>
      <c r="Q20" t="inlineStr">
        <is>
          <t>Extension Board</t>
        </is>
      </c>
      <c r="R20" t="n">
        <v>32</v>
      </c>
      <c r="S20" s="7" t="n">
        <v>17568</v>
      </c>
      <c r="T20" s="6" t="n">
        <v>46192</v>
      </c>
    </row>
    <row r="21">
      <c r="A21" t="inlineStr">
        <is>
          <t>West</t>
        </is>
      </c>
      <c r="B21" t="inlineStr">
        <is>
          <t>Kiran Desai</t>
        </is>
      </c>
      <c r="C21" t="inlineStr">
        <is>
          <t>Extension Board</t>
        </is>
      </c>
      <c r="D21" t="n">
        <v>25</v>
      </c>
      <c r="E21" s="7" t="n">
        <v>13725</v>
      </c>
      <c r="F21" s="6" t="n">
        <v>46220</v>
      </c>
      <c r="O21" t="inlineStr">
        <is>
          <t>West</t>
        </is>
      </c>
      <c r="P21" t="inlineStr">
        <is>
          <t>Tanvi Shah</t>
        </is>
      </c>
      <c r="Q21" t="inlineStr">
        <is>
          <t>Ceiling Fan</t>
        </is>
      </c>
      <c r="R21" t="n">
        <v>23</v>
      </c>
      <c r="S21" s="7" t="n">
        <v>66470</v>
      </c>
      <c r="T21" s="6" t="n">
        <v>46196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2" customWidth="1" min="4" max="4"/>
    <col width="28" customWidth="1" min="5" max="5"/>
    <col width="7" customWidth="1" min="6" max="6"/>
    <col width="8" customWidth="1" min="7" max="7"/>
    <col width="3" customWidth="1" min="8" max="8"/>
    <col width="26" customWidth="1" min="9" max="9"/>
  </cols>
  <sheetData>
    <row r="1">
      <c r="A1" s="3" t="inlineStr">
        <is>
          <t>Customer 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Mobile</t>
        </is>
      </c>
      <c r="E1" s="3" t="inlineStr">
        <is>
          <t>Email</t>
        </is>
      </c>
      <c r="F1" s="3" t="inlineStr">
        <is>
          <t>Count</t>
        </is>
      </c>
      <c r="G1" s="3" t="inlineStr">
        <is>
          <t>Entry</t>
        </is>
      </c>
      <c r="I1" s="4" t="inlineStr">
        <is>
          <t>Challenge: distinct mobiles</t>
        </is>
      </c>
    </row>
    <row r="2">
      <c r="A2" t="inlineStr">
        <is>
          <t>C-1001</t>
        </is>
      </c>
      <c r="B2" t="inlineStr">
        <is>
          <t>Rahul Sharma</t>
        </is>
      </c>
      <c r="C2" t="inlineStr">
        <is>
          <t>Hyderabad</t>
        </is>
      </c>
      <c r="D2" t="inlineStr">
        <is>
          <t>9914312494</t>
        </is>
      </c>
      <c r="E2" t="inlineStr">
        <is>
          <t>rahul.sharma@example.in</t>
        </is>
      </c>
      <c r="F2" s="8" t="n"/>
      <c r="G2" s="8" t="n"/>
      <c r="I2" s="8" t="n"/>
    </row>
    <row r="3">
      <c r="A3" t="inlineStr">
        <is>
          <t>C-1002</t>
        </is>
      </c>
      <c r="B3" t="inlineStr">
        <is>
          <t>Priya Nair</t>
        </is>
      </c>
      <c r="C3" t="inlineStr">
        <is>
          <t>Bengaluru</t>
        </is>
      </c>
      <c r="D3" t="inlineStr">
        <is>
          <t>9955643022</t>
        </is>
      </c>
      <c r="E3" t="inlineStr">
        <is>
          <t>priya.nair@example.in</t>
        </is>
      </c>
      <c r="F3" s="8" t="n"/>
      <c r="G3" s="8" t="n"/>
    </row>
    <row r="4">
      <c r="A4" t="inlineStr">
        <is>
          <t>C-1003</t>
        </is>
      </c>
      <c r="B4" t="inlineStr">
        <is>
          <t>Amit Deshpande</t>
        </is>
      </c>
      <c r="C4" t="inlineStr">
        <is>
          <t>Hyderabad</t>
        </is>
      </c>
      <c r="D4" t="inlineStr">
        <is>
          <t>9437939462</t>
        </is>
      </c>
      <c r="E4" t="inlineStr">
        <is>
          <t>amit.deshpande@example.in</t>
        </is>
      </c>
      <c r="F4" s="8" t="n"/>
      <c r="G4" s="8" t="n"/>
    </row>
    <row r="5">
      <c r="A5" t="inlineStr">
        <is>
          <t>C-1004</t>
        </is>
      </c>
      <c r="B5" t="inlineStr">
        <is>
          <t>Sneha Kulkarni</t>
        </is>
      </c>
      <c r="C5" t="inlineStr">
        <is>
          <t>Ahmedabad</t>
        </is>
      </c>
      <c r="D5" t="inlineStr">
        <is>
          <t>9570073869</t>
        </is>
      </c>
      <c r="E5" t="inlineStr">
        <is>
          <t>sneha.kulkarni@example.in</t>
        </is>
      </c>
      <c r="F5" s="8" t="n"/>
      <c r="G5" s="8" t="n"/>
    </row>
    <row r="6">
      <c r="A6" t="inlineStr">
        <is>
          <t>C-1005</t>
        </is>
      </c>
      <c r="B6" t="inlineStr">
        <is>
          <t>Vikram Singh</t>
        </is>
      </c>
      <c r="C6" t="inlineStr">
        <is>
          <t>Hyderabad</t>
        </is>
      </c>
      <c r="D6" t="inlineStr">
        <is>
          <t>9144314596</t>
        </is>
      </c>
      <c r="E6" t="inlineStr">
        <is>
          <t>vikram.singh@example.in</t>
        </is>
      </c>
      <c r="F6" s="8" t="n"/>
      <c r="G6" s="8" t="n"/>
    </row>
    <row r="7">
      <c r="A7" t="inlineStr">
        <is>
          <t>C-1006</t>
        </is>
      </c>
      <c r="B7" t="inlineStr">
        <is>
          <t>Amit Deshpande</t>
        </is>
      </c>
      <c r="C7" t="inlineStr">
        <is>
          <t>Hyderabad</t>
        </is>
      </c>
      <c r="D7" t="inlineStr">
        <is>
          <t>9437939462</t>
        </is>
      </c>
      <c r="E7" t="inlineStr">
        <is>
          <t>amit.deshpande@example.in</t>
        </is>
      </c>
      <c r="F7" s="8" t="n"/>
      <c r="G7" s="8" t="n"/>
    </row>
    <row r="8">
      <c r="A8" t="inlineStr">
        <is>
          <t>C-1007</t>
        </is>
      </c>
      <c r="B8" t="inlineStr">
        <is>
          <t>Ananya Iyer</t>
        </is>
      </c>
      <c r="C8" t="inlineStr">
        <is>
          <t>Hyderabad</t>
        </is>
      </c>
      <c r="D8" t="inlineStr">
        <is>
          <t>9518155902</t>
        </is>
      </c>
      <c r="E8" t="inlineStr">
        <is>
          <t>ananya.iyer@example.in</t>
        </is>
      </c>
      <c r="F8" s="8" t="n"/>
      <c r="G8" s="8" t="n"/>
    </row>
    <row r="9">
      <c r="A9" t="inlineStr">
        <is>
          <t>C-1008</t>
        </is>
      </c>
      <c r="B9" t="inlineStr">
        <is>
          <t>Karthik Reddy</t>
        </is>
      </c>
      <c r="C9" t="inlineStr">
        <is>
          <t>Pune</t>
        </is>
      </c>
      <c r="D9" t="inlineStr">
        <is>
          <t>9974734222</t>
        </is>
      </c>
      <c r="E9" t="inlineStr">
        <is>
          <t>karthik.reddy@example.in</t>
        </is>
      </c>
      <c r="F9" s="8" t="n"/>
      <c r="G9" s="8" t="n"/>
    </row>
    <row r="10">
      <c r="A10" t="inlineStr">
        <is>
          <t>C-1009</t>
        </is>
      </c>
      <c r="B10" t="inlineStr">
        <is>
          <t>Meera Joshi</t>
        </is>
      </c>
      <c r="C10" t="inlineStr">
        <is>
          <t>Chennai</t>
        </is>
      </c>
      <c r="D10" t="inlineStr">
        <is>
          <t>9779020826</t>
        </is>
      </c>
      <c r="E10" t="inlineStr">
        <is>
          <t>meera.joshi@example.in</t>
        </is>
      </c>
      <c r="F10" s="8" t="n"/>
      <c r="G10" s="8" t="n"/>
    </row>
    <row r="11">
      <c r="A11" t="inlineStr">
        <is>
          <t>C-1010</t>
        </is>
      </c>
      <c r="B11" t="inlineStr">
        <is>
          <t>Arjun Patel</t>
        </is>
      </c>
      <c r="C11" t="inlineStr">
        <is>
          <t>Ahmedabad</t>
        </is>
      </c>
      <c r="D11" t="inlineStr">
        <is>
          <t>9725369364</t>
        </is>
      </c>
      <c r="E11" t="inlineStr">
        <is>
          <t>arjun.patel@example.in</t>
        </is>
      </c>
      <c r="F11" s="8" t="n"/>
      <c r="G11" s="8" t="n"/>
    </row>
    <row r="12">
      <c r="A12" t="inlineStr">
        <is>
          <t>C-1011</t>
        </is>
      </c>
      <c r="B12" t="inlineStr">
        <is>
          <t>Meera Joshi</t>
        </is>
      </c>
      <c r="C12" t="inlineStr">
        <is>
          <t>Chennai</t>
        </is>
      </c>
      <c r="D12" t="inlineStr">
        <is>
          <t>9779020826</t>
        </is>
      </c>
      <c r="E12" t="inlineStr">
        <is>
          <t>meera.joshi@example.in</t>
        </is>
      </c>
      <c r="F12" s="8" t="n"/>
      <c r="G12" s="8" t="n"/>
    </row>
    <row r="13">
      <c r="A13" t="inlineStr">
        <is>
          <t>C-1012</t>
        </is>
      </c>
      <c r="B13" t="inlineStr">
        <is>
          <t>Divya Menon</t>
        </is>
      </c>
      <c r="C13" t="inlineStr">
        <is>
          <t>Bengaluru</t>
        </is>
      </c>
      <c r="D13" t="inlineStr">
        <is>
          <t>9313270764</t>
        </is>
      </c>
      <c r="E13" t="inlineStr">
        <is>
          <t>divya.menon@example.in</t>
        </is>
      </c>
      <c r="F13" s="8" t="n"/>
      <c r="G13" s="8" t="n"/>
    </row>
    <row r="14">
      <c r="A14" t="inlineStr">
        <is>
          <t>C-1013</t>
        </is>
      </c>
      <c r="B14" t="inlineStr">
        <is>
          <t>Farhan Qureshi</t>
        </is>
      </c>
      <c r="C14" t="inlineStr">
        <is>
          <t>Delhi</t>
        </is>
      </c>
      <c r="D14" t="inlineStr">
        <is>
          <t>9661856784</t>
        </is>
      </c>
      <c r="E14" t="inlineStr">
        <is>
          <t>farhan.qureshi@example.in</t>
        </is>
      </c>
      <c r="F14" s="8" t="n"/>
      <c r="G14" s="8" t="n"/>
    </row>
    <row r="15">
      <c r="A15" t="inlineStr">
        <is>
          <t>C-1014</t>
        </is>
      </c>
      <c r="B15" t="inlineStr">
        <is>
          <t>Neha Gupta</t>
        </is>
      </c>
      <c r="C15" t="inlineStr">
        <is>
          <t>Delhi</t>
        </is>
      </c>
      <c r="D15" t="inlineStr">
        <is>
          <t>9810622874</t>
        </is>
      </c>
      <c r="E15" t="inlineStr">
        <is>
          <t>neha.gupta@example.in</t>
        </is>
      </c>
      <c r="F15" s="8" t="n"/>
      <c r="G15" s="8" t="n"/>
    </row>
    <row r="16">
      <c r="A16" t="inlineStr">
        <is>
          <t>C-1015</t>
        </is>
      </c>
      <c r="B16" t="inlineStr">
        <is>
          <t>Rohan Mehta</t>
        </is>
      </c>
      <c r="C16" t="inlineStr">
        <is>
          <t>Kolkata</t>
        </is>
      </c>
      <c r="D16" t="inlineStr">
        <is>
          <t>9512867192</t>
        </is>
      </c>
      <c r="E16" t="inlineStr">
        <is>
          <t>rohan.mehta@example.in</t>
        </is>
      </c>
      <c r="F16" s="8" t="n"/>
      <c r="G16" s="8" t="n"/>
    </row>
    <row r="17">
      <c r="A17" t="inlineStr">
        <is>
          <t>C-1016</t>
        </is>
      </c>
      <c r="B17" t="inlineStr">
        <is>
          <t>Neha Gupta</t>
        </is>
      </c>
      <c r="C17" t="inlineStr">
        <is>
          <t>Delhi</t>
        </is>
      </c>
      <c r="D17" t="inlineStr">
        <is>
          <t>9810622874</t>
        </is>
      </c>
      <c r="E17" t="inlineStr">
        <is>
          <t>neha.gupta@example.in</t>
        </is>
      </c>
      <c r="F17" s="8" t="n"/>
      <c r="G17" s="8" t="n"/>
    </row>
    <row r="18">
      <c r="A18" t="inlineStr">
        <is>
          <t>C-1017</t>
        </is>
      </c>
      <c r="B18" t="inlineStr">
        <is>
          <t>Amit Deshpande</t>
        </is>
      </c>
      <c r="C18" t="inlineStr">
        <is>
          <t>Hyderabad</t>
        </is>
      </c>
      <c r="D18" t="inlineStr">
        <is>
          <t>9437939462</t>
        </is>
      </c>
      <c r="E18" t="inlineStr">
        <is>
          <t>amit.deshpande@example.in</t>
        </is>
      </c>
      <c r="F18" s="8" t="n"/>
      <c r="G18" s="8" t="n"/>
    </row>
    <row r="19">
      <c r="A19" t="inlineStr">
        <is>
          <t>C-1018</t>
        </is>
      </c>
      <c r="B19" t="inlineStr">
        <is>
          <t>Ishita Bose</t>
        </is>
      </c>
      <c r="C19" t="inlineStr">
        <is>
          <t>Pune</t>
        </is>
      </c>
      <c r="D19" t="inlineStr">
        <is>
          <t>9801185542</t>
        </is>
      </c>
      <c r="E19" t="inlineStr">
        <is>
          <t>ishita.bose@example.in</t>
        </is>
      </c>
      <c r="F19" s="8" t="n"/>
      <c r="G19" s="8" t="n"/>
    </row>
    <row r="20">
      <c r="A20" t="inlineStr">
        <is>
          <t>C-1019</t>
        </is>
      </c>
      <c r="B20" t="inlineStr">
        <is>
          <t>Gaurav Malhotra</t>
        </is>
      </c>
      <c r="C20" t="inlineStr">
        <is>
          <t>Bengaluru</t>
        </is>
      </c>
      <c r="D20" t="inlineStr">
        <is>
          <t>9219143189</t>
        </is>
      </c>
      <c r="E20" t="inlineStr">
        <is>
          <t>gaurav.malhotra@example.in</t>
        </is>
      </c>
      <c r="F20" s="8" t="n"/>
      <c r="G20" s="8" t="n"/>
    </row>
    <row r="21">
      <c r="A21" t="inlineStr">
        <is>
          <t>C-1020</t>
        </is>
      </c>
      <c r="B21" t="inlineStr">
        <is>
          <t>Pooja Agarwal</t>
        </is>
      </c>
      <c r="C21" t="inlineStr">
        <is>
          <t>Chennai</t>
        </is>
      </c>
      <c r="D21" t="inlineStr">
        <is>
          <t>9179799877</t>
        </is>
      </c>
      <c r="E21" t="inlineStr">
        <is>
          <t>pooja.agarwal@example.in</t>
        </is>
      </c>
      <c r="F21" s="8" t="n"/>
      <c r="G21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2" customWidth="1" min="4" max="4"/>
    <col width="28" customWidth="1" min="5" max="5"/>
    <col width="7" customWidth="1" min="6" max="6"/>
    <col width="8" customWidth="1" min="7" max="7"/>
    <col width="3" customWidth="1" min="8" max="8"/>
    <col width="26" customWidth="1" min="9" max="9"/>
  </cols>
  <sheetData>
    <row r="1">
      <c r="A1" s="3" t="inlineStr">
        <is>
          <t>Customer 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Mobile</t>
        </is>
      </c>
      <c r="E1" s="3" t="inlineStr">
        <is>
          <t>Email</t>
        </is>
      </c>
      <c r="F1" s="3" t="inlineStr">
        <is>
          <t>Count</t>
        </is>
      </c>
      <c r="G1" s="3" t="inlineStr">
        <is>
          <t>Entry</t>
        </is>
      </c>
      <c r="I1" s="4" t="inlineStr">
        <is>
          <t>Challenge: distinct mobiles</t>
        </is>
      </c>
    </row>
    <row r="2">
      <c r="A2" t="inlineStr">
        <is>
          <t>C-1001</t>
        </is>
      </c>
      <c r="B2" t="inlineStr">
        <is>
          <t>Rahul Sharma</t>
        </is>
      </c>
      <c r="C2" t="inlineStr">
        <is>
          <t>Hyderabad</t>
        </is>
      </c>
      <c r="D2" t="inlineStr">
        <is>
          <t>9914312494</t>
        </is>
      </c>
      <c r="E2" t="inlineStr">
        <is>
          <t>rahul.sharma@example.in</t>
        </is>
      </c>
      <c r="F2">
        <f>COUNTIF($D$2:$D$17,D2)</f>
        <v/>
      </c>
      <c r="G2">
        <f>IF(COUNTIF($D$2:D2,D2)&gt;1,"Repeat","First")</f>
        <v/>
      </c>
      <c r="I2" cm="1">
        <f t="array" ref="I2">COUNTA(_xlfn.UNIQUE(D2:D17))</f>
        <v/>
      </c>
    </row>
    <row r="3">
      <c r="A3" t="inlineStr">
        <is>
          <t>C-1002</t>
        </is>
      </c>
      <c r="B3" t="inlineStr">
        <is>
          <t>Priya Nair</t>
        </is>
      </c>
      <c r="C3" t="inlineStr">
        <is>
          <t>Bengaluru</t>
        </is>
      </c>
      <c r="D3" t="inlineStr">
        <is>
          <t>9955643022</t>
        </is>
      </c>
      <c r="E3" t="inlineStr">
        <is>
          <t>priya.nair@example.in</t>
        </is>
      </c>
      <c r="F3">
        <f>COUNTIF($D$2:$D$17,D3)</f>
        <v/>
      </c>
      <c r="G3">
        <f>IF(COUNTIF($D$2:D3,D3)&gt;1,"Repeat","First")</f>
        <v/>
      </c>
    </row>
    <row r="4">
      <c r="A4" t="inlineStr">
        <is>
          <t>C-1003</t>
        </is>
      </c>
      <c r="B4" t="inlineStr">
        <is>
          <t>Amit Deshpande</t>
        </is>
      </c>
      <c r="C4" t="inlineStr">
        <is>
          <t>Hyderabad</t>
        </is>
      </c>
      <c r="D4" t="inlineStr">
        <is>
          <t>9437939462</t>
        </is>
      </c>
      <c r="E4" t="inlineStr">
        <is>
          <t>amit.deshpande@example.in</t>
        </is>
      </c>
      <c r="F4">
        <f>COUNTIF($D$2:$D$17,D4)</f>
        <v/>
      </c>
      <c r="G4">
        <f>IF(COUNTIF($D$2:D4,D4)&gt;1,"Repeat","First")</f>
        <v/>
      </c>
    </row>
    <row r="5">
      <c r="A5" t="inlineStr">
        <is>
          <t>C-1004</t>
        </is>
      </c>
      <c r="B5" t="inlineStr">
        <is>
          <t>Sneha Kulkarni</t>
        </is>
      </c>
      <c r="C5" t="inlineStr">
        <is>
          <t>Ahmedabad</t>
        </is>
      </c>
      <c r="D5" t="inlineStr">
        <is>
          <t>9570073869</t>
        </is>
      </c>
      <c r="E5" t="inlineStr">
        <is>
          <t>sneha.kulkarni@example.in</t>
        </is>
      </c>
      <c r="F5">
        <f>COUNTIF($D$2:$D$17,D5)</f>
        <v/>
      </c>
      <c r="G5">
        <f>IF(COUNTIF($D$2:D5,D5)&gt;1,"Repeat","First")</f>
        <v/>
      </c>
    </row>
    <row r="6">
      <c r="A6" t="inlineStr">
        <is>
          <t>C-1005</t>
        </is>
      </c>
      <c r="B6" t="inlineStr">
        <is>
          <t>Vikram Singh</t>
        </is>
      </c>
      <c r="C6" t="inlineStr">
        <is>
          <t>Hyderabad</t>
        </is>
      </c>
      <c r="D6" t="inlineStr">
        <is>
          <t>9144314596</t>
        </is>
      </c>
      <c r="E6" t="inlineStr">
        <is>
          <t>vikram.singh@example.in</t>
        </is>
      </c>
      <c r="F6">
        <f>COUNTIF($D$2:$D$17,D6)</f>
        <v/>
      </c>
      <c r="G6">
        <f>IF(COUNTIF($D$2:D6,D6)&gt;1,"Repeat","First")</f>
        <v/>
      </c>
    </row>
    <row r="7">
      <c r="A7" t="inlineStr">
        <is>
          <t>C-1007</t>
        </is>
      </c>
      <c r="B7" t="inlineStr">
        <is>
          <t>Ananya Iyer</t>
        </is>
      </c>
      <c r="C7" t="inlineStr">
        <is>
          <t>Hyderabad</t>
        </is>
      </c>
      <c r="D7" t="inlineStr">
        <is>
          <t>9518155902</t>
        </is>
      </c>
      <c r="E7" t="inlineStr">
        <is>
          <t>ananya.iyer@example.in</t>
        </is>
      </c>
      <c r="F7">
        <f>COUNTIF($D$2:$D$17,D7)</f>
        <v/>
      </c>
      <c r="G7">
        <f>IF(COUNTIF($D$2:D7,D7)&gt;1,"Repeat","First")</f>
        <v/>
      </c>
    </row>
    <row r="8">
      <c r="A8" t="inlineStr">
        <is>
          <t>C-1008</t>
        </is>
      </c>
      <c r="B8" t="inlineStr">
        <is>
          <t>Karthik Reddy</t>
        </is>
      </c>
      <c r="C8" t="inlineStr">
        <is>
          <t>Pune</t>
        </is>
      </c>
      <c r="D8" t="inlineStr">
        <is>
          <t>9974734222</t>
        </is>
      </c>
      <c r="E8" t="inlineStr">
        <is>
          <t>karthik.reddy@example.in</t>
        </is>
      </c>
      <c r="F8">
        <f>COUNTIF($D$2:$D$17,D8)</f>
        <v/>
      </c>
      <c r="G8">
        <f>IF(COUNTIF($D$2:D8,D8)&gt;1,"Repeat","First")</f>
        <v/>
      </c>
    </row>
    <row r="9">
      <c r="A9" t="inlineStr">
        <is>
          <t>C-1009</t>
        </is>
      </c>
      <c r="B9" t="inlineStr">
        <is>
          <t>Meera Joshi</t>
        </is>
      </c>
      <c r="C9" t="inlineStr">
        <is>
          <t>Chennai</t>
        </is>
      </c>
      <c r="D9" t="inlineStr">
        <is>
          <t>9779020826</t>
        </is>
      </c>
      <c r="E9" t="inlineStr">
        <is>
          <t>meera.joshi@example.in</t>
        </is>
      </c>
      <c r="F9">
        <f>COUNTIF($D$2:$D$17,D9)</f>
        <v/>
      </c>
      <c r="G9">
        <f>IF(COUNTIF($D$2:D9,D9)&gt;1,"Repeat","First")</f>
        <v/>
      </c>
    </row>
    <row r="10">
      <c r="A10" t="inlineStr">
        <is>
          <t>C-1010</t>
        </is>
      </c>
      <c r="B10" t="inlineStr">
        <is>
          <t>Arjun Patel</t>
        </is>
      </c>
      <c r="C10" t="inlineStr">
        <is>
          <t>Ahmedabad</t>
        </is>
      </c>
      <c r="D10" t="inlineStr">
        <is>
          <t>9725369364</t>
        </is>
      </c>
      <c r="E10" t="inlineStr">
        <is>
          <t>arjun.patel@example.in</t>
        </is>
      </c>
      <c r="F10">
        <f>COUNTIF($D$2:$D$17,D10)</f>
        <v/>
      </c>
      <c r="G10">
        <f>IF(COUNTIF($D$2:D10,D10)&gt;1,"Repeat","First")</f>
        <v/>
      </c>
    </row>
    <row r="11">
      <c r="A11" t="inlineStr">
        <is>
          <t>C-1012</t>
        </is>
      </c>
      <c r="B11" t="inlineStr">
        <is>
          <t>Divya Menon</t>
        </is>
      </c>
      <c r="C11" t="inlineStr">
        <is>
          <t>Bengaluru</t>
        </is>
      </c>
      <c r="D11" t="inlineStr">
        <is>
          <t>9313270764</t>
        </is>
      </c>
      <c r="E11" t="inlineStr">
        <is>
          <t>divya.menon@example.in</t>
        </is>
      </c>
      <c r="F11">
        <f>COUNTIF($D$2:$D$17,D11)</f>
        <v/>
      </c>
      <c r="G11">
        <f>IF(COUNTIF($D$2:D11,D11)&gt;1,"Repeat","First")</f>
        <v/>
      </c>
    </row>
    <row r="12">
      <c r="A12" t="inlineStr">
        <is>
          <t>C-1013</t>
        </is>
      </c>
      <c r="B12" t="inlineStr">
        <is>
          <t>Farhan Qureshi</t>
        </is>
      </c>
      <c r="C12" t="inlineStr">
        <is>
          <t>Delhi</t>
        </is>
      </c>
      <c r="D12" t="inlineStr">
        <is>
          <t>9661856784</t>
        </is>
      </c>
      <c r="E12" t="inlineStr">
        <is>
          <t>farhan.qureshi@example.in</t>
        </is>
      </c>
      <c r="F12">
        <f>COUNTIF($D$2:$D$17,D12)</f>
        <v/>
      </c>
      <c r="G12">
        <f>IF(COUNTIF($D$2:D12,D12)&gt;1,"Repeat","First")</f>
        <v/>
      </c>
    </row>
    <row r="13">
      <c r="A13" t="inlineStr">
        <is>
          <t>C-1014</t>
        </is>
      </c>
      <c r="B13" t="inlineStr">
        <is>
          <t>Neha Gupta</t>
        </is>
      </c>
      <c r="C13" t="inlineStr">
        <is>
          <t>Delhi</t>
        </is>
      </c>
      <c r="D13" t="inlineStr">
        <is>
          <t>9810622874</t>
        </is>
      </c>
      <c r="E13" t="inlineStr">
        <is>
          <t>neha.gupta@example.in</t>
        </is>
      </c>
      <c r="F13">
        <f>COUNTIF($D$2:$D$17,D13)</f>
        <v/>
      </c>
      <c r="G13">
        <f>IF(COUNTIF($D$2:D13,D13)&gt;1,"Repeat","First")</f>
        <v/>
      </c>
    </row>
    <row r="14">
      <c r="A14" t="inlineStr">
        <is>
          <t>C-1015</t>
        </is>
      </c>
      <c r="B14" t="inlineStr">
        <is>
          <t>Rohan Mehta</t>
        </is>
      </c>
      <c r="C14" t="inlineStr">
        <is>
          <t>Kolkata</t>
        </is>
      </c>
      <c r="D14" t="inlineStr">
        <is>
          <t>9512867192</t>
        </is>
      </c>
      <c r="E14" t="inlineStr">
        <is>
          <t>rohan.mehta@example.in</t>
        </is>
      </c>
      <c r="F14">
        <f>COUNTIF($D$2:$D$17,D14)</f>
        <v/>
      </c>
      <c r="G14">
        <f>IF(COUNTIF($D$2:D14,D14)&gt;1,"Repeat","First")</f>
        <v/>
      </c>
    </row>
    <row r="15">
      <c r="A15" t="inlineStr">
        <is>
          <t>C-1018</t>
        </is>
      </c>
      <c r="B15" t="inlineStr">
        <is>
          <t>Ishita Bose</t>
        </is>
      </c>
      <c r="C15" t="inlineStr">
        <is>
          <t>Pune</t>
        </is>
      </c>
      <c r="D15" t="inlineStr">
        <is>
          <t>9801185542</t>
        </is>
      </c>
      <c r="E15" t="inlineStr">
        <is>
          <t>ishita.bose@example.in</t>
        </is>
      </c>
      <c r="F15">
        <f>COUNTIF($D$2:$D$17,D15)</f>
        <v/>
      </c>
      <c r="G15">
        <f>IF(COUNTIF($D$2:D15,D15)&gt;1,"Repeat","First")</f>
        <v/>
      </c>
    </row>
    <row r="16">
      <c r="A16" t="inlineStr">
        <is>
          <t>C-1019</t>
        </is>
      </c>
      <c r="B16" t="inlineStr">
        <is>
          <t>Gaurav Malhotra</t>
        </is>
      </c>
      <c r="C16" t="inlineStr">
        <is>
          <t>Bengaluru</t>
        </is>
      </c>
      <c r="D16" t="inlineStr">
        <is>
          <t>9219143189</t>
        </is>
      </c>
      <c r="E16" t="inlineStr">
        <is>
          <t>gaurav.malhotra@example.in</t>
        </is>
      </c>
      <c r="F16">
        <f>COUNTIF($D$2:$D$17,D16)</f>
        <v/>
      </c>
      <c r="G16">
        <f>IF(COUNTIF($D$2:D16,D16)&gt;1,"Repeat","First")</f>
        <v/>
      </c>
    </row>
    <row r="17">
      <c r="A17" t="inlineStr">
        <is>
          <t>C-1020</t>
        </is>
      </c>
      <c r="B17" t="inlineStr">
        <is>
          <t>Pooja Agarwal</t>
        </is>
      </c>
      <c r="C17" t="inlineStr">
        <is>
          <t>Chennai</t>
        </is>
      </c>
      <c r="D17" t="inlineStr">
        <is>
          <t>9179799877</t>
        </is>
      </c>
      <c r="E17" t="inlineStr">
        <is>
          <t>pooja.agarwal@example.in</t>
        </is>
      </c>
      <c r="F17">
        <f>COUNTIF($D$2:$D$17,D17)</f>
        <v/>
      </c>
      <c r="G17">
        <f>IF(COUNTIF($D$2:D17,D17)&gt;1,"Repeat","First")</f>
        <v/>
      </c>
    </row>
  </sheetData>
  <conditionalFormatting sqref="D2:D17">
    <cfRule type="duplicateValues" priority="1" dxfId="0"/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2" customWidth="1" min="6" max="6"/>
    <col width="3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Category</t>
        </is>
      </c>
      <c r="D1" s="3" t="inlineStr">
        <is>
          <t>Amount</t>
        </is>
      </c>
      <c r="E1" s="3" t="inlineStr">
        <is>
          <t>City</t>
        </is>
      </c>
      <c r="F1" s="3" t="inlineStr">
        <is>
          <t>Bill No</t>
        </is>
      </c>
      <c r="H1" s="3" t="inlineStr">
        <is>
          <t>Categories</t>
        </is>
      </c>
    </row>
    <row r="2">
      <c r="A2" s="11" t="n"/>
      <c r="B2" t="inlineStr">
        <is>
          <t>Rahul Verma</t>
        </is>
      </c>
      <c r="C2" s="8" t="n"/>
      <c r="D2" s="5" t="n"/>
      <c r="E2" s="8" t="n"/>
      <c r="F2" s="8" t="n"/>
      <c r="H2" t="inlineStr">
        <is>
          <t>Travel</t>
        </is>
      </c>
    </row>
    <row r="3">
      <c r="A3" s="11" t="n"/>
      <c r="B3" t="inlineStr">
        <is>
          <t>Kavya Iyer</t>
        </is>
      </c>
      <c r="C3" s="8" t="n"/>
      <c r="D3" s="5" t="n"/>
      <c r="E3" s="8" t="n"/>
      <c r="F3" s="8" t="n"/>
      <c r="H3" t="inlineStr">
        <is>
          <t>Food</t>
        </is>
      </c>
    </row>
    <row r="4">
      <c r="A4" s="11" t="n"/>
      <c r="B4" t="inlineStr">
        <is>
          <t>Amit Deshpande</t>
        </is>
      </c>
      <c r="C4" s="8" t="n"/>
      <c r="D4" s="5" t="n"/>
      <c r="E4" s="8" t="n"/>
      <c r="F4" s="8" t="n"/>
      <c r="H4" t="inlineStr">
        <is>
          <t>Lodging</t>
        </is>
      </c>
    </row>
    <row r="5">
      <c r="A5" s="11" t="n"/>
      <c r="B5" t="inlineStr">
        <is>
          <t>Sana Sheikh</t>
        </is>
      </c>
      <c r="C5" s="8" t="n"/>
      <c r="D5" s="5" t="n"/>
      <c r="E5" s="8" t="n"/>
      <c r="F5" s="8" t="n"/>
      <c r="H5" t="inlineStr">
        <is>
          <t>Fuel</t>
        </is>
      </c>
    </row>
    <row r="6">
      <c r="A6" s="11" t="n"/>
      <c r="B6" t="inlineStr">
        <is>
          <t>Harpreet Kaur</t>
        </is>
      </c>
      <c r="C6" s="8" t="n"/>
      <c r="D6" s="5" t="n"/>
      <c r="E6" s="8" t="n"/>
      <c r="F6" s="8" t="n"/>
      <c r="H6" t="inlineStr">
        <is>
          <t>Mobile</t>
        </is>
      </c>
    </row>
    <row r="7">
      <c r="A7" s="11" t="n"/>
      <c r="B7" t="inlineStr">
        <is>
          <t>Nikhil Rao</t>
        </is>
      </c>
      <c r="C7" s="8" t="n"/>
      <c r="D7" s="5" t="n"/>
      <c r="E7" s="8" t="n"/>
      <c r="F7" s="8" t="n"/>
      <c r="H7" t="inlineStr">
        <is>
          <t>Stationery</t>
        </is>
      </c>
    </row>
    <row r="8">
      <c r="A8" s="11" t="n"/>
      <c r="B8" t="inlineStr">
        <is>
          <t>Pooja Agarwal</t>
        </is>
      </c>
      <c r="C8" s="8" t="n"/>
      <c r="D8" s="5" t="n"/>
      <c r="E8" s="8" t="n"/>
      <c r="F8" s="8" t="n"/>
    </row>
    <row r="9">
      <c r="A9" s="11" t="n"/>
      <c r="B9" t="inlineStr">
        <is>
          <t>Suresh Pillai</t>
        </is>
      </c>
      <c r="C9" s="8" t="n"/>
      <c r="D9" s="5" t="n"/>
      <c r="E9" s="8" t="n"/>
      <c r="F9" s="8" t="n"/>
    </row>
    <row r="10">
      <c r="A10" s="11" t="n"/>
      <c r="B10" t="inlineStr">
        <is>
          <t>Ishita Bose</t>
        </is>
      </c>
      <c r="C10" s="8" t="n"/>
      <c r="D10" s="5" t="n"/>
      <c r="E10" s="8" t="n"/>
      <c r="F10" s="8" t="n"/>
    </row>
    <row r="11">
      <c r="A11" s="11" t="n"/>
      <c r="B11" t="inlineStr">
        <is>
          <t>Manoj Yadav</t>
        </is>
      </c>
      <c r="C11" s="8" t="n"/>
      <c r="D11" s="5" t="n"/>
      <c r="E11" s="8" t="n"/>
      <c r="F11" s="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2" customWidth="1" min="6" max="6"/>
    <col width="3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Employee</t>
        </is>
      </c>
      <c r="C1" s="3" t="inlineStr">
        <is>
          <t>Category</t>
        </is>
      </c>
      <c r="D1" s="3" t="inlineStr">
        <is>
          <t>Amount</t>
        </is>
      </c>
      <c r="E1" s="3" t="inlineStr">
        <is>
          <t>City</t>
        </is>
      </c>
      <c r="F1" s="3" t="inlineStr">
        <is>
          <t>Bill No</t>
        </is>
      </c>
      <c r="H1" s="3" t="inlineStr">
        <is>
          <t>Categories</t>
        </is>
      </c>
    </row>
    <row r="2">
      <c r="A2" s="6" t="n">
        <v>46300</v>
      </c>
      <c r="B2" t="inlineStr">
        <is>
          <t>Rahul Verma</t>
        </is>
      </c>
      <c r="C2" t="inlineStr">
        <is>
          <t>Food</t>
        </is>
      </c>
      <c r="D2" s="7" t="n">
        <v>4500</v>
      </c>
      <c r="E2" t="inlineStr">
        <is>
          <t>Pune</t>
        </is>
      </c>
      <c r="F2" t="inlineStr">
        <is>
          <t>BL26-00481</t>
        </is>
      </c>
      <c r="H2" t="inlineStr">
        <is>
          <t>Travel</t>
        </is>
      </c>
    </row>
    <row r="3">
      <c r="A3" s="6" t="n">
        <v>46302</v>
      </c>
      <c r="B3" t="inlineStr">
        <is>
          <t>Kavya Iyer</t>
        </is>
      </c>
      <c r="C3" t="inlineStr">
        <is>
          <t>Travel</t>
        </is>
      </c>
      <c r="D3" s="7" t="n">
        <v>12800</v>
      </c>
      <c r="E3" t="inlineStr">
        <is>
          <t>Chennai</t>
        </is>
      </c>
      <c r="F3" t="inlineStr">
        <is>
          <t>BL26-00502</t>
        </is>
      </c>
      <c r="H3" t="inlineStr">
        <is>
          <t>Food</t>
        </is>
      </c>
    </row>
    <row r="4">
      <c r="A4" s="6" t="n">
        <v>46304</v>
      </c>
      <c r="B4" t="inlineStr">
        <is>
          <t>Amit Deshpande</t>
        </is>
      </c>
      <c r="C4" t="inlineStr">
        <is>
          <t>Lodging</t>
        </is>
      </c>
      <c r="D4" s="7" t="n">
        <v>9600</v>
      </c>
      <c r="E4" t="inlineStr">
        <is>
          <t>Nagpur</t>
        </is>
      </c>
      <c r="F4" t="inlineStr">
        <is>
          <t>BL26-00517</t>
        </is>
      </c>
      <c r="H4" t="inlineStr">
        <is>
          <t>Lodging</t>
        </is>
      </c>
    </row>
    <row r="5">
      <c r="A5" s="6" t="n"/>
      <c r="B5" t="inlineStr">
        <is>
          <t>Sana Sheikh</t>
        </is>
      </c>
      <c r="D5" s="7" t="n"/>
      <c r="H5" t="inlineStr">
        <is>
          <t>Fuel</t>
        </is>
      </c>
    </row>
    <row r="6">
      <c r="A6" s="6" t="n"/>
      <c r="B6" t="inlineStr">
        <is>
          <t>Harpreet Kaur</t>
        </is>
      </c>
      <c r="D6" s="7" t="n"/>
      <c r="H6" t="inlineStr">
        <is>
          <t>Mobile</t>
        </is>
      </c>
    </row>
    <row r="7">
      <c r="A7" s="6" t="n"/>
      <c r="B7" t="inlineStr">
        <is>
          <t>Nikhil Rao</t>
        </is>
      </c>
      <c r="D7" s="7" t="n"/>
      <c r="H7" t="inlineStr">
        <is>
          <t>Stationery</t>
        </is>
      </c>
    </row>
    <row r="8">
      <c r="A8" s="6" t="n"/>
      <c r="B8" t="inlineStr">
        <is>
          <t>Pooja Agarwal</t>
        </is>
      </c>
      <c r="D8" s="7" t="n"/>
    </row>
    <row r="9">
      <c r="A9" s="6" t="n"/>
      <c r="B9" t="inlineStr">
        <is>
          <t>Suresh Pillai</t>
        </is>
      </c>
      <c r="D9" s="7" t="n"/>
    </row>
    <row r="10">
      <c r="A10" s="6" t="n"/>
      <c r="B10" t="inlineStr">
        <is>
          <t>Ishita Bose</t>
        </is>
      </c>
      <c r="D10" s="7" t="n"/>
    </row>
    <row r="11">
      <c r="A11" s="6" t="n"/>
      <c r="B11" t="inlineStr">
        <is>
          <t>Manoj Yadav</t>
        </is>
      </c>
      <c r="D11" s="7" t="n"/>
    </row>
  </sheetData>
  <dataValidations count="4">
    <dataValidation sqref="C2:C11" showDropDown="0" showInputMessage="0" showErrorMessage="0" allowBlank="1" type="list">
      <formula1>$H$2:$H$7</formula1>
    </dataValidation>
    <dataValidation sqref="D2:D11" showDropDown="0" showInputMessage="1" showErrorMessage="1" allowBlank="1" errorTitle="Too high" error="Claims above ₹50,000 need CFO approval." promptTitle="Amount" prompt="Whole rupees, up to 50,000" type="whole" errorStyle="stop" operator="between">
      <formula1>1</formula1>
      <formula2>50000</formula2>
    </dataValidation>
    <dataValidation sqref="A2:A11" showDropDown="0" showInputMessage="0" showErrorMessage="1" allowBlank="1" error="Use a date in FY 2026-27." type="date" operator="between">
      <formula1>DATE(2026,4,1)</formula1>
      <formula2>DATE(2027,3,31)</formula2>
    </dataValidation>
    <dataValidation sqref="F2:F11" showDropDown="0" showInputMessage="0" showErrorMessage="1" allowBlank="1" error="Bill numbers have exactly 10 characters." type="textLength" operator="equal">
      <formula1>10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" customWidth="1" min="3" max="3"/>
    <col width="13" customWidth="1" min="4" max="4"/>
    <col width="15" customWidth="1" min="5" max="5"/>
    <col width="3" customWidth="1" min="6" max="6"/>
    <col width="13" customWidth="1" min="7" max="7"/>
    <col width="17" customWidth="1" min="8" max="8"/>
  </cols>
  <sheetData>
    <row r="1">
      <c r="A1" s="4" t="inlineStr">
        <is>
          <t>State</t>
        </is>
      </c>
      <c r="B1" s="8" t="n"/>
      <c r="D1" t="inlineStr">
        <is>
          <t>State</t>
        </is>
      </c>
      <c r="E1" t="inlineStr">
        <is>
          <t>City</t>
        </is>
      </c>
      <c r="G1" s="3" t="inlineStr">
        <is>
          <t>States</t>
        </is>
      </c>
      <c r="H1" s="3" t="inlineStr">
        <is>
          <t>Cities in state</t>
        </is>
      </c>
    </row>
    <row r="2">
      <c r="A2" s="4" t="inlineStr">
        <is>
          <t>City</t>
        </is>
      </c>
      <c r="B2" s="8" t="n"/>
      <c r="D2" t="inlineStr">
        <is>
          <t>Maharashtra</t>
        </is>
      </c>
      <c r="E2" t="inlineStr">
        <is>
          <t>Pune</t>
        </is>
      </c>
      <c r="G2" s="8" t="n"/>
      <c r="H2" s="8" t="n"/>
    </row>
    <row r="3">
      <c r="A3" s="4" t="inlineStr">
        <is>
          <t>Check</t>
        </is>
      </c>
      <c r="B3" s="8" t="n"/>
      <c r="D3" t="inlineStr">
        <is>
          <t>Karnataka</t>
        </is>
      </c>
      <c r="E3" t="inlineStr">
        <is>
          <t>Bengaluru</t>
        </is>
      </c>
    </row>
    <row r="4">
      <c r="D4" t="inlineStr">
        <is>
          <t>Tamil Nadu</t>
        </is>
      </c>
      <c r="E4" t="inlineStr">
        <is>
          <t>Chennai</t>
        </is>
      </c>
    </row>
    <row r="5">
      <c r="D5" t="inlineStr">
        <is>
          <t>Gujarat</t>
        </is>
      </c>
      <c r="E5" t="inlineStr">
        <is>
          <t>Ahmedabad</t>
        </is>
      </c>
    </row>
    <row r="6">
      <c r="D6" t="inlineStr">
        <is>
          <t>Maharashtra</t>
        </is>
      </c>
      <c r="E6" t="inlineStr">
        <is>
          <t>Mumbai</t>
        </is>
      </c>
    </row>
    <row r="7">
      <c r="D7" t="inlineStr">
        <is>
          <t>Karnataka</t>
        </is>
      </c>
      <c r="E7" t="inlineStr">
        <is>
          <t>Mysuru</t>
        </is>
      </c>
    </row>
    <row r="8">
      <c r="D8" t="inlineStr">
        <is>
          <t>Tamil Nadu</t>
        </is>
      </c>
      <c r="E8" t="inlineStr">
        <is>
          <t>Coimbatore</t>
        </is>
      </c>
    </row>
    <row r="9">
      <c r="D9" t="inlineStr">
        <is>
          <t>Gujarat</t>
        </is>
      </c>
      <c r="E9" t="inlineStr">
        <is>
          <t>Surat</t>
        </is>
      </c>
    </row>
    <row r="10">
      <c r="D10" t="inlineStr">
        <is>
          <t>Maharashtra</t>
        </is>
      </c>
      <c r="E10" t="inlineStr">
        <is>
          <t>Nagpur</t>
        </is>
      </c>
    </row>
    <row r="11">
      <c r="D11" t="inlineStr">
        <is>
          <t>Karnataka</t>
        </is>
      </c>
      <c r="E11" t="inlineStr">
        <is>
          <t>Mangaluru</t>
        </is>
      </c>
    </row>
    <row r="12">
      <c r="D12" t="inlineStr">
        <is>
          <t>Tamil Nadu</t>
        </is>
      </c>
      <c r="E12" t="inlineStr">
        <is>
          <t>Madurai</t>
        </is>
      </c>
    </row>
    <row r="13">
      <c r="D13" t="inlineStr">
        <is>
          <t>Gujarat</t>
        </is>
      </c>
      <c r="E13" t="inlineStr">
        <is>
          <t>Vadodara</t>
        </is>
      </c>
    </row>
    <row r="14">
      <c r="D14" t="inlineStr">
        <is>
          <t>Maharashtra</t>
        </is>
      </c>
      <c r="E14" t="inlineStr">
        <is>
          <t>Nashik</t>
        </is>
      </c>
    </row>
    <row r="15">
      <c r="D15" t="inlineStr">
        <is>
          <t>Karnataka</t>
        </is>
      </c>
      <c r="E15" t="inlineStr">
        <is>
          <t>Hubballi</t>
        </is>
      </c>
    </row>
    <row r="16">
      <c r="D16" t="inlineStr">
        <is>
          <t>Tamil Nadu</t>
        </is>
      </c>
      <c r="E16" t="inlineStr">
        <is>
          <t>Tiruchirappalli</t>
        </is>
      </c>
    </row>
    <row r="17">
      <c r="D17" t="inlineStr">
        <is>
          <t>Gujarat</t>
        </is>
      </c>
      <c r="E17" t="inlineStr">
        <is>
          <t>Rajkot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" customWidth="1" min="3" max="3"/>
    <col width="13" customWidth="1" min="4" max="4"/>
    <col width="15" customWidth="1" min="5" max="5"/>
    <col width="3" customWidth="1" min="6" max="6"/>
    <col width="13" customWidth="1" min="7" max="7"/>
    <col width="17" customWidth="1" min="8" max="8"/>
  </cols>
  <sheetData>
    <row r="1">
      <c r="A1" s="4" t="inlineStr">
        <is>
          <t>State</t>
        </is>
      </c>
      <c r="B1" t="inlineStr">
        <is>
          <t>Tamil Nadu</t>
        </is>
      </c>
      <c r="D1" t="inlineStr">
        <is>
          <t>State</t>
        </is>
      </c>
      <c r="E1" t="inlineStr">
        <is>
          <t>City</t>
        </is>
      </c>
      <c r="G1" s="3" t="inlineStr">
        <is>
          <t>States</t>
        </is>
      </c>
      <c r="H1" s="3" t="inlineStr">
        <is>
          <t>Cities in state</t>
        </is>
      </c>
    </row>
    <row r="2">
      <c r="A2" s="4" t="inlineStr">
        <is>
          <t>City</t>
        </is>
      </c>
      <c r="B2" t="inlineStr">
        <is>
          <t>Chennai</t>
        </is>
      </c>
      <c r="D2" t="inlineStr">
        <is>
          <t>Maharashtra</t>
        </is>
      </c>
      <c r="E2" t="inlineStr">
        <is>
          <t>Pune</t>
        </is>
      </c>
      <c r="G2" cm="1">
        <f t="array" ref="G2:G5">_xlfn._xlws.SORT(_xlfn.UNIQUE(tblCitiesDone[State]))</f>
        <v/>
      </c>
      <c r="H2" cm="1">
        <f t="array" ref="H2:H5">_xlfn._xlws.SORT(_xlfn._xlws.FILTER(tblCitiesDone[City],tblCitiesDone[State]=B1,"Pick a state first"))</f>
        <v/>
      </c>
    </row>
    <row r="3">
      <c r="A3" s="4" t="inlineStr">
        <is>
          <t>Check</t>
        </is>
      </c>
      <c r="B3" cm="1">
        <f t="array" ref="B3">IF(COUNTIF(_xlfn.ANCHORARRAY(H2),B2),"OK","Pick the city again")</f>
        <v/>
      </c>
      <c r="D3" t="inlineStr">
        <is>
          <t>Karnataka</t>
        </is>
      </c>
      <c r="E3" t="inlineStr">
        <is>
          <t>Bengaluru</t>
        </is>
      </c>
    </row>
    <row r="4">
      <c r="D4" t="inlineStr">
        <is>
          <t>Tamil Nadu</t>
        </is>
      </c>
      <c r="E4" t="inlineStr">
        <is>
          <t>Chennai</t>
        </is>
      </c>
    </row>
    <row r="5">
      <c r="D5" t="inlineStr">
        <is>
          <t>Gujarat</t>
        </is>
      </c>
      <c r="E5" t="inlineStr">
        <is>
          <t>Ahmedabad</t>
        </is>
      </c>
    </row>
    <row r="6">
      <c r="A6" s="12" t="inlineStr">
        <is>
          <t>Dropdown sources here use OFFSET(…COUNTA…), which behaves like =$G$2# and =$H$2#.</t>
        </is>
      </c>
      <c r="D6" t="inlineStr">
        <is>
          <t>Maharashtra</t>
        </is>
      </c>
      <c r="E6" t="inlineStr">
        <is>
          <t>Mumbai</t>
        </is>
      </c>
    </row>
    <row r="7">
      <c r="D7" t="inlineStr">
        <is>
          <t>Karnataka</t>
        </is>
      </c>
      <c r="E7" t="inlineStr">
        <is>
          <t>Mysuru</t>
        </is>
      </c>
    </row>
    <row r="8">
      <c r="D8" t="inlineStr">
        <is>
          <t>Tamil Nadu</t>
        </is>
      </c>
      <c r="E8" t="inlineStr">
        <is>
          <t>Coimbatore</t>
        </is>
      </c>
    </row>
    <row r="9">
      <c r="D9" t="inlineStr">
        <is>
          <t>Gujarat</t>
        </is>
      </c>
      <c r="E9" t="inlineStr">
        <is>
          <t>Surat</t>
        </is>
      </c>
    </row>
    <row r="10">
      <c r="D10" t="inlineStr">
        <is>
          <t>Maharashtra</t>
        </is>
      </c>
      <c r="E10" t="inlineStr">
        <is>
          <t>Nagpur</t>
        </is>
      </c>
    </row>
    <row r="11">
      <c r="D11" t="inlineStr">
        <is>
          <t>Karnataka</t>
        </is>
      </c>
      <c r="E11" t="inlineStr">
        <is>
          <t>Mangaluru</t>
        </is>
      </c>
    </row>
    <row r="12">
      <c r="D12" t="inlineStr">
        <is>
          <t>Tamil Nadu</t>
        </is>
      </c>
      <c r="E12" t="inlineStr">
        <is>
          <t>Madurai</t>
        </is>
      </c>
    </row>
    <row r="13">
      <c r="D13" t="inlineStr">
        <is>
          <t>Gujarat</t>
        </is>
      </c>
      <c r="E13" t="inlineStr">
        <is>
          <t>Vadodara</t>
        </is>
      </c>
    </row>
    <row r="14">
      <c r="D14" t="inlineStr">
        <is>
          <t>Maharashtra</t>
        </is>
      </c>
      <c r="E14" t="inlineStr">
        <is>
          <t>Nashik</t>
        </is>
      </c>
    </row>
    <row r="15">
      <c r="D15" t="inlineStr">
        <is>
          <t>Karnataka</t>
        </is>
      </c>
      <c r="E15" t="inlineStr">
        <is>
          <t>Hubballi</t>
        </is>
      </c>
    </row>
    <row r="16">
      <c r="D16" t="inlineStr">
        <is>
          <t>Tamil Nadu</t>
        </is>
      </c>
      <c r="E16" t="inlineStr">
        <is>
          <t>Tiruchirappalli</t>
        </is>
      </c>
    </row>
    <row r="17">
      <c r="D17" t="inlineStr">
        <is>
          <t>Gujarat</t>
        </is>
      </c>
      <c r="E17" t="inlineStr">
        <is>
          <t>Rajkot</t>
        </is>
      </c>
    </row>
  </sheetData>
  <dataValidations count="2">
    <dataValidation sqref="B1" showDropDown="0" showInputMessage="0" showErrorMessage="0" allowBlank="0" type="list">
      <formula1>OFFSET($G$2,0,0,COUNTA($G$2:$G$30),1)</formula1>
    </dataValidation>
    <dataValidation sqref="B2" showDropDown="0" showInputMessage="0" showErrorMessage="0" allowBlank="0" type="list">
      <formula1>OFFSET($H$2,0,0,COUNTA($H$2:$H$30),1)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2" customWidth="1" min="4" max="4"/>
    <col width="14" customWidth="1" min="5" max="5"/>
    <col width="15" customWidth="1" min="6" max="6"/>
  </cols>
  <sheetData>
    <row r="1">
      <c r="A1" s="3" t="inlineStr">
        <is>
          <t>Branch</t>
        </is>
      </c>
      <c r="B1" s="3" t="inlineStr">
        <is>
          <t>Manager</t>
        </is>
      </c>
      <c r="C1" s="3" t="inlineStr">
        <is>
          <t>Target</t>
        </is>
      </c>
      <c r="D1" s="3" t="inlineStr">
        <is>
          <t>Achieved</t>
        </is>
      </c>
      <c r="E1" s="3" t="inlineStr">
        <is>
          <t>Achievement %</t>
        </is>
      </c>
      <c r="F1" s="3" t="inlineStr">
        <is>
          <t>Customer Rating</t>
        </is>
      </c>
    </row>
    <row r="2">
      <c r="A2" t="inlineStr">
        <is>
          <t>Andheri</t>
        </is>
      </c>
      <c r="B2" t="inlineStr">
        <is>
          <t>Kiran Desai</t>
        </is>
      </c>
      <c r="C2" s="7" t="n">
        <v>7900000</v>
      </c>
      <c r="D2" s="7" t="n">
        <v>9795000</v>
      </c>
      <c r="E2" s="13">
        <f>D2/C2</f>
        <v/>
      </c>
    </row>
    <row r="3">
      <c r="A3" t="inlineStr">
        <is>
          <t>Koramangala</t>
        </is>
      </c>
      <c r="B3" t="inlineStr">
        <is>
          <t>Ramesh Gowda</t>
        </is>
      </c>
      <c r="C3" s="7" t="n">
        <v>3200000</v>
      </c>
      <c r="D3" s="7" t="n">
        <v>3996000</v>
      </c>
      <c r="E3" s="13">
        <f>D3/C3</f>
        <v/>
      </c>
    </row>
    <row r="4">
      <c r="A4" t="inlineStr">
        <is>
          <t>T Nagar</t>
        </is>
      </c>
      <c r="B4" t="inlineStr">
        <is>
          <t>Lakshmi Srinivasan</t>
        </is>
      </c>
      <c r="C4" s="7" t="n">
        <v>6800000</v>
      </c>
      <c r="D4" s="7" t="n">
        <v>8491000</v>
      </c>
      <c r="E4" s="13">
        <f>D4/C4</f>
        <v/>
      </c>
    </row>
    <row r="5">
      <c r="A5" t="inlineStr">
        <is>
          <t>Salt Lake</t>
        </is>
      </c>
      <c r="B5" t="inlineStr">
        <is>
          <t>Arindam Ghosh</t>
        </is>
      </c>
      <c r="C5" s="7" t="n">
        <v>3700000</v>
      </c>
      <c r="D5" s="7" t="n">
        <v>3179000</v>
      </c>
      <c r="E5" s="13">
        <f>D5/C5</f>
        <v/>
      </c>
    </row>
    <row r="6">
      <c r="A6" t="inlineStr">
        <is>
          <t>Connaught Place</t>
        </is>
      </c>
      <c r="B6" t="inlineStr">
        <is>
          <t>Neeraj Kapoor</t>
        </is>
      </c>
      <c r="C6" s="7" t="n">
        <v>3500000</v>
      </c>
      <c r="D6" s="7" t="n">
        <v>3648000</v>
      </c>
      <c r="E6" s="13">
        <f>D6/C6</f>
        <v/>
      </c>
    </row>
    <row r="7">
      <c r="A7" t="inlineStr">
        <is>
          <t>Hinjewadi</t>
        </is>
      </c>
      <c r="B7" t="inlineStr">
        <is>
          <t>Sneha Patil</t>
        </is>
      </c>
      <c r="C7" s="7" t="n">
        <v>4400000</v>
      </c>
      <c r="D7" s="7" t="n">
        <v>4030000</v>
      </c>
      <c r="E7" s="13">
        <f>D7/C7</f>
        <v/>
      </c>
    </row>
    <row r="8">
      <c r="A8" t="inlineStr">
        <is>
          <t>Banjara Hills</t>
        </is>
      </c>
      <c r="B8" t="inlineStr">
        <is>
          <t>Venkat Rao</t>
        </is>
      </c>
      <c r="C8" s="7" t="n">
        <v>7900000</v>
      </c>
      <c r="D8" s="7" t="n">
        <v>7605000</v>
      </c>
      <c r="E8" s="13">
        <f>D8/C8</f>
        <v/>
      </c>
    </row>
    <row r="9">
      <c r="A9" t="inlineStr">
        <is>
          <t>Vashi</t>
        </is>
      </c>
      <c r="B9" t="inlineStr">
        <is>
          <t>Farhan Shaikh</t>
        </is>
      </c>
      <c r="C9" s="7" t="n">
        <v>3500000</v>
      </c>
      <c r="D9" s="7" t="n">
        <v>3650000</v>
      </c>
      <c r="E9" s="13">
        <f>D9/C9</f>
        <v/>
      </c>
    </row>
    <row r="10">
      <c r="A10" t="inlineStr">
        <is>
          <t>Indiranagar</t>
        </is>
      </c>
      <c r="B10" t="inlineStr">
        <is>
          <t>Divya Menon</t>
        </is>
      </c>
      <c r="C10" s="7" t="n">
        <v>7100000</v>
      </c>
      <c r="D10" s="7" t="n">
        <v>8350000</v>
      </c>
      <c r="E10" s="13">
        <f>D10/C10</f>
        <v/>
      </c>
    </row>
    <row r="11">
      <c r="A11" t="inlineStr">
        <is>
          <t>Gomti Nagar</t>
        </is>
      </c>
      <c r="B11" t="inlineStr">
        <is>
          <t>Manoj Yadav</t>
        </is>
      </c>
      <c r="C11" s="7" t="n">
        <v>3600000</v>
      </c>
      <c r="D11" s="7" t="n">
        <v>2779000</v>
      </c>
      <c r="E11" s="13">
        <f>D11/C11</f>
        <v/>
      </c>
    </row>
    <row r="12">
      <c r="A12" t="inlineStr">
        <is>
          <t>Navrangpura</t>
        </is>
      </c>
      <c r="B12" t="inlineStr">
        <is>
          <t>Tanvi Shah</t>
        </is>
      </c>
      <c r="C12" s="7" t="n">
        <v>6400000</v>
      </c>
      <c r="D12" s="7" t="n">
        <v>5084000</v>
      </c>
      <c r="E12" s="13">
        <f>D12/C12</f>
        <v/>
      </c>
    </row>
    <row r="13">
      <c r="A13" t="inlineStr">
        <is>
          <t>Kakkanad</t>
        </is>
      </c>
      <c r="B13" t="inlineStr">
        <is>
          <t>Suresh Pillai</t>
        </is>
      </c>
      <c r="C13" s="7" t="n">
        <v>3900000</v>
      </c>
      <c r="D13" s="7" t="n">
        <v>3719000</v>
      </c>
      <c r="E13" s="13">
        <f>D13/C13</f>
        <v/>
      </c>
    </row>
    <row r="14">
      <c r="A14" s="4" t="inlineStr">
        <is>
          <t>Total</t>
        </is>
      </c>
      <c r="B14" s="4" t="n"/>
      <c r="C14" s="9">
        <f>SUM(C2:C13)</f>
        <v/>
      </c>
      <c r="D14" s="9">
        <f>SUM(D2:D13)</f>
        <v/>
      </c>
      <c r="E14" s="14">
        <f>D14/C14</f>
        <v/>
      </c>
      <c r="F14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2" customWidth="1" min="4" max="4"/>
    <col width="14" customWidth="1" min="5" max="5"/>
    <col width="15" customWidth="1" min="6" max="6"/>
  </cols>
  <sheetData>
    <row r="1">
      <c r="A1" s="3" t="inlineStr">
        <is>
          <t>Branch</t>
        </is>
      </c>
      <c r="B1" s="3" t="inlineStr">
        <is>
          <t>Manager</t>
        </is>
      </c>
      <c r="C1" s="3" t="inlineStr">
        <is>
          <t>Target</t>
        </is>
      </c>
      <c r="D1" s="3" t="inlineStr">
        <is>
          <t>Achieved</t>
        </is>
      </c>
      <c r="E1" s="3" t="inlineStr">
        <is>
          <t>Achievement %</t>
        </is>
      </c>
      <c r="F1" s="3" t="inlineStr">
        <is>
          <t>Customer Rating</t>
        </is>
      </c>
    </row>
    <row r="2">
      <c r="A2" t="inlineStr">
        <is>
          <t>Andheri</t>
        </is>
      </c>
      <c r="B2" t="inlineStr">
        <is>
          <t>Kiran Desai</t>
        </is>
      </c>
      <c r="C2" s="7" t="n">
        <v>7900000</v>
      </c>
      <c r="D2" s="7" t="n">
        <v>9795000</v>
      </c>
      <c r="E2" s="13">
        <f>D2/C2</f>
        <v/>
      </c>
    </row>
    <row r="3">
      <c r="A3" t="inlineStr">
        <is>
          <t>Koramangala</t>
        </is>
      </c>
      <c r="B3" t="inlineStr">
        <is>
          <t>Ramesh Gowda</t>
        </is>
      </c>
      <c r="C3" s="7" t="n">
        <v>3200000</v>
      </c>
      <c r="D3" s="7" t="n">
        <v>3996000</v>
      </c>
      <c r="E3" s="13">
        <f>D3/C3</f>
        <v/>
      </c>
    </row>
    <row r="4">
      <c r="A4" t="inlineStr">
        <is>
          <t>T Nagar</t>
        </is>
      </c>
      <c r="B4" t="inlineStr">
        <is>
          <t>Lakshmi Srinivasan</t>
        </is>
      </c>
      <c r="C4" s="7" t="n">
        <v>6800000</v>
      </c>
      <c r="D4" s="7" t="n">
        <v>8491000</v>
      </c>
      <c r="E4" s="13">
        <f>D4/C4</f>
        <v/>
      </c>
    </row>
    <row r="5">
      <c r="A5" t="inlineStr">
        <is>
          <t>Salt Lake</t>
        </is>
      </c>
      <c r="B5" t="inlineStr">
        <is>
          <t>Arindam Ghosh</t>
        </is>
      </c>
      <c r="C5" s="7" t="n">
        <v>3700000</v>
      </c>
      <c r="D5" s="7" t="n">
        <v>3179000</v>
      </c>
      <c r="E5" s="13">
        <f>D5/C5</f>
        <v/>
      </c>
    </row>
    <row r="6">
      <c r="A6" t="inlineStr">
        <is>
          <t>Connaught Place</t>
        </is>
      </c>
      <c r="B6" t="inlineStr">
        <is>
          <t>Neeraj Kapoor</t>
        </is>
      </c>
      <c r="C6" s="7" t="n">
        <v>3500000</v>
      </c>
      <c r="D6" s="7" t="n">
        <v>3648000</v>
      </c>
      <c r="E6" s="13">
        <f>D6/C6</f>
        <v/>
      </c>
    </row>
    <row r="7">
      <c r="A7" t="inlineStr">
        <is>
          <t>Hinjewadi</t>
        </is>
      </c>
      <c r="B7" t="inlineStr">
        <is>
          <t>Sneha Patil</t>
        </is>
      </c>
      <c r="C7" s="7" t="n">
        <v>4400000</v>
      </c>
      <c r="D7" s="7" t="n">
        <v>4030000</v>
      </c>
      <c r="E7" s="13">
        <f>D7/C7</f>
        <v/>
      </c>
    </row>
    <row r="8">
      <c r="A8" t="inlineStr">
        <is>
          <t>Banjara Hills</t>
        </is>
      </c>
      <c r="B8" t="inlineStr">
        <is>
          <t>Venkat Rao</t>
        </is>
      </c>
      <c r="C8" s="7" t="n">
        <v>7900000</v>
      </c>
      <c r="D8" s="7" t="n">
        <v>7605000</v>
      </c>
      <c r="E8" s="13">
        <f>D8/C8</f>
        <v/>
      </c>
    </row>
    <row r="9">
      <c r="A9" t="inlineStr">
        <is>
          <t>Vashi</t>
        </is>
      </c>
      <c r="B9" t="inlineStr">
        <is>
          <t>Farhan Shaikh</t>
        </is>
      </c>
      <c r="C9" s="7" t="n">
        <v>3500000</v>
      </c>
      <c r="D9" s="7" t="n">
        <v>3650000</v>
      </c>
      <c r="E9" s="13">
        <f>D9/C9</f>
        <v/>
      </c>
    </row>
    <row r="10">
      <c r="A10" t="inlineStr">
        <is>
          <t>Indiranagar</t>
        </is>
      </c>
      <c r="B10" t="inlineStr">
        <is>
          <t>Divya Menon</t>
        </is>
      </c>
      <c r="C10" s="7" t="n">
        <v>7100000</v>
      </c>
      <c r="D10" s="7" t="n">
        <v>8350000</v>
      </c>
      <c r="E10" s="13">
        <f>D10/C10</f>
        <v/>
      </c>
    </row>
    <row r="11">
      <c r="A11" t="inlineStr">
        <is>
          <t>Gomti Nagar</t>
        </is>
      </c>
      <c r="B11" t="inlineStr">
        <is>
          <t>Manoj Yadav</t>
        </is>
      </c>
      <c r="C11" s="7" t="n">
        <v>3600000</v>
      </c>
      <c r="D11" s="7" t="n">
        <v>2779000</v>
      </c>
      <c r="E11" s="13">
        <f>D11/C11</f>
        <v/>
      </c>
    </row>
    <row r="12">
      <c r="A12" t="inlineStr">
        <is>
          <t>Navrangpura</t>
        </is>
      </c>
      <c r="B12" t="inlineStr">
        <is>
          <t>Tanvi Shah</t>
        </is>
      </c>
      <c r="C12" s="7" t="n">
        <v>6400000</v>
      </c>
      <c r="D12" s="7" t="n">
        <v>5084000</v>
      </c>
      <c r="E12" s="13">
        <f>D12/C12</f>
        <v/>
      </c>
    </row>
    <row r="13">
      <c r="A13" t="inlineStr">
        <is>
          <t>Kakkanad</t>
        </is>
      </c>
      <c r="B13" t="inlineStr">
        <is>
          <t>Suresh Pillai</t>
        </is>
      </c>
      <c r="C13" s="7" t="n">
        <v>3900000</v>
      </c>
      <c r="D13" s="7" t="n">
        <v>3719000</v>
      </c>
      <c r="E13" s="13">
        <f>D13/C13</f>
        <v/>
      </c>
    </row>
    <row r="14">
      <c r="A14" s="4" t="inlineStr">
        <is>
          <t>Total</t>
        </is>
      </c>
      <c r="B14" s="4" t="n"/>
      <c r="C14" s="9">
        <f>SUM(C2:C13)</f>
        <v/>
      </c>
      <c r="D14" s="9">
        <f>SUM(D2:D13)</f>
        <v/>
      </c>
      <c r="E14" s="14">
        <f>D14/C14</f>
        <v/>
      </c>
      <c r="F14" s="4" t="n"/>
    </row>
  </sheetData>
  <conditionalFormatting sqref="E2:E13">
    <cfRule type="cellIs" priority="1" operator="greaterThan" dxfId="1">
      <formula>1</formula>
    </cfRule>
    <cfRule type="iconSet" priority="2">
      <iconSet iconSet="3Arrows">
        <cfvo type="percent" val="0"/>
        <cfvo type="percent" val="33"/>
        <cfvo type="percent" val="67"/>
      </iconSet>
    </cfRule>
    <cfRule type="top10" rank="3" priority="5" dxfId="0" bottom="1"/>
  </conditionalFormatting>
  <conditionalFormatting sqref="D2:D13">
    <cfRule type="dataBar" priority="3">
      <dataBar>
        <cfvo type="min"/>
        <cfvo type="max"/>
        <color rgb="00638EC6"/>
      </dataBar>
    </cfRule>
    <cfRule type="top10" rank="3" priority="4" dxfId="2"/>
  </conditionalFormatting>
  <conditionalFormatting sqref="F2:F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2" customWidth="1" min="4" max="4"/>
    <col width="11" customWidth="1" min="5" max="5"/>
    <col width="9" customWidth="1" min="6" max="6"/>
    <col width="13" customWidth="1" min="7" max="7"/>
    <col width="3" customWidth="1" min="8" max="8"/>
    <col width="12" customWidth="1" min="9" max="9"/>
    <col width="12" customWidth="1" min="10" max="10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Invoice Date</t>
        </is>
      </c>
      <c r="D1" s="3" t="inlineStr">
        <is>
          <t>Due Date</t>
        </is>
      </c>
      <c r="E1" s="3" t="inlineStr">
        <is>
          <t>Amount</t>
        </is>
      </c>
      <c r="F1" s="3" t="inlineStr">
        <is>
          <t>Status</t>
        </is>
      </c>
      <c r="G1" s="3" t="inlineStr">
        <is>
          <t>Days Overdue</t>
        </is>
      </c>
      <c r="I1" s="4" t="inlineStr">
        <is>
          <t>Report date</t>
        </is>
      </c>
      <c r="J1" s="6" t="n">
        <v>46318</v>
      </c>
    </row>
    <row r="2">
      <c r="A2" t="inlineStr">
        <is>
          <t>INV/26-27/0150</t>
        </is>
      </c>
      <c r="B2" t="inlineStr">
        <is>
          <t>Shree Ganesh Traders</t>
        </is>
      </c>
      <c r="C2" s="6" t="n">
        <v>46263</v>
      </c>
      <c r="D2" s="6" t="n">
        <v>46293</v>
      </c>
      <c r="E2" s="7" t="n">
        <v>106500</v>
      </c>
      <c r="F2" t="inlineStr">
        <is>
          <t>Unpaid</t>
        </is>
      </c>
      <c r="G2" s="8" t="n"/>
      <c r="I2" s="12" t="inlineStr">
        <is>
          <t>In real use, J1 holds =TODAY()</t>
        </is>
      </c>
    </row>
    <row r="3">
      <c r="A3" t="inlineStr">
        <is>
          <t>INV/26-27/0151</t>
        </is>
      </c>
      <c r="B3" t="inlineStr">
        <is>
          <t>Patil Electricals</t>
        </is>
      </c>
      <c r="C3" s="6" t="n">
        <v>46276</v>
      </c>
      <c r="D3" s="6" t="n">
        <v>46306</v>
      </c>
      <c r="E3" s="7" t="n">
        <v>205600</v>
      </c>
      <c r="F3" t="inlineStr">
        <is>
          <t>Paid</t>
        </is>
      </c>
      <c r="G3" s="8" t="n"/>
    </row>
    <row r="4">
      <c r="A4" t="inlineStr">
        <is>
          <t>INV/26-27/0152</t>
        </is>
      </c>
      <c r="B4" t="inlineStr">
        <is>
          <t>Om Sai Enterprises</t>
        </is>
      </c>
      <c r="C4" s="6" t="n">
        <v>46285</v>
      </c>
      <c r="D4" s="6" t="n">
        <v>46315</v>
      </c>
      <c r="E4" s="7" t="n">
        <v>222000</v>
      </c>
      <c r="F4" t="inlineStr">
        <is>
          <t>Unpaid</t>
        </is>
      </c>
      <c r="G4" s="8" t="n"/>
    </row>
    <row r="5">
      <c r="A5" t="inlineStr">
        <is>
          <t>INV/26-27/0153</t>
        </is>
      </c>
      <c r="B5" t="inlineStr">
        <is>
          <t>Kumar Stores</t>
        </is>
      </c>
      <c r="C5" s="6" t="n">
        <v>46290</v>
      </c>
      <c r="D5" s="6" t="n">
        <v>46320</v>
      </c>
      <c r="E5" s="7" t="n">
        <v>26200</v>
      </c>
      <c r="F5" t="inlineStr">
        <is>
          <t>Unpaid</t>
        </is>
      </c>
      <c r="G5" s="8" t="n"/>
    </row>
    <row r="6">
      <c r="A6" t="inlineStr">
        <is>
          <t>INV/26-27/0154</t>
        </is>
      </c>
      <c r="B6" t="inlineStr">
        <is>
          <t>Balaji Agencies</t>
        </is>
      </c>
      <c r="C6" s="6" t="n">
        <v>46293</v>
      </c>
      <c r="D6" s="6" t="n">
        <v>46323</v>
      </c>
      <c r="E6" s="7" t="n">
        <v>10200</v>
      </c>
      <c r="F6" t="inlineStr">
        <is>
          <t>Paid</t>
        </is>
      </c>
      <c r="G6" s="8" t="n"/>
    </row>
    <row r="7">
      <c r="A7" t="inlineStr">
        <is>
          <t>INV/26-27/0155</t>
        </is>
      </c>
      <c r="B7" t="inlineStr">
        <is>
          <t>Mehta &amp; Sons</t>
        </is>
      </c>
      <c r="C7" s="6" t="n">
        <v>46297</v>
      </c>
      <c r="D7" s="6" t="n">
        <v>46327</v>
      </c>
      <c r="E7" s="7" t="n">
        <v>162900</v>
      </c>
      <c r="F7" t="inlineStr">
        <is>
          <t>Unpaid</t>
        </is>
      </c>
      <c r="G7" s="8" t="n"/>
    </row>
    <row r="8">
      <c r="A8" t="inlineStr">
        <is>
          <t>INV/26-27/0156</t>
        </is>
      </c>
      <c r="B8" t="inlineStr">
        <is>
          <t>Royal Furnishers</t>
        </is>
      </c>
      <c r="C8" s="6" t="n">
        <v>46303</v>
      </c>
      <c r="D8" s="6" t="n">
        <v>46333</v>
      </c>
      <c r="E8" s="7" t="n">
        <v>111500</v>
      </c>
      <c r="F8" t="inlineStr">
        <is>
          <t>Unpaid</t>
        </is>
      </c>
      <c r="G8" s="8" t="n"/>
    </row>
    <row r="9">
      <c r="A9" t="inlineStr">
        <is>
          <t>INV/26-27/0157</t>
        </is>
      </c>
      <c r="B9" t="inlineStr">
        <is>
          <t>Sharma Stationers</t>
        </is>
      </c>
      <c r="C9" s="6" t="n">
        <v>46248</v>
      </c>
      <c r="D9" s="6" t="n">
        <v>46278</v>
      </c>
      <c r="E9" s="7" t="n">
        <v>192200</v>
      </c>
      <c r="F9" t="inlineStr">
        <is>
          <t>Unpaid</t>
        </is>
      </c>
      <c r="G9" s="8" t="n"/>
    </row>
    <row r="10">
      <c r="A10" t="inlineStr">
        <is>
          <t>INV/26-27/0158</t>
        </is>
      </c>
      <c r="B10" t="inlineStr">
        <is>
          <t>Lakshmi Textiles</t>
        </is>
      </c>
      <c r="C10" s="6" t="n">
        <v>46289</v>
      </c>
      <c r="D10" s="6" t="n">
        <v>46319</v>
      </c>
      <c r="E10" s="7" t="n">
        <v>180300</v>
      </c>
      <c r="F10" t="inlineStr">
        <is>
          <t>Paid</t>
        </is>
      </c>
      <c r="G10" s="8" t="n"/>
    </row>
    <row r="11">
      <c r="A11" t="inlineStr">
        <is>
          <t>INV/26-27/0159</t>
        </is>
      </c>
      <c r="B11" t="inlineStr">
        <is>
          <t>Green Leaf Foods</t>
        </is>
      </c>
      <c r="C11" s="6" t="n">
        <v>46294</v>
      </c>
      <c r="D11" s="6" t="n">
        <v>46324</v>
      </c>
      <c r="E11" s="7" t="n">
        <v>54300</v>
      </c>
      <c r="F11" t="inlineStr">
        <is>
          <t>Unpaid</t>
        </is>
      </c>
      <c r="G11" s="8" t="n"/>
    </row>
    <row r="12">
      <c r="A12" t="inlineStr">
        <is>
          <t>INV/26-27/0160</t>
        </is>
      </c>
      <c r="B12" t="inlineStr">
        <is>
          <t>Shree Ganesh Traders</t>
        </is>
      </c>
      <c r="C12" s="6" t="n">
        <v>46308</v>
      </c>
      <c r="D12" s="6" t="n">
        <v>46338</v>
      </c>
      <c r="E12" s="7" t="n">
        <v>135400</v>
      </c>
      <c r="F12" t="inlineStr">
        <is>
          <t>Unpaid</t>
        </is>
      </c>
      <c r="G12" s="8" t="n"/>
    </row>
    <row r="13">
      <c r="A13" t="inlineStr">
        <is>
          <t>INV/26-27/0161</t>
        </is>
      </c>
      <c r="B13" t="inlineStr">
        <is>
          <t>Patil Electricals</t>
        </is>
      </c>
      <c r="C13" s="6" t="n">
        <v>46282</v>
      </c>
      <c r="D13" s="6" t="n">
        <v>46312</v>
      </c>
      <c r="E13" s="7" t="n">
        <v>57300</v>
      </c>
      <c r="F13" t="inlineStr">
        <is>
          <t>Paid</t>
        </is>
      </c>
      <c r="G13" s="8" t="n"/>
    </row>
    <row r="14">
      <c r="A14" t="inlineStr">
        <is>
          <t>INV/26-27/0162</t>
        </is>
      </c>
      <c r="B14" t="inlineStr">
        <is>
          <t>Om Sai Enterprises</t>
        </is>
      </c>
      <c r="C14" s="6" t="n">
        <v>46291</v>
      </c>
      <c r="D14" s="6" t="n">
        <v>46321</v>
      </c>
      <c r="E14" s="7" t="n">
        <v>92300</v>
      </c>
      <c r="F14" t="inlineStr">
        <is>
          <t>Unpaid</t>
        </is>
      </c>
      <c r="G14" s="8" t="n"/>
    </row>
    <row r="15">
      <c r="A15" t="inlineStr">
        <is>
          <t>INV/26-27/0163</t>
        </is>
      </c>
      <c r="B15" t="inlineStr">
        <is>
          <t>Kumar Stores</t>
        </is>
      </c>
      <c r="C15" s="6" t="n">
        <v>46300</v>
      </c>
      <c r="D15" s="6" t="n">
        <v>46330</v>
      </c>
      <c r="E15" s="7" t="n">
        <v>103300</v>
      </c>
      <c r="F15" t="inlineStr">
        <is>
          <t>Unpaid</t>
        </is>
      </c>
      <c r="G15" s="8" t="n"/>
    </row>
    <row r="16">
      <c r="A16" t="inlineStr">
        <is>
          <t>INV/26-27/0164</t>
        </is>
      </c>
      <c r="B16" t="inlineStr">
        <is>
          <t>Balaji Agencies</t>
        </is>
      </c>
      <c r="C16" s="6" t="n">
        <v>46318</v>
      </c>
      <c r="D16" s="6" t="n">
        <v>46348</v>
      </c>
      <c r="E16" s="7" t="n">
        <v>67600</v>
      </c>
      <c r="F16" t="inlineStr">
        <is>
          <t>Paid</t>
        </is>
      </c>
      <c r="G16" s="8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2" customWidth="1" min="4" max="4"/>
    <col width="11" customWidth="1" min="5" max="5"/>
    <col width="9" customWidth="1" min="6" max="6"/>
    <col width="13" customWidth="1" min="7" max="7"/>
    <col width="3" customWidth="1" min="8" max="8"/>
    <col width="12" customWidth="1" min="9" max="9"/>
    <col width="12" customWidth="1" min="10" max="10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Invoice Date</t>
        </is>
      </c>
      <c r="D1" s="3" t="inlineStr">
        <is>
          <t>Due Date</t>
        </is>
      </c>
      <c r="E1" s="3" t="inlineStr">
        <is>
          <t>Amount</t>
        </is>
      </c>
      <c r="F1" s="3" t="inlineStr">
        <is>
          <t>Status</t>
        </is>
      </c>
      <c r="G1" s="3" t="inlineStr">
        <is>
          <t>Days Overdue</t>
        </is>
      </c>
      <c r="I1" s="4" t="inlineStr">
        <is>
          <t>Report date</t>
        </is>
      </c>
      <c r="J1" s="6" t="n">
        <v>46318</v>
      </c>
    </row>
    <row r="2">
      <c r="A2" t="inlineStr">
        <is>
          <t>INV/26-27/0150</t>
        </is>
      </c>
      <c r="B2" t="inlineStr">
        <is>
          <t>Shree Ganesh Traders</t>
        </is>
      </c>
      <c r="C2" s="6" t="n">
        <v>46263</v>
      </c>
      <c r="D2" s="6" t="n">
        <v>46293</v>
      </c>
      <c r="E2" s="7" t="n">
        <v>106500</v>
      </c>
      <c r="F2" t="inlineStr">
        <is>
          <t>Unpaid</t>
        </is>
      </c>
      <c r="G2">
        <f>IF(AND(F2="Unpaid",D2&lt;$J$1),$J$1-D2,"")</f>
        <v/>
      </c>
      <c r="I2" s="12" t="inlineStr">
        <is>
          <t>In real use, J1 holds =TODAY()</t>
        </is>
      </c>
    </row>
    <row r="3">
      <c r="A3" t="inlineStr">
        <is>
          <t>INV/26-27/0151</t>
        </is>
      </c>
      <c r="B3" t="inlineStr">
        <is>
          <t>Patil Electricals</t>
        </is>
      </c>
      <c r="C3" s="6" t="n">
        <v>46276</v>
      </c>
      <c r="D3" s="6" t="n">
        <v>46306</v>
      </c>
      <c r="E3" s="7" t="n">
        <v>205600</v>
      </c>
      <c r="F3" t="inlineStr">
        <is>
          <t>Paid</t>
        </is>
      </c>
      <c r="G3">
        <f>IF(AND(F3="Unpaid",D3&lt;$J$1),$J$1-D3,"")</f>
        <v/>
      </c>
    </row>
    <row r="4">
      <c r="A4" t="inlineStr">
        <is>
          <t>INV/26-27/0152</t>
        </is>
      </c>
      <c r="B4" t="inlineStr">
        <is>
          <t>Om Sai Enterprises</t>
        </is>
      </c>
      <c r="C4" s="6" t="n">
        <v>46285</v>
      </c>
      <c r="D4" s="6" t="n">
        <v>46315</v>
      </c>
      <c r="E4" s="7" t="n">
        <v>222000</v>
      </c>
      <c r="F4" t="inlineStr">
        <is>
          <t>Unpaid</t>
        </is>
      </c>
      <c r="G4">
        <f>IF(AND(F4="Unpaid",D4&lt;$J$1),$J$1-D4,"")</f>
        <v/>
      </c>
    </row>
    <row r="5">
      <c r="A5" t="inlineStr">
        <is>
          <t>INV/26-27/0153</t>
        </is>
      </c>
      <c r="B5" t="inlineStr">
        <is>
          <t>Kumar Stores</t>
        </is>
      </c>
      <c r="C5" s="6" t="n">
        <v>46290</v>
      </c>
      <c r="D5" s="6" t="n">
        <v>46320</v>
      </c>
      <c r="E5" s="7" t="n">
        <v>26200</v>
      </c>
      <c r="F5" t="inlineStr">
        <is>
          <t>Unpaid</t>
        </is>
      </c>
      <c r="G5">
        <f>IF(AND(F5="Unpaid",D5&lt;$J$1),$J$1-D5,"")</f>
        <v/>
      </c>
    </row>
    <row r="6">
      <c r="A6" t="inlineStr">
        <is>
          <t>INV/26-27/0154</t>
        </is>
      </c>
      <c r="B6" t="inlineStr">
        <is>
          <t>Balaji Agencies</t>
        </is>
      </c>
      <c r="C6" s="6" t="n">
        <v>46293</v>
      </c>
      <c r="D6" s="6" t="n">
        <v>46323</v>
      </c>
      <c r="E6" s="7" t="n">
        <v>10200</v>
      </c>
      <c r="F6" t="inlineStr">
        <is>
          <t>Paid</t>
        </is>
      </c>
      <c r="G6">
        <f>IF(AND(F6="Unpaid",D6&lt;$J$1),$J$1-D6,"")</f>
        <v/>
      </c>
    </row>
    <row r="7">
      <c r="A7" t="inlineStr">
        <is>
          <t>INV/26-27/0155</t>
        </is>
      </c>
      <c r="B7" t="inlineStr">
        <is>
          <t>Mehta &amp; Sons</t>
        </is>
      </c>
      <c r="C7" s="6" t="n">
        <v>46297</v>
      </c>
      <c r="D7" s="6" t="n">
        <v>46327</v>
      </c>
      <c r="E7" s="7" t="n">
        <v>162900</v>
      </c>
      <c r="F7" t="inlineStr">
        <is>
          <t>Unpaid</t>
        </is>
      </c>
      <c r="G7">
        <f>IF(AND(F7="Unpaid",D7&lt;$J$1),$J$1-D7,"")</f>
        <v/>
      </c>
    </row>
    <row r="8">
      <c r="A8" t="inlineStr">
        <is>
          <t>INV/26-27/0156</t>
        </is>
      </c>
      <c r="B8" t="inlineStr">
        <is>
          <t>Royal Furnishers</t>
        </is>
      </c>
      <c r="C8" s="6" t="n">
        <v>46303</v>
      </c>
      <c r="D8" s="6" t="n">
        <v>46333</v>
      </c>
      <c r="E8" s="7" t="n">
        <v>111500</v>
      </c>
      <c r="F8" t="inlineStr">
        <is>
          <t>Unpaid</t>
        </is>
      </c>
      <c r="G8">
        <f>IF(AND(F8="Unpaid",D8&lt;$J$1),$J$1-D8,"")</f>
        <v/>
      </c>
    </row>
    <row r="9">
      <c r="A9" t="inlineStr">
        <is>
          <t>INV/26-27/0157</t>
        </is>
      </c>
      <c r="B9" t="inlineStr">
        <is>
          <t>Sharma Stationers</t>
        </is>
      </c>
      <c r="C9" s="6" t="n">
        <v>46248</v>
      </c>
      <c r="D9" s="6" t="n">
        <v>46278</v>
      </c>
      <c r="E9" s="7" t="n">
        <v>192200</v>
      </c>
      <c r="F9" t="inlineStr">
        <is>
          <t>Unpaid</t>
        </is>
      </c>
      <c r="G9">
        <f>IF(AND(F9="Unpaid",D9&lt;$J$1),$J$1-D9,"")</f>
        <v/>
      </c>
    </row>
    <row r="10">
      <c r="A10" t="inlineStr">
        <is>
          <t>INV/26-27/0158</t>
        </is>
      </c>
      <c r="B10" t="inlineStr">
        <is>
          <t>Lakshmi Textiles</t>
        </is>
      </c>
      <c r="C10" s="6" t="n">
        <v>46289</v>
      </c>
      <c r="D10" s="6" t="n">
        <v>46319</v>
      </c>
      <c r="E10" s="7" t="n">
        <v>180300</v>
      </c>
      <c r="F10" t="inlineStr">
        <is>
          <t>Paid</t>
        </is>
      </c>
      <c r="G10">
        <f>IF(AND(F10="Unpaid",D10&lt;$J$1),$J$1-D10,"")</f>
        <v/>
      </c>
    </row>
    <row r="11">
      <c r="A11" t="inlineStr">
        <is>
          <t>INV/26-27/0159</t>
        </is>
      </c>
      <c r="B11" t="inlineStr">
        <is>
          <t>Green Leaf Foods</t>
        </is>
      </c>
      <c r="C11" s="6" t="n">
        <v>46294</v>
      </c>
      <c r="D11" s="6" t="n">
        <v>46324</v>
      </c>
      <c r="E11" s="7" t="n">
        <v>54300</v>
      </c>
      <c r="F11" t="inlineStr">
        <is>
          <t>Unpaid</t>
        </is>
      </c>
      <c r="G11">
        <f>IF(AND(F11="Unpaid",D11&lt;$J$1),$J$1-D11,"")</f>
        <v/>
      </c>
    </row>
    <row r="12">
      <c r="A12" t="inlineStr">
        <is>
          <t>INV/26-27/0160</t>
        </is>
      </c>
      <c r="B12" t="inlineStr">
        <is>
          <t>Shree Ganesh Traders</t>
        </is>
      </c>
      <c r="C12" s="6" t="n">
        <v>46308</v>
      </c>
      <c r="D12" s="6" t="n">
        <v>46338</v>
      </c>
      <c r="E12" s="7" t="n">
        <v>135400</v>
      </c>
      <c r="F12" t="inlineStr">
        <is>
          <t>Unpaid</t>
        </is>
      </c>
      <c r="G12">
        <f>IF(AND(F12="Unpaid",D12&lt;$J$1),$J$1-D12,"")</f>
        <v/>
      </c>
    </row>
    <row r="13">
      <c r="A13" t="inlineStr">
        <is>
          <t>INV/26-27/0161</t>
        </is>
      </c>
      <c r="B13" t="inlineStr">
        <is>
          <t>Patil Electricals</t>
        </is>
      </c>
      <c r="C13" s="6" t="n">
        <v>46282</v>
      </c>
      <c r="D13" s="6" t="n">
        <v>46312</v>
      </c>
      <c r="E13" s="7" t="n">
        <v>57300</v>
      </c>
      <c r="F13" t="inlineStr">
        <is>
          <t>Paid</t>
        </is>
      </c>
      <c r="G13">
        <f>IF(AND(F13="Unpaid",D13&lt;$J$1),$J$1-D13,"")</f>
        <v/>
      </c>
    </row>
    <row r="14">
      <c r="A14" t="inlineStr">
        <is>
          <t>INV/26-27/0162</t>
        </is>
      </c>
      <c r="B14" t="inlineStr">
        <is>
          <t>Om Sai Enterprises</t>
        </is>
      </c>
      <c r="C14" s="6" t="n">
        <v>46291</v>
      </c>
      <c r="D14" s="6" t="n">
        <v>46321</v>
      </c>
      <c r="E14" s="7" t="n">
        <v>92300</v>
      </c>
      <c r="F14" t="inlineStr">
        <is>
          <t>Unpaid</t>
        </is>
      </c>
      <c r="G14">
        <f>IF(AND(F14="Unpaid",D14&lt;$J$1),$J$1-D14,"")</f>
        <v/>
      </c>
    </row>
    <row r="15">
      <c r="A15" t="inlineStr">
        <is>
          <t>INV/26-27/0163</t>
        </is>
      </c>
      <c r="B15" t="inlineStr">
        <is>
          <t>Kumar Stores</t>
        </is>
      </c>
      <c r="C15" s="6" t="n">
        <v>46300</v>
      </c>
      <c r="D15" s="6" t="n">
        <v>46330</v>
      </c>
      <c r="E15" s="7" t="n">
        <v>103300</v>
      </c>
      <c r="F15" t="inlineStr">
        <is>
          <t>Unpaid</t>
        </is>
      </c>
      <c r="G15">
        <f>IF(AND(F15="Unpaid",D15&lt;$J$1),$J$1-D15,"")</f>
        <v/>
      </c>
    </row>
    <row r="16">
      <c r="A16" t="inlineStr">
        <is>
          <t>INV/26-27/0164</t>
        </is>
      </c>
      <c r="B16" t="inlineStr">
        <is>
          <t>Balaji Agencies</t>
        </is>
      </c>
      <c r="C16" s="6" t="n">
        <v>46318</v>
      </c>
      <c r="D16" s="6" t="n">
        <v>46348</v>
      </c>
      <c r="E16" s="7" t="n">
        <v>67600</v>
      </c>
      <c r="F16" t="inlineStr">
        <is>
          <t>Paid</t>
        </is>
      </c>
      <c r="G16">
        <f>IF(AND(F16="Unpaid",D16&lt;$J$1),$J$1-D16,"")</f>
        <v/>
      </c>
    </row>
  </sheetData>
  <conditionalFormatting sqref="A2:F16">
    <cfRule type="expression" priority="1" dxfId="3" stopIfTrue="0">
      <formula>AND($F2="Unpaid",$D2&lt;$J$1)</formula>
    </cfRule>
    <cfRule type="expression" priority="2" dxfId="2">
      <formula>AND($F2="Unpaid",$D2&gt;=$J$1,$D2&lt;=$J$1+7)</formula>
    </cfRule>
    <cfRule type="expression" priority="3" dxfId="1">
      <formula>$F2="Paid"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3" customWidth="1" min="5" max="5"/>
    <col width="9" customWidth="1" min="6" max="6"/>
    <col width="13" customWidth="1" min="7" max="7"/>
    <col width="3" customWidth="1" min="8" max="8"/>
    <col width="9" customWidth="1" min="9" max="9"/>
    <col width="13" customWidth="1" min="10" max="10"/>
    <col width="7" customWidth="1" min="11" max="11"/>
    <col width="12" customWidth="1" min="12" max="12"/>
  </cols>
  <sheetData>
    <row r="1">
      <c r="A1" s="3" t="inlineStr">
        <is>
          <t>Region</t>
        </is>
      </c>
      <c r="B1" s="3" t="inlineStr">
        <is>
          <t>Branch</t>
        </is>
      </c>
      <c r="C1" s="3" t="inlineStr">
        <is>
          <t>Month</t>
        </is>
      </c>
      <c r="D1" s="3" t="inlineStr">
        <is>
          <t>Sales</t>
        </is>
      </c>
      <c r="F1" s="3" t="inlineStr">
        <is>
          <t>Region</t>
        </is>
      </c>
      <c r="G1" s="3" t="inlineStr">
        <is>
          <t>Total</t>
        </is>
      </c>
    </row>
    <row r="2">
      <c r="A2" s="8" t="inlineStr">
        <is>
          <t>North</t>
        </is>
      </c>
      <c r="B2" t="inlineStr">
        <is>
          <t>Delhi</t>
        </is>
      </c>
      <c r="C2" t="inlineStr">
        <is>
          <t>Sep</t>
        </is>
      </c>
      <c r="D2" s="7" t="n">
        <v>1170000</v>
      </c>
      <c r="F2" t="inlineStr">
        <is>
          <t>North</t>
        </is>
      </c>
      <c r="G2" s="7">
        <f>SUMIF($A$2:$A$16,F2,$D$2:$D$16)</f>
        <v/>
      </c>
    </row>
    <row r="3">
      <c r="A3" s="8" t="n"/>
      <c r="B3" t="inlineStr">
        <is>
          <t>Chandigarh</t>
        </is>
      </c>
      <c r="C3" t="inlineStr">
        <is>
          <t>Sep</t>
        </is>
      </c>
      <c r="D3" s="7" t="n">
        <v>987000</v>
      </c>
      <c r="F3" t="inlineStr">
        <is>
          <t>South</t>
        </is>
      </c>
      <c r="G3" s="7">
        <f>SUMIF($A$2:$A$16,F3,$D$2:$D$16)</f>
        <v/>
      </c>
    </row>
    <row r="4">
      <c r="A4" s="8" t="n"/>
      <c r="B4" t="inlineStr">
        <is>
          <t>Jaipur</t>
        </is>
      </c>
      <c r="C4" t="inlineStr">
        <is>
          <t>Sep</t>
        </is>
      </c>
      <c r="D4" s="7" t="n">
        <v>1461000</v>
      </c>
      <c r="F4" t="inlineStr">
        <is>
          <t>East</t>
        </is>
      </c>
      <c r="G4" s="7" t="n">
        <v>3250000</v>
      </c>
    </row>
    <row r="5">
      <c r="A5" s="8" t="n"/>
      <c r="B5" t="inlineStr">
        <is>
          <t>Lucknow</t>
        </is>
      </c>
      <c r="C5" t="inlineStr">
        <is>
          <t>Sep</t>
        </is>
      </c>
      <c r="D5" s="7" t="n">
        <v>1935000</v>
      </c>
      <c r="F5" t="inlineStr">
        <is>
          <t>West</t>
        </is>
      </c>
      <c r="G5" s="7">
        <f>SUMIF($A$2:$A$16,F5,$D$2:$D$16)</f>
        <v/>
      </c>
    </row>
    <row r="6">
      <c r="A6" s="8" t="inlineStr">
        <is>
          <t>South</t>
        </is>
      </c>
      <c r="B6" t="inlineStr">
        <is>
          <t>Chennai</t>
        </is>
      </c>
      <c r="C6" t="inlineStr">
        <is>
          <t>Sep</t>
        </is>
      </c>
      <c r="D6" s="7" t="n">
        <v>1682000</v>
      </c>
    </row>
    <row r="7">
      <c r="A7" s="8" t="n"/>
      <c r="B7" t="inlineStr">
        <is>
          <t>Bengaluru</t>
        </is>
      </c>
      <c r="C7" t="inlineStr">
        <is>
          <t>Sep</t>
        </is>
      </c>
      <c r="D7" s="7" t="n">
        <v>1625000</v>
      </c>
    </row>
    <row r="8">
      <c r="A8" s="8" t="n"/>
      <c r="B8" t="inlineStr">
        <is>
          <t>Kochi</t>
        </is>
      </c>
      <c r="C8" t="inlineStr">
        <is>
          <t>Sep</t>
        </is>
      </c>
      <c r="D8" s="7" t="n">
        <v>828000</v>
      </c>
    </row>
    <row r="9">
      <c r="A9" s="8" t="n"/>
      <c r="B9" t="inlineStr">
        <is>
          <t>Hyderabad</t>
        </is>
      </c>
      <c r="C9" t="inlineStr">
        <is>
          <t>Sep</t>
        </is>
      </c>
      <c r="D9" s="7" t="n">
        <v>1328000</v>
      </c>
    </row>
    <row r="10">
      <c r="A10" s="8" t="inlineStr">
        <is>
          <t>East</t>
        </is>
      </c>
      <c r="B10" t="inlineStr">
        <is>
          <t>Kolkata</t>
        </is>
      </c>
      <c r="C10" t="inlineStr">
        <is>
          <t>Sep</t>
        </is>
      </c>
      <c r="D10" s="7" t="n">
        <v>2065000</v>
      </c>
    </row>
    <row r="11">
      <c r="A11" s="8" t="n"/>
      <c r="B11" t="inlineStr">
        <is>
          <t>Bhubaneswar</t>
        </is>
      </c>
      <c r="C11" t="inlineStr">
        <is>
          <t>Sep</t>
        </is>
      </c>
      <c r="D11" s="7" t="n">
        <v>1648000</v>
      </c>
    </row>
    <row r="12">
      <c r="A12" s="8" t="n"/>
      <c r="B12" t="inlineStr">
        <is>
          <t>Patna</t>
        </is>
      </c>
      <c r="C12" t="inlineStr">
        <is>
          <t>Sep</t>
        </is>
      </c>
      <c r="D12" s="7" t="n">
        <v>1702000</v>
      </c>
    </row>
    <row r="13">
      <c r="A13" s="8" t="inlineStr">
        <is>
          <t>West</t>
        </is>
      </c>
      <c r="B13" t="inlineStr">
        <is>
          <t>Mumbai</t>
        </is>
      </c>
      <c r="C13" t="inlineStr">
        <is>
          <t>Sep</t>
        </is>
      </c>
      <c r="D13" s="7" t="n">
        <v>1047000</v>
      </c>
    </row>
    <row r="14">
      <c r="A14" s="8" t="n"/>
      <c r="B14" t="inlineStr">
        <is>
          <t>Pune</t>
        </is>
      </c>
      <c r="C14" t="inlineStr">
        <is>
          <t>Sep</t>
        </is>
      </c>
      <c r="D14" s="7" t="n">
        <v>907000</v>
      </c>
    </row>
    <row r="15">
      <c r="A15" s="8" t="n"/>
      <c r="B15" t="inlineStr">
        <is>
          <t>Ahmedabad</t>
        </is>
      </c>
      <c r="C15" t="inlineStr">
        <is>
          <t>Sep</t>
        </is>
      </c>
      <c r="D15" s="7" t="n">
        <v>2318000</v>
      </c>
    </row>
    <row r="16">
      <c r="A16" s="8" t="n"/>
      <c r="B16" t="inlineStr">
        <is>
          <t>Surat</t>
        </is>
      </c>
      <c r="C16" t="inlineStr">
        <is>
          <t>Sep</t>
        </is>
      </c>
      <c r="D16" s="7" t="n">
        <v>1923000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" customWidth="1" min="3" max="3"/>
    <col width="12" customWidth="1" min="4" max="4"/>
    <col width="3" customWidth="1" min="5" max="5"/>
    <col width="9" customWidth="1" min="6" max="6"/>
    <col width="13" customWidth="1" min="7" max="7"/>
    <col width="3" customWidth="1" min="8" max="8"/>
    <col width="9" customWidth="1" min="9" max="9"/>
    <col width="13" customWidth="1" min="10" max="10"/>
    <col width="7" customWidth="1" min="11" max="11"/>
    <col width="12" customWidth="1" min="12" max="12"/>
  </cols>
  <sheetData>
    <row r="1">
      <c r="A1" s="3" t="inlineStr">
        <is>
          <t>Region</t>
        </is>
      </c>
      <c r="B1" s="3" t="inlineStr">
        <is>
          <t>Branch</t>
        </is>
      </c>
      <c r="C1" s="3" t="inlineStr">
        <is>
          <t>Month</t>
        </is>
      </c>
      <c r="D1" s="3" t="inlineStr">
        <is>
          <t>Sales</t>
        </is>
      </c>
      <c r="F1" s="3" t="inlineStr">
        <is>
          <t>Region</t>
        </is>
      </c>
      <c r="G1" s="3" t="inlineStr">
        <is>
          <t>Total</t>
        </is>
      </c>
      <c r="I1" s="3" t="inlineStr">
        <is>
          <t>Region</t>
        </is>
      </c>
      <c r="J1" s="3" t="inlineStr">
        <is>
          <t>Branch</t>
        </is>
      </c>
      <c r="K1" s="3" t="inlineStr">
        <is>
          <t>Month</t>
        </is>
      </c>
      <c r="L1" s="3" t="inlineStr">
        <is>
          <t>Sales</t>
        </is>
      </c>
    </row>
    <row r="2">
      <c r="A2" t="inlineStr">
        <is>
          <t>North</t>
        </is>
      </c>
      <c r="B2" t="inlineStr">
        <is>
          <t>Delhi</t>
        </is>
      </c>
      <c r="C2" t="inlineStr">
        <is>
          <t>Sep</t>
        </is>
      </c>
      <c r="D2" s="7" t="n">
        <v>1170000</v>
      </c>
      <c r="F2" t="inlineStr">
        <is>
          <t>North</t>
        </is>
      </c>
      <c r="G2" s="7">
        <f>SUMIF($A$2:$A$16,F2,$D$2:$D$16)</f>
        <v/>
      </c>
      <c r="I2" t="inlineStr">
        <is>
          <t>North</t>
        </is>
      </c>
      <c r="J2" t="inlineStr">
        <is>
          <t>Delhi</t>
        </is>
      </c>
      <c r="K2" t="inlineStr">
        <is>
          <t>Sep</t>
        </is>
      </c>
      <c r="L2" s="7" t="n">
        <v>1170000</v>
      </c>
    </row>
    <row r="3">
      <c r="A3" t="inlineStr">
        <is>
          <t>North</t>
        </is>
      </c>
      <c r="B3" t="inlineStr">
        <is>
          <t>Chandigarh</t>
        </is>
      </c>
      <c r="C3" t="inlineStr">
        <is>
          <t>Sep</t>
        </is>
      </c>
      <c r="D3" s="7" t="n">
        <v>987000</v>
      </c>
      <c r="F3" t="inlineStr">
        <is>
          <t>South</t>
        </is>
      </c>
      <c r="G3" s="7">
        <f>SUMIF($A$2:$A$16,F3,$D$2:$D$16)</f>
        <v/>
      </c>
      <c r="I3" t="inlineStr">
        <is>
          <t>North</t>
        </is>
      </c>
      <c r="J3" t="inlineStr">
        <is>
          <t>Chandigarh</t>
        </is>
      </c>
      <c r="K3" t="inlineStr">
        <is>
          <t>Sep</t>
        </is>
      </c>
      <c r="L3" s="7" t="n">
        <v>987000</v>
      </c>
    </row>
    <row r="4">
      <c r="A4" t="inlineStr">
        <is>
          <t>North</t>
        </is>
      </c>
      <c r="B4" t="inlineStr">
        <is>
          <t>Jaipur</t>
        </is>
      </c>
      <c r="C4" t="inlineStr">
        <is>
          <t>Sep</t>
        </is>
      </c>
      <c r="D4" s="7" t="n">
        <v>1461000</v>
      </c>
      <c r="F4" t="inlineStr">
        <is>
          <t>East</t>
        </is>
      </c>
      <c r="G4" s="7">
        <f>SUMIF($A$2:$A$16,F4,$D$2:$D$16)</f>
        <v/>
      </c>
      <c r="I4" t="inlineStr">
        <is>
          <t>North</t>
        </is>
      </c>
      <c r="J4" t="inlineStr">
        <is>
          <t>Jaipur</t>
        </is>
      </c>
      <c r="K4" t="inlineStr">
        <is>
          <t>Sep</t>
        </is>
      </c>
      <c r="L4" s="7" t="n">
        <v>1461000</v>
      </c>
    </row>
    <row r="5">
      <c r="A5" t="inlineStr">
        <is>
          <t>North</t>
        </is>
      </c>
      <c r="B5" t="inlineStr">
        <is>
          <t>Lucknow</t>
        </is>
      </c>
      <c r="C5" t="inlineStr">
        <is>
          <t>Sep</t>
        </is>
      </c>
      <c r="D5" s="7" t="n">
        <v>1935000</v>
      </c>
      <c r="F5" t="inlineStr">
        <is>
          <t>West</t>
        </is>
      </c>
      <c r="G5" s="7">
        <f>SUMIF($A$2:$A$16,F5,$D$2:$D$16)</f>
        <v/>
      </c>
      <c r="I5" t="inlineStr">
        <is>
          <t>North</t>
        </is>
      </c>
      <c r="J5" t="inlineStr">
        <is>
          <t>Lucknow</t>
        </is>
      </c>
      <c r="K5" t="inlineStr">
        <is>
          <t>Sep</t>
        </is>
      </c>
      <c r="L5" s="7" t="n">
        <v>1935000</v>
      </c>
    </row>
    <row r="6">
      <c r="A6" t="inlineStr">
        <is>
          <t>South</t>
        </is>
      </c>
      <c r="B6" t="inlineStr">
        <is>
          <t>Chennai</t>
        </is>
      </c>
      <c r="C6" t="inlineStr">
        <is>
          <t>Sep</t>
        </is>
      </c>
      <c r="D6" s="7" t="n">
        <v>1682000</v>
      </c>
      <c r="I6" t="inlineStr">
        <is>
          <t>East</t>
        </is>
      </c>
      <c r="J6" t="inlineStr">
        <is>
          <t>Kolkata</t>
        </is>
      </c>
      <c r="K6" t="inlineStr">
        <is>
          <t>Sep</t>
        </is>
      </c>
      <c r="L6" s="7" t="n">
        <v>2065000</v>
      </c>
    </row>
    <row r="7">
      <c r="A7" t="inlineStr">
        <is>
          <t>South</t>
        </is>
      </c>
      <c r="B7" t="inlineStr">
        <is>
          <t>Bengaluru</t>
        </is>
      </c>
      <c r="C7" t="inlineStr">
        <is>
          <t>Sep</t>
        </is>
      </c>
      <c r="D7" s="7" t="n">
        <v>1625000</v>
      </c>
      <c r="I7" t="inlineStr">
        <is>
          <t>East</t>
        </is>
      </c>
      <c r="J7" t="inlineStr">
        <is>
          <t>Bhubaneswar</t>
        </is>
      </c>
      <c r="K7" t="inlineStr">
        <is>
          <t>Sep</t>
        </is>
      </c>
      <c r="L7" s="7" t="n">
        <v>1648000</v>
      </c>
    </row>
    <row r="8">
      <c r="A8" t="inlineStr">
        <is>
          <t>South</t>
        </is>
      </c>
      <c r="B8" t="inlineStr">
        <is>
          <t>Kochi</t>
        </is>
      </c>
      <c r="C8" t="inlineStr">
        <is>
          <t>Sep</t>
        </is>
      </c>
      <c r="D8" s="7" t="n">
        <v>828000</v>
      </c>
      <c r="I8" t="inlineStr">
        <is>
          <t>East</t>
        </is>
      </c>
      <c r="J8" t="inlineStr">
        <is>
          <t>Patna</t>
        </is>
      </c>
      <c r="K8" t="inlineStr">
        <is>
          <t>Sep</t>
        </is>
      </c>
      <c r="L8" s="7" t="n">
        <v>1702000</v>
      </c>
    </row>
    <row r="9">
      <c r="A9" t="inlineStr">
        <is>
          <t>South</t>
        </is>
      </c>
      <c r="B9" t="inlineStr">
        <is>
          <t>Hyderabad</t>
        </is>
      </c>
      <c r="C9" t="inlineStr">
        <is>
          <t>Sep</t>
        </is>
      </c>
      <c r="D9" s="7" t="n">
        <v>1328000</v>
      </c>
      <c r="I9" t="inlineStr">
        <is>
          <t>West</t>
        </is>
      </c>
      <c r="J9" t="inlineStr">
        <is>
          <t>Mumbai</t>
        </is>
      </c>
      <c r="K9" t="inlineStr">
        <is>
          <t>Sep</t>
        </is>
      </c>
      <c r="L9" s="7" t="n">
        <v>1047000</v>
      </c>
    </row>
    <row r="10">
      <c r="A10" t="inlineStr">
        <is>
          <t>East</t>
        </is>
      </c>
      <c r="B10" t="inlineStr">
        <is>
          <t>Kolkata</t>
        </is>
      </c>
      <c r="C10" t="inlineStr">
        <is>
          <t>Sep</t>
        </is>
      </c>
      <c r="D10" s="7" t="n">
        <v>2065000</v>
      </c>
      <c r="I10" t="inlineStr">
        <is>
          <t>West</t>
        </is>
      </c>
      <c r="J10" t="inlineStr">
        <is>
          <t>Pune</t>
        </is>
      </c>
      <c r="K10" t="inlineStr">
        <is>
          <t>Sep</t>
        </is>
      </c>
      <c r="L10" s="7" t="n">
        <v>907000</v>
      </c>
    </row>
    <row r="11">
      <c r="A11" t="inlineStr">
        <is>
          <t>East</t>
        </is>
      </c>
      <c r="B11" t="inlineStr">
        <is>
          <t>Bhubaneswar</t>
        </is>
      </c>
      <c r="C11" t="inlineStr">
        <is>
          <t>Sep</t>
        </is>
      </c>
      <c r="D11" s="7" t="n">
        <v>1648000</v>
      </c>
      <c r="I11" t="inlineStr">
        <is>
          <t>West</t>
        </is>
      </c>
      <c r="J11" t="inlineStr">
        <is>
          <t>Ahmedabad</t>
        </is>
      </c>
      <c r="K11" t="inlineStr">
        <is>
          <t>Sep</t>
        </is>
      </c>
      <c r="L11" s="7" t="n">
        <v>2318000</v>
      </c>
    </row>
    <row r="12">
      <c r="A12" t="inlineStr">
        <is>
          <t>East</t>
        </is>
      </c>
      <c r="B12" t="inlineStr">
        <is>
          <t>Patna</t>
        </is>
      </c>
      <c r="C12" t="inlineStr">
        <is>
          <t>Sep</t>
        </is>
      </c>
      <c r="D12" s="7" t="n">
        <v>1702000</v>
      </c>
      <c r="I12" t="inlineStr">
        <is>
          <t>West</t>
        </is>
      </c>
      <c r="J12" t="inlineStr">
        <is>
          <t>Surat</t>
        </is>
      </c>
      <c r="K12" t="inlineStr">
        <is>
          <t>Sep</t>
        </is>
      </c>
      <c r="L12" s="7" t="n">
        <v>1923000</v>
      </c>
    </row>
    <row r="13">
      <c r="A13" t="inlineStr">
        <is>
          <t>West</t>
        </is>
      </c>
      <c r="B13" t="inlineStr">
        <is>
          <t>Mumbai</t>
        </is>
      </c>
      <c r="C13" t="inlineStr">
        <is>
          <t>Sep</t>
        </is>
      </c>
      <c r="D13" s="7" t="n">
        <v>1047000</v>
      </c>
    </row>
    <row r="14">
      <c r="A14" t="inlineStr">
        <is>
          <t>West</t>
        </is>
      </c>
      <c r="B14" t="inlineStr">
        <is>
          <t>Pune</t>
        </is>
      </c>
      <c r="C14" t="inlineStr">
        <is>
          <t>Sep</t>
        </is>
      </c>
      <c r="D14" s="7" t="n">
        <v>907000</v>
      </c>
    </row>
    <row r="15">
      <c r="A15" t="inlineStr">
        <is>
          <t>West</t>
        </is>
      </c>
      <c r="B15" t="inlineStr">
        <is>
          <t>Ahmedabad</t>
        </is>
      </c>
      <c r="C15" t="inlineStr">
        <is>
          <t>Sep</t>
        </is>
      </c>
      <c r="D15" s="7" t="n">
        <v>2318000</v>
      </c>
    </row>
    <row r="16">
      <c r="A16" t="inlineStr">
        <is>
          <t>West</t>
        </is>
      </c>
      <c r="B16" t="inlineStr">
        <is>
          <t>Surat</t>
        </is>
      </c>
      <c r="C16" t="inlineStr">
        <is>
          <t>Sep</t>
        </is>
      </c>
      <c r="D16" s="7" t="n">
        <v>1923000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7" customWidth="1" min="4" max="4"/>
    <col width="3" customWidth="1" min="5" max="5"/>
    <col width="28" customWidth="1" min="6" max="6"/>
    <col width="9" customWidth="1" min="7" max="7"/>
  </cols>
  <sheetData>
    <row r="1">
      <c r="A1" s="3" t="inlineStr">
        <is>
          <t>Task</t>
        </is>
      </c>
      <c r="B1" s="3" t="inlineStr">
        <is>
          <t>Owner</t>
        </is>
      </c>
      <c r="C1" s="3" t="inlineStr">
        <is>
          <t>Due Date</t>
        </is>
      </c>
      <c r="D1" s="3" t="inlineStr">
        <is>
          <t>Done</t>
        </is>
      </c>
      <c r="F1" s="4" t="inlineStr">
        <is>
          <t>Done</t>
        </is>
      </c>
      <c r="G1" s="8" t="n"/>
    </row>
    <row r="2">
      <c r="A2" t="inlineStr">
        <is>
          <t>Collect GST invoices for September</t>
        </is>
      </c>
      <c r="B2" t="inlineStr">
        <is>
          <t>Kavya</t>
        </is>
      </c>
      <c r="C2" s="6" t="n">
        <v>46305</v>
      </c>
      <c r="D2" s="8" t="n"/>
      <c r="F2" s="4" t="inlineStr">
        <is>
          <t>Pending</t>
        </is>
      </c>
      <c r="G2" s="8" t="n"/>
    </row>
    <row r="3">
      <c r="A3" t="inlineStr">
        <is>
          <t>File GSTR-3B for September</t>
        </is>
      </c>
      <c r="B3" t="inlineStr">
        <is>
          <t>Rahul</t>
        </is>
      </c>
      <c r="C3" s="6" t="n">
        <v>46315</v>
      </c>
      <c r="D3" s="8" t="n"/>
      <c r="F3" s="4" t="inlineStr">
        <is>
          <t>% complete</t>
        </is>
      </c>
      <c r="G3" s="15" t="n"/>
    </row>
    <row r="4">
      <c r="A4" t="inlineStr">
        <is>
          <t>Reconcile HDFC current account</t>
        </is>
      </c>
      <c r="B4" t="inlineStr">
        <is>
          <t>Pooja</t>
        </is>
      </c>
      <c r="C4" s="6" t="n">
        <v>46310</v>
      </c>
      <c r="D4" s="8" t="n"/>
    </row>
    <row r="5">
      <c r="A5" t="inlineStr">
        <is>
          <t>Approve travel claims</t>
        </is>
      </c>
      <c r="B5" t="inlineStr">
        <is>
          <t>Amit</t>
        </is>
      </c>
      <c r="C5" s="6" t="n">
        <v>46313</v>
      </c>
      <c r="D5" s="8" t="n"/>
      <c r="F5" s="4" t="inlineStr">
        <is>
          <t>Challenge: pending for Rahul</t>
        </is>
      </c>
      <c r="G5" s="8" t="n"/>
    </row>
    <row r="6">
      <c r="A6" t="inlineStr">
        <is>
          <t>Send TDS certificates (Form 16A)</t>
        </is>
      </c>
      <c r="B6" t="inlineStr">
        <is>
          <t>Rahul</t>
        </is>
      </c>
      <c r="C6" s="6" t="n">
        <v>46341</v>
      </c>
      <c r="D6" s="8" t="n"/>
    </row>
    <row r="7">
      <c r="A7" t="inlineStr">
        <is>
          <t>Update fixed asset register</t>
        </is>
      </c>
      <c r="B7" t="inlineStr">
        <is>
          <t>Ishita</t>
        </is>
      </c>
      <c r="C7" s="6" t="n">
        <v>46326</v>
      </c>
      <c r="D7" s="8" t="n"/>
    </row>
    <row r="8">
      <c r="A8" t="inlineStr">
        <is>
          <t>Book Diwali gifts for clients</t>
        </is>
      </c>
      <c r="B8" t="inlineStr">
        <is>
          <t>Sana</t>
        </is>
      </c>
      <c r="C8" s="6" t="n">
        <v>46320</v>
      </c>
      <c r="D8" s="8" t="n"/>
    </row>
    <row r="9">
      <c r="A9" t="inlineStr">
        <is>
          <t>Renew office lease</t>
        </is>
      </c>
      <c r="B9" t="inlineStr">
        <is>
          <t>Amit</t>
        </is>
      </c>
      <c r="C9" s="6" t="n">
        <v>46356</v>
      </c>
      <c r="D9" s="8" t="n"/>
    </row>
    <row r="10">
      <c r="A10" t="inlineStr">
        <is>
          <t>Prepare Q2 MIS report</t>
        </is>
      </c>
      <c r="B10" t="inlineStr">
        <is>
          <t>Kavya</t>
        </is>
      </c>
      <c r="C10" s="6" t="n">
        <v>46323</v>
      </c>
      <c r="D10" s="8" t="n"/>
    </row>
    <row r="11">
      <c r="A11" t="inlineStr">
        <is>
          <t>Pay advance tax instalment</t>
        </is>
      </c>
      <c r="B11" t="inlineStr">
        <is>
          <t>Pooja</t>
        </is>
      </c>
      <c r="C11" s="6" t="n">
        <v>46371</v>
      </c>
      <c r="D11" s="8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1" customWidth="1" min="3" max="3"/>
    <col width="7" customWidth="1" min="4" max="4"/>
    <col width="3" customWidth="1" min="5" max="5"/>
    <col width="28" customWidth="1" min="6" max="6"/>
    <col width="9" customWidth="1" min="7" max="7"/>
  </cols>
  <sheetData>
    <row r="1">
      <c r="A1" s="3" t="inlineStr">
        <is>
          <t>Task</t>
        </is>
      </c>
      <c r="B1" s="3" t="inlineStr">
        <is>
          <t>Owner</t>
        </is>
      </c>
      <c r="C1" s="3" t="inlineStr">
        <is>
          <t>Due Date</t>
        </is>
      </c>
      <c r="D1" s="3" t="inlineStr">
        <is>
          <t>Done</t>
        </is>
      </c>
      <c r="F1" s="4" t="inlineStr">
        <is>
          <t>Done</t>
        </is>
      </c>
      <c r="G1">
        <f>COUNTIF(D2:D11,TRUE)</f>
        <v/>
      </c>
    </row>
    <row r="2">
      <c r="A2" t="inlineStr">
        <is>
          <t>Collect GST invoices for September</t>
        </is>
      </c>
      <c r="B2" t="inlineStr">
        <is>
          <t>Kavya</t>
        </is>
      </c>
      <c r="C2" s="6" t="n">
        <v>46305</v>
      </c>
      <c r="D2" t="b">
        <v>1</v>
      </c>
      <c r="F2" s="4" t="inlineStr">
        <is>
          <t>Pending</t>
        </is>
      </c>
      <c r="G2">
        <f>COUNTIF(D2:D11,FALSE)</f>
        <v/>
      </c>
    </row>
    <row r="3">
      <c r="A3" t="inlineStr">
        <is>
          <t>File GSTR-3B for September</t>
        </is>
      </c>
      <c r="B3" t="inlineStr">
        <is>
          <t>Rahul</t>
        </is>
      </c>
      <c r="C3" s="6" t="n">
        <v>46315</v>
      </c>
      <c r="D3" t="b">
        <v>1</v>
      </c>
      <c r="F3" s="4" t="inlineStr">
        <is>
          <t>% complete</t>
        </is>
      </c>
      <c r="G3" s="13">
        <f>G1/COUNTA(A2:A11)</f>
        <v/>
      </c>
    </row>
    <row r="4">
      <c r="A4" t="inlineStr">
        <is>
          <t>Reconcile HDFC current account</t>
        </is>
      </c>
      <c r="B4" t="inlineStr">
        <is>
          <t>Pooja</t>
        </is>
      </c>
      <c r="C4" s="6" t="n">
        <v>46310</v>
      </c>
      <c r="D4" t="b">
        <v>0</v>
      </c>
    </row>
    <row r="5">
      <c r="A5" t="inlineStr">
        <is>
          <t>Approve travel claims</t>
        </is>
      </c>
      <c r="B5" t="inlineStr">
        <is>
          <t>Amit</t>
        </is>
      </c>
      <c r="C5" s="6" t="n">
        <v>46313</v>
      </c>
      <c r="D5" t="b">
        <v>1</v>
      </c>
      <c r="F5" s="4" t="inlineStr">
        <is>
          <t>Challenge: pending for Rahul</t>
        </is>
      </c>
      <c r="G5">
        <f>COUNTIFS(B2:B11,"Rahul",D2:D11,FALSE)</f>
        <v/>
      </c>
    </row>
    <row r="6">
      <c r="A6" t="inlineStr">
        <is>
          <t>Send TDS certificates (Form 16A)</t>
        </is>
      </c>
      <c r="B6" t="inlineStr">
        <is>
          <t>Rahul</t>
        </is>
      </c>
      <c r="C6" s="6" t="n">
        <v>46341</v>
      </c>
      <c r="D6" t="b">
        <v>0</v>
      </c>
    </row>
    <row r="7">
      <c r="A7" t="inlineStr">
        <is>
          <t>Update fixed asset register</t>
        </is>
      </c>
      <c r="B7" t="inlineStr">
        <is>
          <t>Ishita</t>
        </is>
      </c>
      <c r="C7" s="6" t="n">
        <v>46326</v>
      </c>
      <c r="D7" t="b">
        <v>0</v>
      </c>
    </row>
    <row r="8">
      <c r="A8" t="inlineStr">
        <is>
          <t>Book Diwali gifts for clients</t>
        </is>
      </c>
      <c r="B8" t="inlineStr">
        <is>
          <t>Sana</t>
        </is>
      </c>
      <c r="C8" s="6" t="n">
        <v>46320</v>
      </c>
      <c r="D8" t="b">
        <v>1</v>
      </c>
    </row>
    <row r="9">
      <c r="A9" t="inlineStr">
        <is>
          <t>Renew office lease</t>
        </is>
      </c>
      <c r="B9" t="inlineStr">
        <is>
          <t>Amit</t>
        </is>
      </c>
      <c r="C9" s="6" t="n">
        <v>46356</v>
      </c>
      <c r="D9" t="b">
        <v>0</v>
      </c>
    </row>
    <row r="10">
      <c r="A10" t="inlineStr">
        <is>
          <t>Prepare Q2 MIS report</t>
        </is>
      </c>
      <c r="B10" t="inlineStr">
        <is>
          <t>Kavya</t>
        </is>
      </c>
      <c r="C10" s="6" t="n">
        <v>46323</v>
      </c>
      <c r="D10" t="b">
        <v>0</v>
      </c>
    </row>
    <row r="11">
      <c r="A11" t="inlineStr">
        <is>
          <t>Pay advance tax instalment</t>
        </is>
      </c>
      <c r="B11" t="inlineStr">
        <is>
          <t>Pooja</t>
        </is>
      </c>
      <c r="C11" s="6" t="n">
        <v>46371</v>
      </c>
      <c r="D11" t="b">
        <v>0</v>
      </c>
    </row>
    <row r="13">
      <c r="A13" s="12" t="inlineStr">
        <is>
          <t>Column D holds TRUE/FALSE. In the video these are cell checkboxes (Insert &gt; Checkbox).</t>
        </is>
      </c>
    </row>
  </sheetData>
  <conditionalFormatting sqref="A2:D11">
    <cfRule type="expression" priority="1" dxfId="1">
      <formula>$D2=TRUE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9" customWidth="1" min="4" max="4"/>
    <col width="11" customWidth="1" min="5" max="5"/>
    <col width="11" customWidth="1" min="6" max="6"/>
    <col width="11" customWidth="1" min="7" max="7"/>
    <col width="3" customWidth="1" min="8" max="8"/>
    <col width="3" customWidth="1" min="9" max="9"/>
    <col width="62" customWidth="1" min="10" max="10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</t>
        </is>
      </c>
      <c r="D1" s="3" t="inlineStr">
        <is>
          <t>City</t>
        </is>
      </c>
      <c r="E1" s="3" t="inlineStr">
        <is>
          <t>Status</t>
        </is>
      </c>
      <c r="F1" s="3" t="inlineStr">
        <is>
          <t>Amount</t>
        </is>
      </c>
      <c r="G1" s="3" t="inlineStr">
        <is>
          <t>Due Date</t>
        </is>
      </c>
      <c r="J1" s="16" t="inlineStr">
        <is>
          <t>Challenge 6: order tracker</t>
        </is>
      </c>
    </row>
    <row r="2">
      <c r="A2" t="inlineStr">
        <is>
          <t>ORD-5101</t>
        </is>
      </c>
      <c r="B2" s="6" t="n">
        <v>46296</v>
      </c>
      <c r="C2" t="inlineStr">
        <is>
          <t>Patil Electricals</t>
        </is>
      </c>
      <c r="D2" t="inlineStr">
        <is>
          <t>Pune</t>
        </is>
      </c>
      <c r="E2" s="8" t="inlineStr">
        <is>
          <t>Delivered</t>
        </is>
      </c>
      <c r="F2" s="5" t="n">
        <v>95700</v>
      </c>
      <c r="G2" s="6" t="n">
        <v>46303</v>
      </c>
      <c r="J2" s="17" t="inlineStr">
        <is>
          <t>1. Turn A1:G16 into a Table named tblTracker.</t>
        </is>
      </c>
    </row>
    <row r="3">
      <c r="A3" t="inlineStr">
        <is>
          <t>ORD-5102</t>
        </is>
      </c>
      <c r="B3" s="6" t="n">
        <v>46298</v>
      </c>
      <c r="C3" t="inlineStr">
        <is>
          <t>Kumar Stores</t>
        </is>
      </c>
      <c r="D3" t="inlineStr">
        <is>
          <t>Pune</t>
        </is>
      </c>
      <c r="E3" s="8" t="inlineStr">
        <is>
          <t>Pending</t>
        </is>
      </c>
      <c r="F3" s="5" t="n">
        <v>94500</v>
      </c>
      <c r="G3" s="6" t="n">
        <v>46305</v>
      </c>
      <c r="J3" s="17" t="inlineStr">
        <is>
          <t>2. Status (E2:E16): dropdown list from J14:J17.</t>
        </is>
      </c>
    </row>
    <row r="4">
      <c r="A4" t="inlineStr">
        <is>
          <t>ORD-5103</t>
        </is>
      </c>
      <c r="B4" s="6" t="n">
        <v>46300</v>
      </c>
      <c r="C4" t="inlineStr">
        <is>
          <t>Shree Ganesh Traders</t>
        </is>
      </c>
      <c r="D4" t="inlineStr">
        <is>
          <t>Thane</t>
        </is>
      </c>
      <c r="E4" s="8" t="inlineStr">
        <is>
          <t>Dispatched</t>
        </is>
      </c>
      <c r="F4" s="5" t="n">
        <v>15000</v>
      </c>
      <c r="G4" s="6" t="n">
        <v>46307</v>
      </c>
      <c r="J4" s="17" t="inlineStr">
        <is>
          <t>3. Amount (F2:F16): allow whole numbers greater than 0 only.</t>
        </is>
      </c>
    </row>
    <row r="5">
      <c r="A5" t="inlineStr">
        <is>
          <t>ORD-5104</t>
        </is>
      </c>
      <c r="B5" s="6" t="n">
        <v>46302</v>
      </c>
      <c r="C5" t="inlineStr">
        <is>
          <t>Patil Electricals</t>
        </is>
      </c>
      <c r="D5" t="inlineStr">
        <is>
          <t>Thane</t>
        </is>
      </c>
      <c r="E5" s="8" t="inlineStr">
        <is>
          <t>Pending</t>
        </is>
      </c>
      <c r="F5" s="5" t="n">
        <v>55400</v>
      </c>
      <c r="G5" s="6" t="n">
        <v>46309</v>
      </c>
      <c r="J5" s="17" t="inlineStr">
        <is>
          <t>4. Whole row light red when Status is not Delivered or Cancelled</t>
        </is>
      </c>
    </row>
    <row r="6">
      <c r="A6" t="inlineStr">
        <is>
          <t>ORD-5105</t>
        </is>
      </c>
      <c r="B6" s="6" t="n">
        <v>46304</v>
      </c>
      <c r="C6" t="inlineStr">
        <is>
          <t>Mehta &amp; Sons</t>
        </is>
      </c>
      <c r="D6" t="inlineStr">
        <is>
          <t>Thane</t>
        </is>
      </c>
      <c r="E6" s="8" t="inlineStr">
        <is>
          <t>Delivered</t>
        </is>
      </c>
      <c r="F6" s="5" t="n">
        <v>83700</v>
      </c>
      <c r="G6" s="6" t="n">
        <v>46311</v>
      </c>
      <c r="J6" s="17" t="inlineStr">
        <is>
          <t xml:space="preserve">   AND Due Date is before the report date in J20.</t>
        </is>
      </c>
    </row>
    <row r="7">
      <c r="A7" t="inlineStr">
        <is>
          <t>ORD-5106</t>
        </is>
      </c>
      <c r="B7" s="6" t="n">
        <v>46306</v>
      </c>
      <c r="C7" t="inlineStr">
        <is>
          <t>Balaji Agencies</t>
        </is>
      </c>
      <c r="D7" t="inlineStr">
        <is>
          <t>Mumbai</t>
        </is>
      </c>
      <c r="E7" s="8" t="inlineStr">
        <is>
          <t>Cancelled</t>
        </is>
      </c>
      <c r="F7" s="5" t="n">
        <v>108400</v>
      </c>
      <c r="G7" s="6" t="n">
        <v>46313</v>
      </c>
      <c r="J7" s="17" t="inlineStr">
        <is>
          <t>5. Blue data bars on Amount.</t>
        </is>
      </c>
    </row>
    <row r="8">
      <c r="A8" t="inlineStr">
        <is>
          <t>ORD-5107</t>
        </is>
      </c>
      <c r="B8" s="6" t="n">
        <v>46308</v>
      </c>
      <c r="C8" t="inlineStr">
        <is>
          <t>Sharma Stationers</t>
        </is>
      </c>
      <c r="D8" t="inlineStr">
        <is>
          <t>Pune</t>
        </is>
      </c>
      <c r="E8" s="8" t="inlineStr">
        <is>
          <t>Pending</t>
        </is>
      </c>
      <c r="F8" s="5" t="n">
        <v>31000</v>
      </c>
      <c r="G8" s="6" t="n">
        <v>46315</v>
      </c>
      <c r="J8" s="17" t="inlineStr">
        <is>
          <t>6. In J23, count the orders with Status "Pending".</t>
        </is>
      </c>
    </row>
    <row r="9">
      <c r="A9" t="inlineStr">
        <is>
          <t>ORD-5108</t>
        </is>
      </c>
      <c r="B9" s="6" t="n">
        <v>46310</v>
      </c>
      <c r="C9" t="inlineStr">
        <is>
          <t>Patil Electricals</t>
        </is>
      </c>
      <c r="D9" t="inlineStr">
        <is>
          <t>Pune</t>
        </is>
      </c>
      <c r="E9" s="8" t="inlineStr">
        <is>
          <t>Dispatched</t>
        </is>
      </c>
      <c r="F9" s="5" t="n">
        <v>129200</v>
      </c>
      <c r="G9" s="6" t="n">
        <v>46317</v>
      </c>
      <c r="J9" s="17" t="inlineStr"/>
    </row>
    <row r="10">
      <c r="A10" t="inlineStr">
        <is>
          <t>ORD-5109</t>
        </is>
      </c>
      <c r="B10" s="6" t="n">
        <v>46312</v>
      </c>
      <c r="C10" t="inlineStr">
        <is>
          <t>Royal Furnishers</t>
        </is>
      </c>
      <c r="D10" t="inlineStr">
        <is>
          <t>Nagpur</t>
        </is>
      </c>
      <c r="E10" s="8" t="inlineStr">
        <is>
          <t>Delivered</t>
        </is>
      </c>
      <c r="F10" s="5" t="n">
        <v>22200</v>
      </c>
      <c r="G10" s="6" t="n">
        <v>46319</v>
      </c>
      <c r="J10" s="17" t="inlineStr">
        <is>
          <t>Check: J23 should show 6.</t>
        </is>
      </c>
    </row>
    <row r="11">
      <c r="A11" t="inlineStr">
        <is>
          <t>ORD-5110</t>
        </is>
      </c>
      <c r="B11" s="6" t="n">
        <v>46314</v>
      </c>
      <c r="C11" t="inlineStr">
        <is>
          <t>Om Sai Enterprises</t>
        </is>
      </c>
      <c r="D11" t="inlineStr">
        <is>
          <t>Thane</t>
        </is>
      </c>
      <c r="E11" s="8" t="inlineStr">
        <is>
          <t>Pending</t>
        </is>
      </c>
      <c r="F11" s="5" t="n">
        <v>113200</v>
      </c>
      <c r="G11" s="6" t="n">
        <v>46321</v>
      </c>
      <c r="J11" s="17" t="inlineStr">
        <is>
          <t>Answers: sheet 'S08-12 Answers'</t>
        </is>
      </c>
    </row>
    <row r="12">
      <c r="A12" t="inlineStr">
        <is>
          <t>ORD-5111</t>
        </is>
      </c>
      <c r="B12" s="6" t="n">
        <v>46316</v>
      </c>
      <c r="C12" t="inlineStr">
        <is>
          <t>Kumar Stores</t>
        </is>
      </c>
      <c r="D12" t="inlineStr">
        <is>
          <t>Nagpur</t>
        </is>
      </c>
      <c r="E12" s="8" t="inlineStr">
        <is>
          <t>Dispatched</t>
        </is>
      </c>
      <c r="F12" s="5" t="n">
        <v>70100</v>
      </c>
      <c r="G12" s="6" t="n">
        <v>46323</v>
      </c>
    </row>
    <row r="13">
      <c r="A13" t="inlineStr">
        <is>
          <t>ORD-5112</t>
        </is>
      </c>
      <c r="B13" s="6" t="n">
        <v>46318</v>
      </c>
      <c r="C13" t="inlineStr">
        <is>
          <t>Kumar Stores</t>
        </is>
      </c>
      <c r="D13" t="inlineStr">
        <is>
          <t>Mumbai</t>
        </is>
      </c>
      <c r="E13" s="8" t="inlineStr">
        <is>
          <t>Pending</t>
        </is>
      </c>
      <c r="F13" s="5" t="n">
        <v>61900</v>
      </c>
      <c r="G13" s="6" t="n">
        <v>46325</v>
      </c>
      <c r="J13" s="4" t="inlineStr">
        <is>
          <t>Status list</t>
        </is>
      </c>
    </row>
    <row r="14">
      <c r="A14" t="inlineStr">
        <is>
          <t>ORD-5113</t>
        </is>
      </c>
      <c r="B14" s="6" t="n">
        <v>46320</v>
      </c>
      <c r="C14" t="inlineStr">
        <is>
          <t>Patil Electricals</t>
        </is>
      </c>
      <c r="D14" t="inlineStr">
        <is>
          <t>Nagpur</t>
        </is>
      </c>
      <c r="E14" s="8" t="inlineStr">
        <is>
          <t>Delivered</t>
        </is>
      </c>
      <c r="F14" s="5" t="n">
        <v>16200</v>
      </c>
      <c r="G14" s="6" t="n">
        <v>46327</v>
      </c>
      <c r="J14" t="inlineStr">
        <is>
          <t>Pending</t>
        </is>
      </c>
    </row>
    <row r="15">
      <c r="A15" t="inlineStr">
        <is>
          <t>ORD-5114</t>
        </is>
      </c>
      <c r="B15" s="6" t="n">
        <v>46322</v>
      </c>
      <c r="C15" t="inlineStr">
        <is>
          <t>Mehta &amp; Sons</t>
        </is>
      </c>
      <c r="D15" t="inlineStr">
        <is>
          <t>Thane</t>
        </is>
      </c>
      <c r="E15" s="8" t="inlineStr">
        <is>
          <t>Pending</t>
        </is>
      </c>
      <c r="F15" s="5" t="n">
        <v>112300</v>
      </c>
      <c r="G15" s="6" t="n">
        <v>46329</v>
      </c>
      <c r="J15" t="inlineStr">
        <is>
          <t>Dispatched</t>
        </is>
      </c>
    </row>
    <row r="16">
      <c r="A16" t="inlineStr">
        <is>
          <t>ORD-5115</t>
        </is>
      </c>
      <c r="B16" s="6" t="n">
        <v>46324</v>
      </c>
      <c r="C16" t="inlineStr">
        <is>
          <t>Mehta &amp; Sons</t>
        </is>
      </c>
      <c r="D16" t="inlineStr">
        <is>
          <t>Pune</t>
        </is>
      </c>
      <c r="E16" s="8" t="inlineStr">
        <is>
          <t>Dispatched</t>
        </is>
      </c>
      <c r="F16" s="5" t="n">
        <v>101100</v>
      </c>
      <c r="G16" s="6" t="n">
        <v>46331</v>
      </c>
      <c r="J16" t="inlineStr">
        <is>
          <t>Delivered</t>
        </is>
      </c>
    </row>
    <row r="17">
      <c r="J17" t="inlineStr">
        <is>
          <t>Cancelled</t>
        </is>
      </c>
    </row>
    <row r="19">
      <c r="J19" s="4" t="inlineStr">
        <is>
          <t>Report date</t>
        </is>
      </c>
    </row>
    <row r="20">
      <c r="J20" s="6" t="n">
        <v>46318</v>
      </c>
    </row>
    <row r="22">
      <c r="J22" s="4" t="inlineStr">
        <is>
          <t>Pending orders</t>
        </is>
      </c>
    </row>
    <row r="23">
      <c r="J23" s="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9" customWidth="1" min="4" max="4"/>
    <col width="11" customWidth="1" min="5" max="5"/>
    <col width="11" customWidth="1" min="6" max="6"/>
    <col width="11" customWidth="1" min="7" max="7"/>
    <col width="3" customWidth="1" min="8" max="8"/>
    <col width="3" customWidth="1" min="9" max="9"/>
    <col width="62" customWidth="1" min="10" max="10"/>
  </cols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</t>
        </is>
      </c>
      <c r="D1" t="inlineStr">
        <is>
          <t>City</t>
        </is>
      </c>
      <c r="E1" t="inlineStr">
        <is>
          <t>Status</t>
        </is>
      </c>
      <c r="F1" t="inlineStr">
        <is>
          <t>Amount</t>
        </is>
      </c>
      <c r="G1" t="inlineStr">
        <is>
          <t>Due Date</t>
        </is>
      </c>
      <c r="J1" s="16" t="inlineStr">
        <is>
          <t>Challenge 6: order tracker</t>
        </is>
      </c>
    </row>
    <row r="2">
      <c r="A2" t="inlineStr">
        <is>
          <t>ORD-5101</t>
        </is>
      </c>
      <c r="B2" s="6" t="n">
        <v>46296</v>
      </c>
      <c r="C2" t="inlineStr">
        <is>
          <t>Patil Electricals</t>
        </is>
      </c>
      <c r="D2" t="inlineStr">
        <is>
          <t>Pune</t>
        </is>
      </c>
      <c r="E2" t="inlineStr">
        <is>
          <t>Delivered</t>
        </is>
      </c>
      <c r="F2" s="7" t="n">
        <v>95700</v>
      </c>
      <c r="G2" s="6" t="n">
        <v>46303</v>
      </c>
      <c r="J2" s="17" t="inlineStr">
        <is>
          <t>1. Turn A1:G16 into a Table named tblTracker.</t>
        </is>
      </c>
    </row>
    <row r="3">
      <c r="A3" t="inlineStr">
        <is>
          <t>ORD-5102</t>
        </is>
      </c>
      <c r="B3" s="6" t="n">
        <v>46298</v>
      </c>
      <c r="C3" t="inlineStr">
        <is>
          <t>Kumar Stores</t>
        </is>
      </c>
      <c r="D3" t="inlineStr">
        <is>
          <t>Pune</t>
        </is>
      </c>
      <c r="E3" t="inlineStr">
        <is>
          <t>Pending</t>
        </is>
      </c>
      <c r="F3" s="7" t="n">
        <v>94500</v>
      </c>
      <c r="G3" s="6" t="n">
        <v>46305</v>
      </c>
      <c r="J3" s="17" t="inlineStr">
        <is>
          <t>2. Status (E2:E16): dropdown list from J14:J17.</t>
        </is>
      </c>
    </row>
    <row r="4">
      <c r="A4" t="inlineStr">
        <is>
          <t>ORD-5103</t>
        </is>
      </c>
      <c r="B4" s="6" t="n">
        <v>46300</v>
      </c>
      <c r="C4" t="inlineStr">
        <is>
          <t>Shree Ganesh Traders</t>
        </is>
      </c>
      <c r="D4" t="inlineStr">
        <is>
          <t>Thane</t>
        </is>
      </c>
      <c r="E4" t="inlineStr">
        <is>
          <t>Dispatched</t>
        </is>
      </c>
      <c r="F4" s="7" t="n">
        <v>15000</v>
      </c>
      <c r="G4" s="6" t="n">
        <v>46307</v>
      </c>
      <c r="J4" s="17" t="inlineStr">
        <is>
          <t>3. Amount (F2:F16): allow whole numbers greater than 0 only.</t>
        </is>
      </c>
    </row>
    <row r="5">
      <c r="A5" t="inlineStr">
        <is>
          <t>ORD-5104</t>
        </is>
      </c>
      <c r="B5" s="6" t="n">
        <v>46302</v>
      </c>
      <c r="C5" t="inlineStr">
        <is>
          <t>Patil Electricals</t>
        </is>
      </c>
      <c r="D5" t="inlineStr">
        <is>
          <t>Thane</t>
        </is>
      </c>
      <c r="E5" t="inlineStr">
        <is>
          <t>Pending</t>
        </is>
      </c>
      <c r="F5" s="7" t="n">
        <v>55400</v>
      </c>
      <c r="G5" s="6" t="n">
        <v>46309</v>
      </c>
      <c r="J5" s="17" t="inlineStr">
        <is>
          <t>4. Whole row light red when Status is not Delivered or Cancelled</t>
        </is>
      </c>
    </row>
    <row r="6">
      <c r="A6" t="inlineStr">
        <is>
          <t>ORD-5105</t>
        </is>
      </c>
      <c r="B6" s="6" t="n">
        <v>46304</v>
      </c>
      <c r="C6" t="inlineStr">
        <is>
          <t>Mehta &amp; Sons</t>
        </is>
      </c>
      <c r="D6" t="inlineStr">
        <is>
          <t>Thane</t>
        </is>
      </c>
      <c r="E6" t="inlineStr">
        <is>
          <t>Delivered</t>
        </is>
      </c>
      <c r="F6" s="7" t="n">
        <v>83700</v>
      </c>
      <c r="G6" s="6" t="n">
        <v>46311</v>
      </c>
      <c r="J6" s="17" t="inlineStr">
        <is>
          <t xml:space="preserve">   AND Due Date is before the report date in J20.</t>
        </is>
      </c>
    </row>
    <row r="7">
      <c r="A7" t="inlineStr">
        <is>
          <t>ORD-5106</t>
        </is>
      </c>
      <c r="B7" s="6" t="n">
        <v>46306</v>
      </c>
      <c r="C7" t="inlineStr">
        <is>
          <t>Balaji Agencies</t>
        </is>
      </c>
      <c r="D7" t="inlineStr">
        <is>
          <t>Mumbai</t>
        </is>
      </c>
      <c r="E7" t="inlineStr">
        <is>
          <t>Cancelled</t>
        </is>
      </c>
      <c r="F7" s="7" t="n">
        <v>108400</v>
      </c>
      <c r="G7" s="6" t="n">
        <v>46313</v>
      </c>
      <c r="J7" s="17" t="inlineStr">
        <is>
          <t>5. Blue data bars on Amount.</t>
        </is>
      </c>
    </row>
    <row r="8">
      <c r="A8" t="inlineStr">
        <is>
          <t>ORD-5107</t>
        </is>
      </c>
      <c r="B8" s="6" t="n">
        <v>46308</v>
      </c>
      <c r="C8" t="inlineStr">
        <is>
          <t>Sharma Stationers</t>
        </is>
      </c>
      <c r="D8" t="inlineStr">
        <is>
          <t>Pune</t>
        </is>
      </c>
      <c r="E8" t="inlineStr">
        <is>
          <t>Pending</t>
        </is>
      </c>
      <c r="F8" s="7" t="n">
        <v>31000</v>
      </c>
      <c r="G8" s="6" t="n">
        <v>46315</v>
      </c>
      <c r="J8" s="17" t="inlineStr">
        <is>
          <t>6. In J23, count the orders with Status "Pending".</t>
        </is>
      </c>
    </row>
    <row r="9">
      <c r="A9" t="inlineStr">
        <is>
          <t>ORD-5108</t>
        </is>
      </c>
      <c r="B9" s="6" t="n">
        <v>46310</v>
      </c>
      <c r="C9" t="inlineStr">
        <is>
          <t>Patil Electricals</t>
        </is>
      </c>
      <c r="D9" t="inlineStr">
        <is>
          <t>Pune</t>
        </is>
      </c>
      <c r="E9" t="inlineStr">
        <is>
          <t>Dispatched</t>
        </is>
      </c>
      <c r="F9" s="7" t="n">
        <v>129200</v>
      </c>
      <c r="G9" s="6" t="n">
        <v>46317</v>
      </c>
      <c r="J9" s="17" t="inlineStr"/>
    </row>
    <row r="10">
      <c r="A10" t="inlineStr">
        <is>
          <t>ORD-5109</t>
        </is>
      </c>
      <c r="B10" s="6" t="n">
        <v>46312</v>
      </c>
      <c r="C10" t="inlineStr">
        <is>
          <t>Royal Furnishers</t>
        </is>
      </c>
      <c r="D10" t="inlineStr">
        <is>
          <t>Nagpur</t>
        </is>
      </c>
      <c r="E10" t="inlineStr">
        <is>
          <t>Delivered</t>
        </is>
      </c>
      <c r="F10" s="7" t="n">
        <v>22200</v>
      </c>
      <c r="G10" s="6" t="n">
        <v>46319</v>
      </c>
      <c r="J10" s="17" t="inlineStr">
        <is>
          <t>Check: J23 should show 6.</t>
        </is>
      </c>
    </row>
    <row r="11">
      <c r="A11" t="inlineStr">
        <is>
          <t>ORD-5110</t>
        </is>
      </c>
      <c r="B11" s="6" t="n">
        <v>46314</v>
      </c>
      <c r="C11" t="inlineStr">
        <is>
          <t>Om Sai Enterprises</t>
        </is>
      </c>
      <c r="D11" t="inlineStr">
        <is>
          <t>Thane</t>
        </is>
      </c>
      <c r="E11" t="inlineStr">
        <is>
          <t>Pending</t>
        </is>
      </c>
      <c r="F11" s="7" t="n">
        <v>113200</v>
      </c>
      <c r="G11" s="6" t="n">
        <v>46321</v>
      </c>
      <c r="J11" s="17" t="inlineStr">
        <is>
          <t>Answers: sheet 'S08-12 Answers'</t>
        </is>
      </c>
    </row>
    <row r="12">
      <c r="A12" t="inlineStr">
        <is>
          <t>ORD-5111</t>
        </is>
      </c>
      <c r="B12" s="6" t="n">
        <v>46316</v>
      </c>
      <c r="C12" t="inlineStr">
        <is>
          <t>Kumar Stores</t>
        </is>
      </c>
      <c r="D12" t="inlineStr">
        <is>
          <t>Nagpur</t>
        </is>
      </c>
      <c r="E12" t="inlineStr">
        <is>
          <t>Dispatched</t>
        </is>
      </c>
      <c r="F12" s="7" t="n">
        <v>70100</v>
      </c>
      <c r="G12" s="6" t="n">
        <v>46323</v>
      </c>
    </row>
    <row r="13">
      <c r="A13" t="inlineStr">
        <is>
          <t>ORD-5112</t>
        </is>
      </c>
      <c r="B13" s="6" t="n">
        <v>46318</v>
      </c>
      <c r="C13" t="inlineStr">
        <is>
          <t>Kumar Stores</t>
        </is>
      </c>
      <c r="D13" t="inlineStr">
        <is>
          <t>Mumbai</t>
        </is>
      </c>
      <c r="E13" t="inlineStr">
        <is>
          <t>Pending</t>
        </is>
      </c>
      <c r="F13" s="7" t="n">
        <v>61900</v>
      </c>
      <c r="G13" s="6" t="n">
        <v>46325</v>
      </c>
      <c r="J13" s="4" t="inlineStr">
        <is>
          <t>Status list</t>
        </is>
      </c>
    </row>
    <row r="14">
      <c r="A14" t="inlineStr">
        <is>
          <t>ORD-5113</t>
        </is>
      </c>
      <c r="B14" s="6" t="n">
        <v>46320</v>
      </c>
      <c r="C14" t="inlineStr">
        <is>
          <t>Patil Electricals</t>
        </is>
      </c>
      <c r="D14" t="inlineStr">
        <is>
          <t>Nagpur</t>
        </is>
      </c>
      <c r="E14" t="inlineStr">
        <is>
          <t>Delivered</t>
        </is>
      </c>
      <c r="F14" s="7" t="n">
        <v>16200</v>
      </c>
      <c r="G14" s="6" t="n">
        <v>46327</v>
      </c>
      <c r="J14" t="inlineStr">
        <is>
          <t>Pending</t>
        </is>
      </c>
    </row>
    <row r="15">
      <c r="A15" t="inlineStr">
        <is>
          <t>ORD-5114</t>
        </is>
      </c>
      <c r="B15" s="6" t="n">
        <v>46322</v>
      </c>
      <c r="C15" t="inlineStr">
        <is>
          <t>Mehta &amp; Sons</t>
        </is>
      </c>
      <c r="D15" t="inlineStr">
        <is>
          <t>Thane</t>
        </is>
      </c>
      <c r="E15" t="inlineStr">
        <is>
          <t>Pending</t>
        </is>
      </c>
      <c r="F15" s="7" t="n">
        <v>112300</v>
      </c>
      <c r="G15" s="6" t="n">
        <v>46329</v>
      </c>
      <c r="J15" t="inlineStr">
        <is>
          <t>Dispatched</t>
        </is>
      </c>
    </row>
    <row r="16">
      <c r="A16" t="inlineStr">
        <is>
          <t>ORD-5115</t>
        </is>
      </c>
      <c r="B16" s="6" t="n">
        <v>46324</v>
      </c>
      <c r="C16" t="inlineStr">
        <is>
          <t>Mehta &amp; Sons</t>
        </is>
      </c>
      <c r="D16" t="inlineStr">
        <is>
          <t>Pune</t>
        </is>
      </c>
      <c r="E16" t="inlineStr">
        <is>
          <t>Dispatched</t>
        </is>
      </c>
      <c r="F16" s="7" t="n">
        <v>101100</v>
      </c>
      <c r="G16" s="6" t="n">
        <v>46331</v>
      </c>
      <c r="J16" t="inlineStr">
        <is>
          <t>Delivered</t>
        </is>
      </c>
    </row>
    <row r="17">
      <c r="J17" t="inlineStr">
        <is>
          <t>Cancelled</t>
        </is>
      </c>
    </row>
    <row r="19">
      <c r="J19" s="4" t="inlineStr">
        <is>
          <t>Report date</t>
        </is>
      </c>
    </row>
    <row r="20">
      <c r="J20" s="6" t="n">
        <v>46318</v>
      </c>
    </row>
    <row r="22">
      <c r="J22" s="4" t="inlineStr">
        <is>
          <t>Pending orders</t>
        </is>
      </c>
    </row>
    <row r="23">
      <c r="J23">
        <f>COUNTIF(tblTrackerAns[Status],"Pending")</f>
        <v/>
      </c>
    </row>
  </sheetData>
  <conditionalFormatting sqref="A2:G16">
    <cfRule type="expression" priority="1" dxfId="0">
      <formula>AND($E2&lt;&gt;"Delivered",$E2&lt;&gt;"Cancelled",$G2&lt;$J$20)</formula>
    </cfRule>
  </conditionalFormatting>
  <conditionalFormatting sqref="F2:F16">
    <cfRule type="dataBar" priority="2">
      <dataBar>
        <cfvo type="min"/>
        <cfvo type="max"/>
        <color rgb="00638EC6"/>
      </dataBar>
    </cfRule>
  </conditionalFormatting>
  <dataValidations count="2">
    <dataValidation sqref="E2:E16" showDropDown="0" showInputMessage="0" showErrorMessage="0" allowBlank="1" type="list">
      <formula1>$J$14:$J$17</formula1>
    </dataValidation>
    <dataValidation sqref="F2:F16" showDropDown="0" showInputMessage="0" showErrorMessage="1" allowBlank="1" error="Enter a whole number above 0.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2026-10-23T10:08:55Z</dcterms:created>
  <dcterms:modified xmlns:dcterms="http://purl.org/dc/terms/" xmlns:xsi="http://www.w3.org/2001/XMLSchema-instance" xsi:type="dcterms:W3CDTF">2026-10-23T10:08:55Z</dcterms:modified>
</cp:coreProperties>
</file>