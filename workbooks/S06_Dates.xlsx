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6-01" sheetId="2" state="visible" r:id="rId2"/>
    <sheet xmlns:r="http://schemas.openxmlformats.org/officeDocument/2006/relationships" name="S06-01 Done" sheetId="3" state="visible" r:id="rId3"/>
    <sheet xmlns:r="http://schemas.openxmlformats.org/officeDocument/2006/relationships" name="S06-02" sheetId="4" state="visible" r:id="rId4"/>
    <sheet xmlns:r="http://schemas.openxmlformats.org/officeDocument/2006/relationships" name="S06-02 Done" sheetId="5" state="visible" r:id="rId5"/>
    <sheet xmlns:r="http://schemas.openxmlformats.org/officeDocument/2006/relationships" name="S06-03" sheetId="6" state="visible" r:id="rId6"/>
    <sheet xmlns:r="http://schemas.openxmlformats.org/officeDocument/2006/relationships" name="S06-03 Done" sheetId="7" state="visible" r:id="rId7"/>
    <sheet xmlns:r="http://schemas.openxmlformats.org/officeDocument/2006/relationships" name="S06-04" sheetId="8" state="visible" r:id="rId8"/>
    <sheet xmlns:r="http://schemas.openxmlformats.org/officeDocument/2006/relationships" name="S06-04 Done" sheetId="9" state="visible" r:id="rId9"/>
    <sheet xmlns:r="http://schemas.openxmlformats.org/officeDocument/2006/relationships" name="S06-05" sheetId="10" state="visible" r:id="rId10"/>
    <sheet xmlns:r="http://schemas.openxmlformats.org/officeDocument/2006/relationships" name="S06-05 Done" sheetId="11" state="visible" r:id="rId11"/>
    <sheet xmlns:r="http://schemas.openxmlformats.org/officeDocument/2006/relationships" name="S06-06" sheetId="12" state="visible" r:id="rId12"/>
    <sheet xmlns:r="http://schemas.openxmlformats.org/officeDocument/2006/relationships" name="S06-06 Done" sheetId="13" state="visible" r:id="rId13"/>
    <sheet xmlns:r="http://schemas.openxmlformats.org/officeDocument/2006/relationships" name="S06-07" sheetId="14" state="visible" r:id="rId14"/>
    <sheet xmlns:r="http://schemas.openxmlformats.org/officeDocument/2006/relationships" name="S06-07 Done" sheetId="15" state="visible" r:id="rId15"/>
    <sheet xmlns:r="http://schemas.openxmlformats.org/officeDocument/2006/relationships" name="S06-08" sheetId="16" state="visible" r:id="rId16"/>
    <sheet xmlns:r="http://schemas.openxmlformats.org/officeDocument/2006/relationships" name="S06-08 Done" sheetId="17" state="visible" r:id="rId17"/>
    <sheet xmlns:r="http://schemas.openxmlformats.org/officeDocument/2006/relationships" name="Holidays 2026" sheetId="18" state="visible" r:id="rId18"/>
  </sheets>
  <definedNames>
    <definedName name="Holidays">'Holidays 2026'!$A$2:$A$9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-yyyy"/>
    <numFmt numFmtId="166" formatCode="dd-mm-yyyy hh:mm"/>
    <numFmt numFmtId="167" formatCode="[&gt;=10000000]&quot;₹&quot;##\,##\,##\,##0;[&gt;=100000]&quot;₹&quot;##\,##\,##0;&quot;₹&quot;##,##0"/>
    <numFmt numFmtId="168" formatCode="[h]:mm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165" fontId="0" fillId="3" borderId="0" pivotButton="0" quotePrefix="0" xfId="0"/>
    <xf numFmtId="20" fontId="0" fillId="0" borderId="0" pivotButton="0" quotePrefix="0" xfId="0"/>
    <xf numFmtId="20" fontId="0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6" fontId="0" fillId="3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3" borderId="0" pivotButton="0" quotePrefix="0" xfId="0"/>
    <xf numFmtId="167" fontId="0" fillId="3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4" customWidth="1" min="4" max="4"/>
    <col width="16" customWidth="1" min="5" max="5"/>
  </cols>
  <sheetData>
    <row r="1">
      <c r="A1" s="1" t="inlineStr">
        <is>
          <t>Excel Mastery for Mac: Section S06, Dates and times</t>
        </is>
      </c>
    </row>
    <row r="2">
      <c r="A2" t="inlineStr">
        <is>
          <t>Each lesson has a practice sheet and a finished copy ('&lt;id&gt; Done'). Yellow cells are for you. Dates are shown as DD-MM-YYYY. The 'Holidays 2026' sheet is used by S06-05.</t>
        </is>
      </c>
    </row>
    <row r="4">
      <c r="A4" s="2" t="inlineStr">
        <is>
          <t>Lesson</t>
        </is>
      </c>
      <c r="B4" s="2" t="inlineStr">
        <is>
          <t>Title</t>
        </is>
      </c>
      <c r="C4" s="2" t="inlineStr">
        <is>
          <t>Type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S06-01</t>
        </is>
      </c>
      <c r="B5" t="inlineStr">
        <is>
          <t>How Excel stores dates and times</t>
        </is>
      </c>
      <c r="C5" t="inlineStr">
        <is>
          <t>demo</t>
        </is>
      </c>
      <c r="D5" t="inlineStr">
        <is>
          <t>S06-01</t>
        </is>
      </c>
      <c r="E5" t="inlineStr">
        <is>
          <t>S06-01 Done</t>
        </is>
      </c>
    </row>
    <row r="6">
      <c r="A6" t="inlineStr">
        <is>
          <t>S06-02</t>
        </is>
      </c>
      <c r="B6" t="inlineStr">
        <is>
          <t>TODAY, NOW, DATE and the date parts</t>
        </is>
      </c>
      <c r="C6" t="inlineStr">
        <is>
          <t>demo</t>
        </is>
      </c>
      <c r="D6" t="inlineStr">
        <is>
          <t>S06-02</t>
        </is>
      </c>
      <c r="E6" t="inlineStr">
        <is>
          <t>S06-02 Done</t>
        </is>
      </c>
    </row>
    <row r="7">
      <c r="A7" t="inlineStr">
        <is>
          <t>S06-03</t>
        </is>
      </c>
      <c r="B7" t="inlineStr">
        <is>
          <t>EDATE and EOMONTH</t>
        </is>
      </c>
      <c r="C7" t="inlineStr">
        <is>
          <t>demo</t>
        </is>
      </c>
      <c r="D7" t="inlineStr">
        <is>
          <t>S06-03</t>
        </is>
      </c>
      <c r="E7" t="inlineStr">
        <is>
          <t>S06-03 Done</t>
        </is>
      </c>
    </row>
    <row r="8">
      <c r="A8" t="inlineStr">
        <is>
          <t>S06-04</t>
        </is>
      </c>
      <c r="B8" t="inlineStr">
        <is>
          <t>WEEKDAY, WEEKNUM and day names</t>
        </is>
      </c>
      <c r="C8" t="inlineStr">
        <is>
          <t>demo</t>
        </is>
      </c>
      <c r="D8" t="inlineStr">
        <is>
          <t>S06-04</t>
        </is>
      </c>
      <c r="E8" t="inlineStr">
        <is>
          <t>S06-04 Done</t>
        </is>
      </c>
    </row>
    <row r="9">
      <c r="A9" t="inlineStr">
        <is>
          <t>S06-05</t>
        </is>
      </c>
      <c r="B9" t="inlineStr">
        <is>
          <t>WORKDAY and NETWORKDAYS with Indian holidays</t>
        </is>
      </c>
      <c r="C9" t="inlineStr">
        <is>
          <t>demo</t>
        </is>
      </c>
      <c r="D9" t="inlineStr">
        <is>
          <t>S06-05</t>
        </is>
      </c>
      <c r="E9" t="inlineStr">
        <is>
          <t>S06-05 Done</t>
        </is>
      </c>
    </row>
    <row r="10">
      <c r="A10" t="inlineStr">
        <is>
          <t>S06-06</t>
        </is>
      </c>
      <c r="B10" t="inlineStr">
        <is>
          <t>DATEDIF and YEARFRAC: age and tenure</t>
        </is>
      </c>
      <c r="C10" t="inlineStr">
        <is>
          <t>demo</t>
        </is>
      </c>
      <c r="D10" t="inlineStr">
        <is>
          <t>S06-06</t>
        </is>
      </c>
      <c r="E10" t="inlineStr">
        <is>
          <t>S06-06 Done</t>
        </is>
      </c>
    </row>
    <row r="11">
      <c r="A11" t="inlineStr">
        <is>
          <t>S06-07</t>
        </is>
      </c>
      <c r="B11" t="inlineStr">
        <is>
          <t>Financial year and quarter formulas (April to March)</t>
        </is>
      </c>
      <c r="C11" t="inlineStr">
        <is>
          <t>demo</t>
        </is>
      </c>
      <c r="D11" t="inlineStr">
        <is>
          <t>S06-07</t>
        </is>
      </c>
      <c r="E11" t="inlineStr">
        <is>
          <t>S06-07 Done</t>
        </is>
      </c>
    </row>
    <row r="12">
      <c r="A12" t="inlineStr">
        <is>
          <t>S06-08</t>
        </is>
      </c>
      <c r="B12" t="inlineStr">
        <is>
          <t>Working with time: shifts and overtime</t>
        </is>
      </c>
      <c r="C12" t="inlineStr">
        <is>
          <t>demo</t>
        </is>
      </c>
      <c r="D12" t="inlineStr">
        <is>
          <t>S06-08</t>
        </is>
      </c>
      <c r="E12" t="inlineStr">
        <is>
          <t>S06-08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Event</t>
        </is>
      </c>
      <c r="B1" s="2" t="inlineStr">
        <is>
          <t>Date</t>
        </is>
      </c>
      <c r="C1" s="2" t="inlineStr">
        <is>
          <t>Serial number</t>
        </is>
      </c>
      <c r="D1" s="2" t="inlineStr">
        <is>
          <t>Plus 30 days</t>
        </is>
      </c>
    </row>
    <row r="2">
      <c r="A2" t="inlineStr">
        <is>
          <t>Invoice raised</t>
        </is>
      </c>
      <c r="B2" s="3" t="n">
        <v>46113</v>
      </c>
      <c r="C2" s="4" t="n">
        <v>46113</v>
      </c>
      <c r="D2" s="4" t="n"/>
    </row>
    <row r="3">
      <c r="A3" t="inlineStr">
        <is>
          <t>Goods received</t>
        </is>
      </c>
      <c r="B3" s="3" t="n">
        <v>46127</v>
      </c>
      <c r="C3" s="4" t="n">
        <v>46127</v>
      </c>
      <c r="D3" s="4" t="n"/>
    </row>
    <row r="4">
      <c r="A4" t="inlineStr">
        <is>
          <t>Republic Day</t>
        </is>
      </c>
      <c r="B4" s="3" t="n">
        <v>46048</v>
      </c>
      <c r="C4" s="4" t="n">
        <v>46048</v>
      </c>
      <c r="D4" s="4" t="n"/>
    </row>
    <row r="5">
      <c r="A5" t="inlineStr">
        <is>
          <t>Financial year ends</t>
        </is>
      </c>
      <c r="B5" s="3" t="n">
        <v>46477</v>
      </c>
      <c r="C5" s="4" t="n">
        <v>46477</v>
      </c>
      <c r="D5" s="4" t="n"/>
    </row>
    <row r="6">
      <c r="A6" t="inlineStr">
        <is>
          <t>Excel's day one</t>
        </is>
      </c>
      <c r="B6" s="3" t="n">
        <v>1</v>
      </c>
      <c r="C6" s="4" t="n">
        <v>1</v>
      </c>
    </row>
    <row r="8">
      <c r="A8" s="2" t="inlineStr">
        <is>
          <t>Time</t>
        </is>
      </c>
      <c r="B8" s="2" t="inlineStr">
        <is>
          <t>Time</t>
        </is>
      </c>
      <c r="C8" s="2" t="inlineStr">
        <is>
          <t>Serial number</t>
        </is>
      </c>
    </row>
    <row r="9">
      <c r="A9" t="inlineStr">
        <is>
          <t>Shift starts</t>
        </is>
      </c>
      <c r="B9" s="5" t="n">
        <v>0.3958333333333333</v>
      </c>
      <c r="C9" s="6" t="n">
        <v>0.3958333333333333</v>
      </c>
    </row>
    <row r="10">
      <c r="A10" t="inlineStr">
        <is>
          <t>Noon</t>
        </is>
      </c>
      <c r="B10" s="5" t="n">
        <v>0.5</v>
      </c>
      <c r="C10" s="6" t="n">
        <v>0.5</v>
      </c>
    </row>
    <row r="11">
      <c r="A11" t="inlineStr">
        <is>
          <t>Shift ends</t>
        </is>
      </c>
      <c r="B11" s="5" t="n">
        <v>0.75</v>
      </c>
      <c r="C11" s="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Event</t>
        </is>
      </c>
      <c r="B1" s="2" t="inlineStr">
        <is>
          <t>Date</t>
        </is>
      </c>
      <c r="C1" s="2" t="inlineStr">
        <is>
          <t>Serial number</t>
        </is>
      </c>
      <c r="D1" s="2" t="inlineStr">
        <is>
          <t>Plus 30 days</t>
        </is>
      </c>
    </row>
    <row r="2">
      <c r="A2" t="inlineStr">
        <is>
          <t>Invoice raised</t>
        </is>
      </c>
      <c r="B2" s="3" t="n">
        <v>46113</v>
      </c>
      <c r="C2" s="7" t="n">
        <v>46113</v>
      </c>
      <c r="D2" s="4">
        <f>B2+30</f>
        <v/>
      </c>
      <c r="F2" t="inlineStr">
        <is>
          <t>Challenge: 1-Jan-2026 is serial 46023</t>
        </is>
      </c>
      <c r="G2">
        <f>DATE(2026,1,1)</f>
        <v/>
      </c>
    </row>
    <row r="3">
      <c r="A3" t="inlineStr">
        <is>
          <t>Goods received</t>
        </is>
      </c>
      <c r="B3" s="3" t="n">
        <v>46127</v>
      </c>
      <c r="C3" s="7" t="n">
        <v>46127</v>
      </c>
      <c r="D3" s="4">
        <f>B3+30</f>
        <v/>
      </c>
    </row>
    <row r="4">
      <c r="A4" t="inlineStr">
        <is>
          <t>Republic Day</t>
        </is>
      </c>
      <c r="B4" s="3" t="n">
        <v>46048</v>
      </c>
      <c r="C4" s="7" t="n">
        <v>46048</v>
      </c>
      <c r="D4" s="4">
        <f>B4+30</f>
        <v/>
      </c>
    </row>
    <row r="5">
      <c r="A5" t="inlineStr">
        <is>
          <t>Financial year ends</t>
        </is>
      </c>
      <c r="B5" s="3" t="n">
        <v>46477</v>
      </c>
      <c r="C5" s="7" t="n">
        <v>46477</v>
      </c>
      <c r="D5" s="4">
        <f>B5+30</f>
        <v/>
      </c>
    </row>
    <row r="6">
      <c r="A6" t="inlineStr">
        <is>
          <t>Excel's day one</t>
        </is>
      </c>
      <c r="B6" s="3" t="n">
        <v>1</v>
      </c>
      <c r="C6" s="7" t="n">
        <v>1</v>
      </c>
    </row>
    <row r="8">
      <c r="A8" s="2" t="inlineStr">
        <is>
          <t>Time</t>
        </is>
      </c>
      <c r="B8" s="2" t="inlineStr">
        <is>
          <t>Time</t>
        </is>
      </c>
      <c r="C8" s="2" t="inlineStr">
        <is>
          <t>Serial number</t>
        </is>
      </c>
    </row>
    <row r="9">
      <c r="A9" t="inlineStr">
        <is>
          <t>Shift starts</t>
        </is>
      </c>
      <c r="B9" s="5" t="n">
        <v>0.3958333333333333</v>
      </c>
      <c r="C9" s="7" t="n">
        <v>0.3958333333333333</v>
      </c>
    </row>
    <row r="10">
      <c r="A10" t="inlineStr">
        <is>
          <t>Noon</t>
        </is>
      </c>
      <c r="B10" s="5" t="n">
        <v>0.5</v>
      </c>
      <c r="C10" s="7" t="n">
        <v>0.5</v>
      </c>
    </row>
    <row r="11">
      <c r="A11" t="inlineStr">
        <is>
          <t>Shift ends</t>
        </is>
      </c>
      <c r="B11" s="5" t="n">
        <v>0.75</v>
      </c>
      <c r="C11" s="7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7" customWidth="1" min="4" max="4"/>
    <col width="6" customWidth="1" min="5" max="5"/>
    <col width="11" customWidth="1" min="6" max="6"/>
    <col width="3" customWidth="1" min="7" max="7"/>
    <col width="12" customWidth="1" min="8" max="8"/>
    <col width="17" customWidth="1" min="9" max="9"/>
  </cols>
  <sheetData>
    <row r="1">
      <c r="A1" s="2" t="inlineStr">
        <is>
          <t>Employee</t>
        </is>
      </c>
      <c r="B1" s="2" t="inlineStr">
        <is>
          <t>Joining date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Day</t>
        </is>
      </c>
      <c r="F1" s="2" t="inlineStr">
        <is>
          <t>Month name</t>
        </is>
      </c>
      <c r="H1" s="8" t="inlineStr">
        <is>
          <t>Today</t>
        </is>
      </c>
      <c r="I1" s="4" t="n"/>
    </row>
    <row r="2">
      <c r="A2" t="inlineStr">
        <is>
          <t>Aditi Kulkarni</t>
        </is>
      </c>
      <c r="B2" s="3" t="n">
        <v>45397</v>
      </c>
      <c r="C2" s="7" t="n"/>
      <c r="D2" s="7" t="n"/>
      <c r="E2" s="7" t="n"/>
      <c r="F2" s="7" t="n"/>
      <c r="H2" s="8" t="inlineStr">
        <is>
          <t>Now</t>
        </is>
      </c>
      <c r="I2" s="9" t="n"/>
    </row>
    <row r="3">
      <c r="A3" t="inlineStr">
        <is>
          <t>Rahul Sen</t>
        </is>
      </c>
      <c r="B3" s="3" t="n">
        <v>45108</v>
      </c>
      <c r="C3" s="7" t="n"/>
      <c r="D3" s="7" t="n"/>
      <c r="E3" s="7" t="n"/>
      <c r="F3" s="7" t="n"/>
      <c r="H3" s="8" t="inlineStr">
        <is>
          <t>Hour now</t>
        </is>
      </c>
      <c r="I3" s="7" t="n"/>
    </row>
    <row r="4">
      <c r="A4" t="inlineStr">
        <is>
          <t>Fatima Sheikh</t>
        </is>
      </c>
      <c r="B4" s="3" t="n">
        <v>45663</v>
      </c>
      <c r="C4" s="7" t="n"/>
      <c r="D4" s="7" t="n"/>
      <c r="E4" s="7" t="n"/>
      <c r="F4" s="7" t="n"/>
      <c r="H4" s="8" t="inlineStr">
        <is>
          <t>Minute now</t>
        </is>
      </c>
      <c r="I4" s="7" t="n"/>
    </row>
    <row r="5">
      <c r="A5" t="inlineStr">
        <is>
          <t>Gopal Krishnan</t>
        </is>
      </c>
      <c r="B5" s="3" t="n">
        <v>44886</v>
      </c>
      <c r="C5" s="7" t="n"/>
      <c r="D5" s="7" t="n"/>
      <c r="E5" s="7" t="n"/>
      <c r="F5" s="7" t="n"/>
    </row>
    <row r="6">
      <c r="A6" t="inlineStr">
        <is>
          <t>Harini Raghavan</t>
        </is>
      </c>
      <c r="B6" s="3" t="n">
        <v>45537</v>
      </c>
      <c r="C6" s="7" t="n"/>
      <c r="D6" s="7" t="n"/>
      <c r="E6" s="7" t="n"/>
      <c r="F6" s="7" t="n"/>
    </row>
    <row r="7">
      <c r="A7" t="inlineStr">
        <is>
          <t>Jaspreet Gill</t>
        </is>
      </c>
      <c r="B7" s="3" t="n">
        <v>44361</v>
      </c>
      <c r="C7" s="7" t="n"/>
      <c r="D7" s="7" t="n"/>
      <c r="E7" s="7" t="n"/>
      <c r="F7" s="7" t="n"/>
    </row>
    <row r="8">
      <c r="A8" t="inlineStr">
        <is>
          <t>Kunal Desai</t>
        </is>
      </c>
      <c r="B8" s="3" t="n">
        <v>45726</v>
      </c>
      <c r="C8" s="7" t="n"/>
      <c r="D8" s="7" t="n"/>
      <c r="E8" s="7" t="n"/>
      <c r="F8" s="7" t="n"/>
    </row>
    <row r="9">
      <c r="A9" t="inlineStr">
        <is>
          <t>Lavanya Pillai</t>
        </is>
      </c>
      <c r="B9" s="3" t="n">
        <v>45264</v>
      </c>
      <c r="C9" s="7" t="n"/>
      <c r="D9" s="7" t="n"/>
      <c r="E9" s="7" t="n"/>
      <c r="F9" s="7" t="n"/>
    </row>
    <row r="12">
      <c r="A12" s="2" t="inlineStr">
        <is>
          <t>Year</t>
        </is>
      </c>
      <c r="B12" s="2" t="inlineStr">
        <is>
          <t>Month</t>
        </is>
      </c>
      <c r="C12" s="2" t="inlineStr">
        <is>
          <t>Day</t>
        </is>
      </c>
      <c r="D12" s="2" t="inlineStr">
        <is>
          <t>Date</t>
        </is>
      </c>
    </row>
    <row r="13">
      <c r="A13" t="n">
        <v>2026</v>
      </c>
      <c r="B13" t="n">
        <v>4</v>
      </c>
      <c r="C13" t="n">
        <v>1</v>
      </c>
      <c r="D13" s="4" t="n"/>
    </row>
    <row r="14">
      <c r="A14" t="n">
        <v>2025</v>
      </c>
      <c r="B14" t="n">
        <v>12</v>
      </c>
      <c r="C14" t="n">
        <v>15</v>
      </c>
      <c r="D14" s="4" t="n"/>
    </row>
    <row r="15">
      <c r="A15" t="n">
        <v>2026</v>
      </c>
      <c r="B15" t="n">
        <v>8</v>
      </c>
      <c r="C15" t="n">
        <v>15</v>
      </c>
      <c r="D15" s="4" t="n"/>
    </row>
    <row r="16">
      <c r="A16" t="n">
        <v>2026</v>
      </c>
      <c r="B16" t="n">
        <v>2</v>
      </c>
      <c r="C16" t="n">
        <v>30</v>
      </c>
      <c r="D1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7" customWidth="1" min="4" max="4"/>
    <col width="6" customWidth="1" min="5" max="5"/>
    <col width="11" customWidth="1" min="6" max="6"/>
    <col width="3" customWidth="1" min="7" max="7"/>
    <col width="12" customWidth="1" min="8" max="8"/>
    <col width="17" customWidth="1" min="9" max="9"/>
  </cols>
  <sheetData>
    <row r="1">
      <c r="A1" s="2" t="inlineStr">
        <is>
          <t>Employee</t>
        </is>
      </c>
      <c r="B1" s="2" t="inlineStr">
        <is>
          <t>Joining date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Day</t>
        </is>
      </c>
      <c r="F1" s="2" t="inlineStr">
        <is>
          <t>Month name</t>
        </is>
      </c>
      <c r="H1" s="8" t="inlineStr">
        <is>
          <t>Today</t>
        </is>
      </c>
      <c r="I1" s="4">
        <f>TODAY()</f>
        <v/>
      </c>
    </row>
    <row r="2">
      <c r="A2" t="inlineStr">
        <is>
          <t>Aditi Kulkarni</t>
        </is>
      </c>
      <c r="B2" s="3" t="n">
        <v>45397</v>
      </c>
      <c r="C2" s="7">
        <f>YEAR(B2)</f>
        <v/>
      </c>
      <c r="D2" s="7">
        <f>MONTH(B2)</f>
        <v/>
      </c>
      <c r="E2" s="7">
        <f>DAY(B2)</f>
        <v/>
      </c>
      <c r="F2" s="7">
        <f>TEXT(B2,"mmmm")</f>
        <v/>
      </c>
      <c r="H2" s="8" t="inlineStr">
        <is>
          <t>Now</t>
        </is>
      </c>
      <c r="I2" s="9">
        <f>NOW()</f>
        <v/>
      </c>
    </row>
    <row r="3">
      <c r="A3" t="inlineStr">
        <is>
          <t>Rahul Sen</t>
        </is>
      </c>
      <c r="B3" s="3" t="n">
        <v>45108</v>
      </c>
      <c r="C3" s="7">
        <f>YEAR(B3)</f>
        <v/>
      </c>
      <c r="D3" s="7">
        <f>MONTH(B3)</f>
        <v/>
      </c>
      <c r="E3" s="7">
        <f>DAY(B3)</f>
        <v/>
      </c>
      <c r="F3" s="7">
        <f>TEXT(B3,"mmmm")</f>
        <v/>
      </c>
      <c r="H3" s="8" t="inlineStr">
        <is>
          <t>Hour now</t>
        </is>
      </c>
      <c r="I3" s="7">
        <f>HOUR(I2)</f>
        <v/>
      </c>
    </row>
    <row r="4">
      <c r="A4" t="inlineStr">
        <is>
          <t>Fatima Sheikh</t>
        </is>
      </c>
      <c r="B4" s="3" t="n">
        <v>45663</v>
      </c>
      <c r="C4" s="7">
        <f>YEAR(B4)</f>
        <v/>
      </c>
      <c r="D4" s="7">
        <f>MONTH(B4)</f>
        <v/>
      </c>
      <c r="E4" s="7">
        <f>DAY(B4)</f>
        <v/>
      </c>
      <c r="F4" s="7">
        <f>TEXT(B4,"mmmm")</f>
        <v/>
      </c>
      <c r="H4" s="8" t="inlineStr">
        <is>
          <t>Minute now</t>
        </is>
      </c>
      <c r="I4" s="7">
        <f>MINUTE(I2)</f>
        <v/>
      </c>
    </row>
    <row r="5">
      <c r="A5" t="inlineStr">
        <is>
          <t>Gopal Krishnan</t>
        </is>
      </c>
      <c r="B5" s="3" t="n">
        <v>44886</v>
      </c>
      <c r="C5" s="7">
        <f>YEAR(B5)</f>
        <v/>
      </c>
      <c r="D5" s="7">
        <f>MONTH(B5)</f>
        <v/>
      </c>
      <c r="E5" s="7">
        <f>DAY(B5)</f>
        <v/>
      </c>
      <c r="F5" s="7">
        <f>TEXT(B5,"mmmm")</f>
        <v/>
      </c>
    </row>
    <row r="6">
      <c r="A6" t="inlineStr">
        <is>
          <t>Harini Raghavan</t>
        </is>
      </c>
      <c r="B6" s="3" t="n">
        <v>45537</v>
      </c>
      <c r="C6" s="7">
        <f>YEAR(B6)</f>
        <v/>
      </c>
      <c r="D6" s="7">
        <f>MONTH(B6)</f>
        <v/>
      </c>
      <c r="E6" s="7">
        <f>DAY(B6)</f>
        <v/>
      </c>
      <c r="F6" s="7">
        <f>TEXT(B6,"mmmm")</f>
        <v/>
      </c>
    </row>
    <row r="7">
      <c r="A7" t="inlineStr">
        <is>
          <t>Jaspreet Gill</t>
        </is>
      </c>
      <c r="B7" s="3" t="n">
        <v>44361</v>
      </c>
      <c r="C7" s="7">
        <f>YEAR(B7)</f>
        <v/>
      </c>
      <c r="D7" s="7">
        <f>MONTH(B7)</f>
        <v/>
      </c>
      <c r="E7" s="7">
        <f>DAY(B7)</f>
        <v/>
      </c>
      <c r="F7" s="7">
        <f>TEXT(B7,"mmmm")</f>
        <v/>
      </c>
    </row>
    <row r="8">
      <c r="A8" t="inlineStr">
        <is>
          <t>Kunal Desai</t>
        </is>
      </c>
      <c r="B8" s="3" t="n">
        <v>45726</v>
      </c>
      <c r="C8" s="7">
        <f>YEAR(B8)</f>
        <v/>
      </c>
      <c r="D8" s="7">
        <f>MONTH(B8)</f>
        <v/>
      </c>
      <c r="E8" s="7">
        <f>DAY(B8)</f>
        <v/>
      </c>
      <c r="F8" s="7">
        <f>TEXT(B8,"mmmm")</f>
        <v/>
      </c>
    </row>
    <row r="9">
      <c r="A9" t="inlineStr">
        <is>
          <t>Lavanya Pillai</t>
        </is>
      </c>
      <c r="B9" s="3" t="n">
        <v>45264</v>
      </c>
      <c r="C9" s="7">
        <f>YEAR(B9)</f>
        <v/>
      </c>
      <c r="D9" s="7">
        <f>MONTH(B9)</f>
        <v/>
      </c>
      <c r="E9" s="7">
        <f>DAY(B9)</f>
        <v/>
      </c>
      <c r="F9" s="7">
        <f>TEXT(B9,"mmmm")</f>
        <v/>
      </c>
    </row>
    <row r="12">
      <c r="A12" s="2" t="inlineStr">
        <is>
          <t>Year</t>
        </is>
      </c>
      <c r="B12" s="2" t="inlineStr">
        <is>
          <t>Month</t>
        </is>
      </c>
      <c r="C12" s="2" t="inlineStr">
        <is>
          <t>Day</t>
        </is>
      </c>
      <c r="D12" s="2" t="inlineStr">
        <is>
          <t>Date</t>
        </is>
      </c>
    </row>
    <row r="13">
      <c r="A13" t="n">
        <v>2026</v>
      </c>
      <c r="B13" t="n">
        <v>4</v>
      </c>
      <c r="C13" t="n">
        <v>1</v>
      </c>
      <c r="D13" s="4">
        <f>DATE(A13,B13,C13)</f>
        <v/>
      </c>
    </row>
    <row r="14">
      <c r="A14" t="n">
        <v>2025</v>
      </c>
      <c r="B14" t="n">
        <v>12</v>
      </c>
      <c r="C14" t="n">
        <v>15</v>
      </c>
      <c r="D14" s="4">
        <f>DATE(A14,B14,C14)</f>
        <v/>
      </c>
    </row>
    <row r="15">
      <c r="A15" t="n">
        <v>2026</v>
      </c>
      <c r="B15" t="n">
        <v>8</v>
      </c>
      <c r="C15" t="n">
        <v>15</v>
      </c>
      <c r="D15" s="4">
        <f>DATE(A15,B15,C15)</f>
        <v/>
      </c>
    </row>
    <row r="16">
      <c r="A16" t="n">
        <v>2026</v>
      </c>
      <c r="B16" t="n">
        <v>2</v>
      </c>
      <c r="C16" t="n">
        <v>30</v>
      </c>
      <c r="D16" s="4">
        <f>DATE(A16,B16,C16)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3" customWidth="1" min="4" max="4"/>
    <col width="12" customWidth="1" min="5" max="5"/>
    <col width="16" customWidth="1" min="6" max="6"/>
    <col width="13" customWidth="1" min="7" max="7"/>
  </cols>
  <sheetData>
    <row r="1">
      <c r="A1" s="2" t="inlineStr">
        <is>
          <t>Contract</t>
        </is>
      </c>
      <c r="B1" s="2" t="inlineStr">
        <is>
          <t>Start date</t>
        </is>
      </c>
      <c r="C1" s="2" t="inlineStr">
        <is>
          <t>Term (months)</t>
        </is>
      </c>
      <c r="D1" s="2" t="inlineStr">
        <is>
          <t>Renewal date</t>
        </is>
      </c>
      <c r="E1" s="2" t="inlineStr">
        <is>
          <t>Month end</t>
        </is>
      </c>
      <c r="F1" s="2" t="inlineStr">
        <is>
          <t>Invoice due (end of next month)</t>
        </is>
      </c>
      <c r="G1" s="2" t="inlineStr">
        <is>
          <t>Reminder date</t>
        </is>
      </c>
    </row>
    <row r="2">
      <c r="A2" t="inlineStr">
        <is>
          <t>Printer AMC</t>
        </is>
      </c>
      <c r="B2" s="3" t="n">
        <v>46053</v>
      </c>
      <c r="C2" t="n">
        <v>12</v>
      </c>
      <c r="D2" s="4" t="n"/>
      <c r="E2" s="4" t="n"/>
      <c r="F2" s="4" t="n"/>
      <c r="G2" s="4" t="n"/>
    </row>
    <row r="3">
      <c r="A3" t="inlineStr">
        <is>
          <t>Office lease</t>
        </is>
      </c>
      <c r="B3" s="3" t="n">
        <v>45839</v>
      </c>
      <c r="C3" t="n">
        <v>36</v>
      </c>
      <c r="D3" s="4" t="n"/>
      <c r="E3" s="4" t="n"/>
      <c r="F3" s="4" t="n"/>
      <c r="G3" s="4" t="n"/>
    </row>
    <row r="4">
      <c r="A4" t="inlineStr">
        <is>
          <t>Cloud software licence</t>
        </is>
      </c>
      <c r="B4" s="3" t="n">
        <v>46096</v>
      </c>
      <c r="C4" t="n">
        <v>12</v>
      </c>
      <c r="D4" s="4" t="n"/>
      <c r="E4" s="4" t="n"/>
      <c r="F4" s="4" t="n"/>
      <c r="G4" s="4" t="n"/>
    </row>
    <row r="5">
      <c r="A5" t="inlineStr">
        <is>
          <t>Car insurance</t>
        </is>
      </c>
      <c r="B5" s="3" t="n">
        <v>45950</v>
      </c>
      <c r="C5" t="n">
        <v>12</v>
      </c>
      <c r="D5" s="4" t="n"/>
      <c r="E5" s="4" t="n"/>
      <c r="F5" s="4" t="n"/>
      <c r="G5" s="4" t="n"/>
    </row>
    <row r="6">
      <c r="A6" t="inlineStr">
        <is>
          <t>Security services</t>
        </is>
      </c>
      <c r="B6" s="3" t="n">
        <v>46053</v>
      </c>
      <c r="C6" t="n">
        <v>1</v>
      </c>
      <c r="D6" s="4" t="n"/>
      <c r="E6" s="4" t="n"/>
      <c r="F6" s="4" t="n"/>
      <c r="G6" s="4" t="n"/>
    </row>
    <row r="7">
      <c r="A7" t="inlineStr">
        <is>
          <t>Internet leased line</t>
        </is>
      </c>
      <c r="B7" s="3" t="n">
        <v>46173</v>
      </c>
      <c r="C7" t="n">
        <v>6</v>
      </c>
      <c r="D7" s="4" t="n"/>
      <c r="E7" s="4" t="n"/>
      <c r="F7" s="4" t="n"/>
      <c r="G7" s="4" t="n"/>
    </row>
    <row r="8">
      <c r="A8" t="inlineStr">
        <is>
          <t>Staff health policy</t>
        </is>
      </c>
      <c r="B8" s="3" t="n">
        <v>46113</v>
      </c>
      <c r="C8" t="n">
        <v>12</v>
      </c>
      <c r="D8" s="4" t="n"/>
      <c r="E8" s="4" t="n"/>
      <c r="F8" s="4" t="n"/>
      <c r="G8" s="4" t="n"/>
    </row>
    <row r="9">
      <c r="A9" t="inlineStr">
        <is>
          <t>Generator rental</t>
        </is>
      </c>
      <c r="B9" s="3" t="n">
        <v>46022</v>
      </c>
      <c r="C9" t="n">
        <v>2</v>
      </c>
      <c r="D9" s="4" t="n"/>
      <c r="E9" s="4" t="n"/>
      <c r="F9" s="4" t="n"/>
      <c r="G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3" customWidth="1" min="4" max="4"/>
    <col width="12" customWidth="1" min="5" max="5"/>
    <col width="16" customWidth="1" min="6" max="6"/>
    <col width="13" customWidth="1" min="7" max="7"/>
  </cols>
  <sheetData>
    <row r="1">
      <c r="A1" s="2" t="inlineStr">
        <is>
          <t>Contract</t>
        </is>
      </c>
      <c r="B1" s="2" t="inlineStr">
        <is>
          <t>Start date</t>
        </is>
      </c>
      <c r="C1" s="2" t="inlineStr">
        <is>
          <t>Term (months)</t>
        </is>
      </c>
      <c r="D1" s="2" t="inlineStr">
        <is>
          <t>Renewal date</t>
        </is>
      </c>
      <c r="E1" s="2" t="inlineStr">
        <is>
          <t>Month end</t>
        </is>
      </c>
      <c r="F1" s="2" t="inlineStr">
        <is>
          <t>Invoice due (end of next month)</t>
        </is>
      </c>
      <c r="G1" s="2" t="inlineStr">
        <is>
          <t>Reminder date</t>
        </is>
      </c>
    </row>
    <row r="2">
      <c r="A2" t="inlineStr">
        <is>
          <t>Printer AMC</t>
        </is>
      </c>
      <c r="B2" s="3" t="n">
        <v>46053</v>
      </c>
      <c r="C2" t="n">
        <v>12</v>
      </c>
      <c r="D2" s="4">
        <f>EDATE(B2,C2)</f>
        <v/>
      </c>
      <c r="E2" s="4">
        <f>EOMONTH(B2,0)</f>
        <v/>
      </c>
      <c r="F2" s="4">
        <f>EOMONTH(B2,1)</f>
        <v/>
      </c>
      <c r="G2" s="4">
        <f>EDATE(D2,-1)</f>
        <v/>
      </c>
    </row>
    <row r="3">
      <c r="A3" t="inlineStr">
        <is>
          <t>Office lease</t>
        </is>
      </c>
      <c r="B3" s="3" t="n">
        <v>45839</v>
      </c>
      <c r="C3" t="n">
        <v>36</v>
      </c>
      <c r="D3" s="4">
        <f>EDATE(B3,C3)</f>
        <v/>
      </c>
      <c r="E3" s="4">
        <f>EOMONTH(B3,0)</f>
        <v/>
      </c>
      <c r="F3" s="4">
        <f>EOMONTH(B3,1)</f>
        <v/>
      </c>
      <c r="G3" s="4">
        <f>EDATE(D3,-1)</f>
        <v/>
      </c>
    </row>
    <row r="4">
      <c r="A4" t="inlineStr">
        <is>
          <t>Cloud software licence</t>
        </is>
      </c>
      <c r="B4" s="3" t="n">
        <v>46096</v>
      </c>
      <c r="C4" t="n">
        <v>12</v>
      </c>
      <c r="D4" s="4">
        <f>EDATE(B4,C4)</f>
        <v/>
      </c>
      <c r="E4" s="4">
        <f>EOMONTH(B4,0)</f>
        <v/>
      </c>
      <c r="F4" s="4">
        <f>EOMONTH(B4,1)</f>
        <v/>
      </c>
      <c r="G4" s="4">
        <f>EDATE(D4,-1)</f>
        <v/>
      </c>
    </row>
    <row r="5">
      <c r="A5" t="inlineStr">
        <is>
          <t>Car insurance</t>
        </is>
      </c>
      <c r="B5" s="3" t="n">
        <v>45950</v>
      </c>
      <c r="C5" t="n">
        <v>12</v>
      </c>
      <c r="D5" s="4">
        <f>EDATE(B5,C5)</f>
        <v/>
      </c>
      <c r="E5" s="4">
        <f>EOMONTH(B5,0)</f>
        <v/>
      </c>
      <c r="F5" s="4">
        <f>EOMONTH(B5,1)</f>
        <v/>
      </c>
      <c r="G5" s="4">
        <f>EDATE(D5,-1)</f>
        <v/>
      </c>
    </row>
    <row r="6">
      <c r="A6" t="inlineStr">
        <is>
          <t>Security services</t>
        </is>
      </c>
      <c r="B6" s="3" t="n">
        <v>46053</v>
      </c>
      <c r="C6" t="n">
        <v>1</v>
      </c>
      <c r="D6" s="4">
        <f>EDATE(B6,C6)</f>
        <v/>
      </c>
      <c r="E6" s="4">
        <f>EOMONTH(B6,0)</f>
        <v/>
      </c>
      <c r="F6" s="4">
        <f>EOMONTH(B6,1)</f>
        <v/>
      </c>
      <c r="G6" s="4">
        <f>EDATE(D6,-1)</f>
        <v/>
      </c>
    </row>
    <row r="7">
      <c r="A7" t="inlineStr">
        <is>
          <t>Internet leased line</t>
        </is>
      </c>
      <c r="B7" s="3" t="n">
        <v>46173</v>
      </c>
      <c r="C7" t="n">
        <v>6</v>
      </c>
      <c r="D7" s="4">
        <f>EDATE(B7,C7)</f>
        <v/>
      </c>
      <c r="E7" s="4">
        <f>EOMONTH(B7,0)</f>
        <v/>
      </c>
      <c r="F7" s="4">
        <f>EOMONTH(B7,1)</f>
        <v/>
      </c>
      <c r="G7" s="4">
        <f>EDATE(D7,-1)</f>
        <v/>
      </c>
    </row>
    <row r="8">
      <c r="A8" t="inlineStr">
        <is>
          <t>Staff health policy</t>
        </is>
      </c>
      <c r="B8" s="3" t="n">
        <v>46113</v>
      </c>
      <c r="C8" t="n">
        <v>12</v>
      </c>
      <c r="D8" s="4">
        <f>EDATE(B8,C8)</f>
        <v/>
      </c>
      <c r="E8" s="4">
        <f>EOMONTH(B8,0)</f>
        <v/>
      </c>
      <c r="F8" s="4">
        <f>EOMONTH(B8,1)</f>
        <v/>
      </c>
      <c r="G8" s="4">
        <f>EDATE(D8,-1)</f>
        <v/>
      </c>
    </row>
    <row r="9">
      <c r="A9" t="inlineStr">
        <is>
          <t>Generator rental</t>
        </is>
      </c>
      <c r="B9" s="3" t="n">
        <v>46022</v>
      </c>
      <c r="C9" t="n">
        <v>2</v>
      </c>
      <c r="D9" s="4">
        <f>EDATE(B9,C9)</f>
        <v/>
      </c>
      <c r="E9" s="4">
        <f>EOMONTH(B9,0)</f>
        <v/>
      </c>
      <c r="F9" s="4">
        <f>EOMONTH(B9,1)</f>
        <v/>
      </c>
      <c r="G9" s="4">
        <f>EDATE(D9,-1)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9" customWidth="1" min="5" max="5"/>
    <col width="9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Weekday no. (Mon=1)</t>
        </is>
      </c>
      <c r="D1" s="2" t="inlineStr">
        <is>
          <t>Day type</t>
        </is>
      </c>
      <c r="E1" s="2" t="inlineStr">
        <is>
          <t>Week no.</t>
        </is>
      </c>
      <c r="F1" s="2" t="inlineStr">
        <is>
          <t>Short day</t>
        </is>
      </c>
    </row>
    <row r="2">
      <c r="A2" s="3" t="n">
        <v>46113</v>
      </c>
      <c r="B2" s="7" t="n"/>
      <c r="C2" s="7" t="n"/>
      <c r="D2" s="7" t="n"/>
      <c r="E2" s="7" t="n"/>
      <c r="F2" s="7" t="n"/>
    </row>
    <row r="3">
      <c r="A3" s="3" t="n">
        <v>46114</v>
      </c>
      <c r="B3" s="7" t="n"/>
      <c r="C3" s="7" t="n"/>
      <c r="D3" s="7" t="n"/>
      <c r="E3" s="7" t="n"/>
      <c r="F3" s="7" t="n"/>
    </row>
    <row r="4">
      <c r="A4" s="3" t="n">
        <v>46115</v>
      </c>
      <c r="B4" s="7" t="n"/>
      <c r="C4" s="7" t="n"/>
      <c r="D4" s="7" t="n"/>
      <c r="E4" s="7" t="n"/>
      <c r="F4" s="7" t="n"/>
    </row>
    <row r="5">
      <c r="A5" s="3" t="n">
        <v>46116</v>
      </c>
      <c r="B5" s="7" t="n"/>
      <c r="C5" s="7" t="n"/>
      <c r="D5" s="7" t="n"/>
      <c r="E5" s="7" t="n"/>
      <c r="F5" s="7" t="n"/>
    </row>
    <row r="6">
      <c r="A6" s="3" t="n">
        <v>46117</v>
      </c>
      <c r="B6" s="7" t="n"/>
      <c r="C6" s="7" t="n"/>
      <c r="D6" s="7" t="n"/>
      <c r="E6" s="7" t="n"/>
      <c r="F6" s="7" t="n"/>
    </row>
    <row r="7">
      <c r="A7" s="3" t="n">
        <v>46118</v>
      </c>
      <c r="B7" s="7" t="n"/>
      <c r="C7" s="7" t="n"/>
      <c r="D7" s="7" t="n"/>
      <c r="E7" s="7" t="n"/>
      <c r="F7" s="7" t="n"/>
    </row>
    <row r="8">
      <c r="A8" s="3" t="n">
        <v>46119</v>
      </c>
      <c r="B8" s="7" t="n"/>
      <c r="C8" s="7" t="n"/>
      <c r="D8" s="7" t="n"/>
      <c r="E8" s="7" t="n"/>
      <c r="F8" s="7" t="n"/>
    </row>
    <row r="9">
      <c r="A9" s="3" t="n">
        <v>46120</v>
      </c>
      <c r="B9" s="7" t="n"/>
      <c r="C9" s="7" t="n"/>
      <c r="D9" s="7" t="n"/>
      <c r="E9" s="7" t="n"/>
      <c r="F9" s="7" t="n"/>
    </row>
    <row r="10">
      <c r="A10" s="3" t="n">
        <v>46121</v>
      </c>
      <c r="B10" s="7" t="n"/>
      <c r="C10" s="7" t="n"/>
      <c r="D10" s="7" t="n"/>
      <c r="E10" s="7" t="n"/>
      <c r="F10" s="7" t="n"/>
    </row>
    <row r="11">
      <c r="A11" s="3" t="n">
        <v>46122</v>
      </c>
      <c r="B11" s="7" t="n"/>
      <c r="C11" s="7" t="n"/>
      <c r="D11" s="7" t="n"/>
      <c r="E11" s="7" t="n"/>
      <c r="F11" s="7" t="n"/>
    </row>
    <row r="12">
      <c r="A12" s="3" t="n">
        <v>46123</v>
      </c>
      <c r="B12" s="7" t="n"/>
      <c r="C12" s="7" t="n"/>
      <c r="D12" s="7" t="n"/>
      <c r="E12" s="7" t="n"/>
      <c r="F12" s="7" t="n"/>
    </row>
    <row r="13">
      <c r="A13" s="3" t="n">
        <v>46124</v>
      </c>
      <c r="B13" s="7" t="n"/>
      <c r="C13" s="7" t="n"/>
      <c r="D13" s="7" t="n"/>
      <c r="E13" s="7" t="n"/>
      <c r="F13" s="7" t="n"/>
    </row>
    <row r="14">
      <c r="A14" s="3" t="n">
        <v>46125</v>
      </c>
      <c r="B14" s="7" t="n"/>
      <c r="C14" s="7" t="n"/>
      <c r="D14" s="7" t="n"/>
      <c r="E14" s="7" t="n"/>
      <c r="F14" s="7" t="n"/>
    </row>
    <row r="15">
      <c r="A15" s="3" t="n">
        <v>46126</v>
      </c>
      <c r="B15" s="7" t="n"/>
      <c r="C15" s="7" t="n"/>
      <c r="D15" s="7" t="n"/>
      <c r="E15" s="7" t="n"/>
      <c r="F15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9" customWidth="1" min="5" max="5"/>
    <col width="9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Weekday no. (Mon=1)</t>
        </is>
      </c>
      <c r="D1" s="2" t="inlineStr">
        <is>
          <t>Day type</t>
        </is>
      </c>
      <c r="E1" s="2" t="inlineStr">
        <is>
          <t>Week no.</t>
        </is>
      </c>
      <c r="F1" s="2" t="inlineStr">
        <is>
          <t>Short day</t>
        </is>
      </c>
    </row>
    <row r="2">
      <c r="A2" s="3" t="n">
        <v>46113</v>
      </c>
      <c r="B2" s="7">
        <f>TEXT(A2,"dddd")</f>
        <v/>
      </c>
      <c r="C2" s="7">
        <f>WEEKDAY(A2,2)</f>
        <v/>
      </c>
      <c r="D2" s="7">
        <f>IF(WEEKDAY(A2,2)&gt;5,"Weekend","Working day")</f>
        <v/>
      </c>
      <c r="E2" s="7">
        <f>WEEKNUM(A2,2)</f>
        <v/>
      </c>
      <c r="F2" s="7">
        <f>TEXT(A2,"ddd")</f>
        <v/>
      </c>
    </row>
    <row r="3">
      <c r="A3" s="3" t="n">
        <v>46114</v>
      </c>
      <c r="B3" s="7">
        <f>TEXT(A3,"dddd")</f>
        <v/>
      </c>
      <c r="C3" s="7">
        <f>WEEKDAY(A3,2)</f>
        <v/>
      </c>
      <c r="D3" s="7">
        <f>IF(WEEKDAY(A3,2)&gt;5,"Weekend","Working day")</f>
        <v/>
      </c>
      <c r="E3" s="7">
        <f>WEEKNUM(A3,2)</f>
        <v/>
      </c>
      <c r="F3" s="7">
        <f>TEXT(A3,"ddd")</f>
        <v/>
      </c>
    </row>
    <row r="4">
      <c r="A4" s="3" t="n">
        <v>46115</v>
      </c>
      <c r="B4" s="7">
        <f>TEXT(A4,"dddd")</f>
        <v/>
      </c>
      <c r="C4" s="7">
        <f>WEEKDAY(A4,2)</f>
        <v/>
      </c>
      <c r="D4" s="7">
        <f>IF(WEEKDAY(A4,2)&gt;5,"Weekend","Working day")</f>
        <v/>
      </c>
      <c r="E4" s="7">
        <f>WEEKNUM(A4,2)</f>
        <v/>
      </c>
      <c r="F4" s="7">
        <f>TEXT(A4,"ddd")</f>
        <v/>
      </c>
    </row>
    <row r="5">
      <c r="A5" s="3" t="n">
        <v>46116</v>
      </c>
      <c r="B5" s="7">
        <f>TEXT(A5,"dddd")</f>
        <v/>
      </c>
      <c r="C5" s="7">
        <f>WEEKDAY(A5,2)</f>
        <v/>
      </c>
      <c r="D5" s="7">
        <f>IF(WEEKDAY(A5,2)&gt;5,"Weekend","Working day")</f>
        <v/>
      </c>
      <c r="E5" s="7">
        <f>WEEKNUM(A5,2)</f>
        <v/>
      </c>
      <c r="F5" s="7">
        <f>TEXT(A5,"ddd")</f>
        <v/>
      </c>
    </row>
    <row r="6">
      <c r="A6" s="3" t="n">
        <v>46117</v>
      </c>
      <c r="B6" s="7">
        <f>TEXT(A6,"dddd")</f>
        <v/>
      </c>
      <c r="C6" s="7">
        <f>WEEKDAY(A6,2)</f>
        <v/>
      </c>
      <c r="D6" s="7">
        <f>IF(WEEKDAY(A6,2)&gt;5,"Weekend","Working day")</f>
        <v/>
      </c>
      <c r="E6" s="7">
        <f>WEEKNUM(A6,2)</f>
        <v/>
      </c>
      <c r="F6" s="7">
        <f>TEXT(A6,"ddd")</f>
        <v/>
      </c>
    </row>
    <row r="7">
      <c r="A7" s="3" t="n">
        <v>46118</v>
      </c>
      <c r="B7" s="7">
        <f>TEXT(A7,"dddd")</f>
        <v/>
      </c>
      <c r="C7" s="7">
        <f>WEEKDAY(A7,2)</f>
        <v/>
      </c>
      <c r="D7" s="7">
        <f>IF(WEEKDAY(A7,2)&gt;5,"Weekend","Working day")</f>
        <v/>
      </c>
      <c r="E7" s="7">
        <f>WEEKNUM(A7,2)</f>
        <v/>
      </c>
      <c r="F7" s="7">
        <f>TEXT(A7,"ddd")</f>
        <v/>
      </c>
    </row>
    <row r="8">
      <c r="A8" s="3" t="n">
        <v>46119</v>
      </c>
      <c r="B8" s="7">
        <f>TEXT(A8,"dddd")</f>
        <v/>
      </c>
      <c r="C8" s="7">
        <f>WEEKDAY(A8,2)</f>
        <v/>
      </c>
      <c r="D8" s="7">
        <f>IF(WEEKDAY(A8,2)&gt;5,"Weekend","Working day")</f>
        <v/>
      </c>
      <c r="E8" s="7">
        <f>WEEKNUM(A8,2)</f>
        <v/>
      </c>
      <c r="F8" s="7">
        <f>TEXT(A8,"ddd")</f>
        <v/>
      </c>
    </row>
    <row r="9">
      <c r="A9" s="3" t="n">
        <v>46120</v>
      </c>
      <c r="B9" s="7">
        <f>TEXT(A9,"dddd")</f>
        <v/>
      </c>
      <c r="C9" s="7">
        <f>WEEKDAY(A9,2)</f>
        <v/>
      </c>
      <c r="D9" s="7">
        <f>IF(WEEKDAY(A9,2)&gt;5,"Weekend","Working day")</f>
        <v/>
      </c>
      <c r="E9" s="7">
        <f>WEEKNUM(A9,2)</f>
        <v/>
      </c>
      <c r="F9" s="7">
        <f>TEXT(A9,"ddd")</f>
        <v/>
      </c>
    </row>
    <row r="10">
      <c r="A10" s="3" t="n">
        <v>46121</v>
      </c>
      <c r="B10" s="7">
        <f>TEXT(A10,"dddd")</f>
        <v/>
      </c>
      <c r="C10" s="7">
        <f>WEEKDAY(A10,2)</f>
        <v/>
      </c>
      <c r="D10" s="7">
        <f>IF(WEEKDAY(A10,2)&gt;5,"Weekend","Working day")</f>
        <v/>
      </c>
      <c r="E10" s="7">
        <f>WEEKNUM(A10,2)</f>
        <v/>
      </c>
      <c r="F10" s="7">
        <f>TEXT(A10,"ddd")</f>
        <v/>
      </c>
    </row>
    <row r="11">
      <c r="A11" s="3" t="n">
        <v>46122</v>
      </c>
      <c r="B11" s="7">
        <f>TEXT(A11,"dddd")</f>
        <v/>
      </c>
      <c r="C11" s="7">
        <f>WEEKDAY(A11,2)</f>
        <v/>
      </c>
      <c r="D11" s="7">
        <f>IF(WEEKDAY(A11,2)&gt;5,"Weekend","Working day")</f>
        <v/>
      </c>
      <c r="E11" s="7">
        <f>WEEKNUM(A11,2)</f>
        <v/>
      </c>
      <c r="F11" s="7">
        <f>TEXT(A11,"ddd")</f>
        <v/>
      </c>
    </row>
    <row r="12">
      <c r="A12" s="3" t="n">
        <v>46123</v>
      </c>
      <c r="B12" s="7">
        <f>TEXT(A12,"dddd")</f>
        <v/>
      </c>
      <c r="C12" s="7">
        <f>WEEKDAY(A12,2)</f>
        <v/>
      </c>
      <c r="D12" s="7">
        <f>IF(WEEKDAY(A12,2)&gt;5,"Weekend","Working day")</f>
        <v/>
      </c>
      <c r="E12" s="7">
        <f>WEEKNUM(A12,2)</f>
        <v/>
      </c>
      <c r="F12" s="7">
        <f>TEXT(A12,"ddd")</f>
        <v/>
      </c>
    </row>
    <row r="13">
      <c r="A13" s="3" t="n">
        <v>46124</v>
      </c>
      <c r="B13" s="7">
        <f>TEXT(A13,"dddd")</f>
        <v/>
      </c>
      <c r="C13" s="7">
        <f>WEEKDAY(A13,2)</f>
        <v/>
      </c>
      <c r="D13" s="7">
        <f>IF(WEEKDAY(A13,2)&gt;5,"Weekend","Working day")</f>
        <v/>
      </c>
      <c r="E13" s="7">
        <f>WEEKNUM(A13,2)</f>
        <v/>
      </c>
      <c r="F13" s="7">
        <f>TEXT(A13,"ddd")</f>
        <v/>
      </c>
    </row>
    <row r="14">
      <c r="A14" s="3" t="n">
        <v>46125</v>
      </c>
      <c r="B14" s="7">
        <f>TEXT(A14,"dddd")</f>
        <v/>
      </c>
      <c r="C14" s="7">
        <f>WEEKDAY(A14,2)</f>
        <v/>
      </c>
      <c r="D14" s="7">
        <f>IF(WEEKDAY(A14,2)&gt;5,"Weekend","Working day")</f>
        <v/>
      </c>
      <c r="E14" s="7">
        <f>WEEKNUM(A14,2)</f>
        <v/>
      </c>
      <c r="F14" s="7">
        <f>TEXT(A14,"ddd")</f>
        <v/>
      </c>
    </row>
    <row r="15">
      <c r="A15" s="3" t="n">
        <v>46126</v>
      </c>
      <c r="B15" s="7">
        <f>TEXT(A15,"dddd")</f>
        <v/>
      </c>
      <c r="C15" s="7">
        <f>WEEKDAY(A15,2)</f>
        <v/>
      </c>
      <c r="D15" s="7">
        <f>IF(WEEKDAY(A15,2)&gt;5,"Weekend","Working day")</f>
        <v/>
      </c>
      <c r="E15" s="7">
        <f>WEEKNUM(A15,2)</f>
        <v/>
      </c>
      <c r="F15" s="7">
        <f>TEXT(A15,"ddd")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13" customWidth="1" min="5" max="5"/>
    <col width="11" customWidth="1" min="6" max="6"/>
    <col width="14" customWidth="1" min="7" max="7"/>
    <col width="14" customWidth="1" min="8" max="8"/>
  </cols>
  <sheetData>
    <row r="1">
      <c r="A1" s="2" t="inlineStr">
        <is>
          <t>Order</t>
        </is>
      </c>
      <c r="B1" s="2" t="inlineStr">
        <is>
          <t>Order date</t>
        </is>
      </c>
      <c r="C1" s="2" t="inlineStr">
        <is>
          <t>Promised date</t>
        </is>
      </c>
      <c r="D1" s="2" t="inlineStr">
        <is>
          <t>Working days (Mon-Fri)</t>
        </is>
      </c>
      <c r="E1" s="2" t="inlineStr">
        <is>
          <t>Working days (Mon-Sat)</t>
        </is>
      </c>
      <c r="F1" s="2" t="inlineStr">
        <is>
          <t>SLA (working days)</t>
        </is>
      </c>
      <c r="G1" s="2" t="inlineStr">
        <is>
          <t>Delivery date (Mon-Fri)</t>
        </is>
      </c>
      <c r="H1" s="2" t="inlineStr">
        <is>
          <t>Delivery date (Mon-Sat)</t>
        </is>
      </c>
    </row>
    <row r="2">
      <c r="A2" t="inlineStr">
        <is>
          <t>PO-2601</t>
        </is>
      </c>
      <c r="B2" s="3" t="n">
        <v>46042</v>
      </c>
      <c r="C2" s="3" t="n">
        <v>46052</v>
      </c>
      <c r="D2" s="7" t="n"/>
      <c r="E2" s="7" t="n"/>
      <c r="F2" t="n">
        <v>7</v>
      </c>
      <c r="G2" s="4" t="n"/>
      <c r="H2" s="4" t="n"/>
    </row>
    <row r="3">
      <c r="A3" t="inlineStr">
        <is>
          <t>PO-2602</t>
        </is>
      </c>
      <c r="B3" s="3" t="n">
        <v>46080</v>
      </c>
      <c r="C3" s="3" t="n">
        <v>46091</v>
      </c>
      <c r="D3" s="7" t="n"/>
      <c r="E3" s="7" t="n"/>
      <c r="F3" t="n">
        <v>5</v>
      </c>
      <c r="G3" s="4" t="n"/>
      <c r="H3" s="4" t="n"/>
    </row>
    <row r="4">
      <c r="A4" t="inlineStr">
        <is>
          <t>PO-2603</t>
        </is>
      </c>
      <c r="B4" s="3" t="n">
        <v>46097</v>
      </c>
      <c r="C4" s="3" t="n">
        <v>46108</v>
      </c>
      <c r="D4" s="7" t="n"/>
      <c r="E4" s="7" t="n"/>
      <c r="F4" t="n">
        <v>8</v>
      </c>
      <c r="G4" s="4" t="n"/>
      <c r="H4" s="4" t="n"/>
    </row>
    <row r="5">
      <c r="A5" t="inlineStr">
        <is>
          <t>PO-2604</t>
        </is>
      </c>
      <c r="B5" s="3" t="n">
        <v>46244</v>
      </c>
      <c r="C5" s="3" t="n">
        <v>46255</v>
      </c>
      <c r="D5" s="7" t="n"/>
      <c r="E5" s="7" t="n"/>
      <c r="F5" t="n">
        <v>6</v>
      </c>
      <c r="G5" s="4" t="n"/>
      <c r="H5" s="4" t="n"/>
    </row>
    <row r="6">
      <c r="A6" t="inlineStr">
        <is>
          <t>PO-2605</t>
        </is>
      </c>
      <c r="B6" s="3" t="n">
        <v>46293</v>
      </c>
      <c r="C6" s="3" t="n">
        <v>46304</v>
      </c>
      <c r="D6" s="7" t="n"/>
      <c r="E6" s="7" t="n"/>
      <c r="F6" t="n">
        <v>7</v>
      </c>
      <c r="G6" s="4" t="n"/>
      <c r="H6" s="4" t="n"/>
    </row>
    <row r="7">
      <c r="A7" t="inlineStr">
        <is>
          <t>PO-2606</t>
        </is>
      </c>
      <c r="B7" s="3" t="n">
        <v>46328</v>
      </c>
      <c r="C7" s="3" t="n">
        <v>46339</v>
      </c>
      <c r="D7" s="7" t="n"/>
      <c r="E7" s="7" t="n"/>
      <c r="F7" t="n">
        <v>10</v>
      </c>
      <c r="G7" s="4" t="n"/>
      <c r="H7" s="4" t="n"/>
    </row>
    <row r="8">
      <c r="A8" t="inlineStr">
        <is>
          <t>PO-2607</t>
        </is>
      </c>
      <c r="B8" s="3" t="n">
        <v>46377</v>
      </c>
      <c r="C8" s="3" t="n">
        <v>46388</v>
      </c>
      <c r="D8" s="7" t="n"/>
      <c r="E8" s="7" t="n"/>
      <c r="F8" t="n">
        <v>4</v>
      </c>
      <c r="G8" s="4" t="n"/>
      <c r="H8" s="4" t="n"/>
    </row>
    <row r="10">
      <c r="A10" s="10" t="inlineStr">
        <is>
          <t>Holidays: the named range 'Holidays' points to sheet 'Holidays 2026' A2:A9.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13" customWidth="1" min="5" max="5"/>
    <col width="11" customWidth="1" min="6" max="6"/>
    <col width="14" customWidth="1" min="7" max="7"/>
    <col width="14" customWidth="1" min="8" max="8"/>
  </cols>
  <sheetData>
    <row r="1">
      <c r="A1" s="2" t="inlineStr">
        <is>
          <t>Order</t>
        </is>
      </c>
      <c r="B1" s="2" t="inlineStr">
        <is>
          <t>Order date</t>
        </is>
      </c>
      <c r="C1" s="2" t="inlineStr">
        <is>
          <t>Promised date</t>
        </is>
      </c>
      <c r="D1" s="2" t="inlineStr">
        <is>
          <t>Working days (Mon-Fri)</t>
        </is>
      </c>
      <c r="E1" s="2" t="inlineStr">
        <is>
          <t>Working days (Mon-Sat)</t>
        </is>
      </c>
      <c r="F1" s="2" t="inlineStr">
        <is>
          <t>SLA (working days)</t>
        </is>
      </c>
      <c r="G1" s="2" t="inlineStr">
        <is>
          <t>Delivery date (Mon-Fri)</t>
        </is>
      </c>
      <c r="H1" s="2" t="inlineStr">
        <is>
          <t>Delivery date (Mon-Sat)</t>
        </is>
      </c>
    </row>
    <row r="2">
      <c r="A2" t="inlineStr">
        <is>
          <t>PO-2601</t>
        </is>
      </c>
      <c r="B2" s="3" t="n">
        <v>46042</v>
      </c>
      <c r="C2" s="3" t="n">
        <v>46052</v>
      </c>
      <c r="D2" s="7">
        <f>NETWORKDAYS(B2,C2,Holidays)</f>
        <v/>
      </c>
      <c r="E2" s="7">
        <f>_xlfn.NETWORKDAYS.INTL(B2,C2,11,Holidays)</f>
        <v/>
      </c>
      <c r="F2" t="n">
        <v>7</v>
      </c>
      <c r="G2" s="4">
        <f>WORKDAY(B2,F2,Holidays)</f>
        <v/>
      </c>
      <c r="H2" s="4">
        <f>_xlfn.WORKDAY.INTL(B2,F2,11,Holidays)</f>
        <v/>
      </c>
    </row>
    <row r="3">
      <c r="A3" t="inlineStr">
        <is>
          <t>PO-2602</t>
        </is>
      </c>
      <c r="B3" s="3" t="n">
        <v>46080</v>
      </c>
      <c r="C3" s="3" t="n">
        <v>46091</v>
      </c>
      <c r="D3" s="7">
        <f>NETWORKDAYS(B3,C3,Holidays)</f>
        <v/>
      </c>
      <c r="E3" s="7">
        <f>_xlfn.NETWORKDAYS.INTL(B3,C3,11,Holidays)</f>
        <v/>
      </c>
      <c r="F3" t="n">
        <v>5</v>
      </c>
      <c r="G3" s="4">
        <f>WORKDAY(B3,F3,Holidays)</f>
        <v/>
      </c>
      <c r="H3" s="4">
        <f>_xlfn.WORKDAY.INTL(B3,F3,11,Holidays)</f>
        <v/>
      </c>
    </row>
    <row r="4">
      <c r="A4" t="inlineStr">
        <is>
          <t>PO-2603</t>
        </is>
      </c>
      <c r="B4" s="3" t="n">
        <v>46097</v>
      </c>
      <c r="C4" s="3" t="n">
        <v>46108</v>
      </c>
      <c r="D4" s="7">
        <f>NETWORKDAYS(B4,C4,Holidays)</f>
        <v/>
      </c>
      <c r="E4" s="7">
        <f>_xlfn.NETWORKDAYS.INTL(B4,C4,11,Holidays)</f>
        <v/>
      </c>
      <c r="F4" t="n">
        <v>8</v>
      </c>
      <c r="G4" s="4">
        <f>WORKDAY(B4,F4,Holidays)</f>
        <v/>
      </c>
      <c r="H4" s="4">
        <f>_xlfn.WORKDAY.INTL(B4,F4,11,Holidays)</f>
        <v/>
      </c>
    </row>
    <row r="5">
      <c r="A5" t="inlineStr">
        <is>
          <t>PO-2604</t>
        </is>
      </c>
      <c r="B5" s="3" t="n">
        <v>46244</v>
      </c>
      <c r="C5" s="3" t="n">
        <v>46255</v>
      </c>
      <c r="D5" s="7">
        <f>NETWORKDAYS(B5,C5,Holidays)</f>
        <v/>
      </c>
      <c r="E5" s="7">
        <f>_xlfn.NETWORKDAYS.INTL(B5,C5,11,Holidays)</f>
        <v/>
      </c>
      <c r="F5" t="n">
        <v>6</v>
      </c>
      <c r="G5" s="4">
        <f>WORKDAY(B5,F5,Holidays)</f>
        <v/>
      </c>
      <c r="H5" s="4">
        <f>_xlfn.WORKDAY.INTL(B5,F5,11,Holidays)</f>
        <v/>
      </c>
    </row>
    <row r="6">
      <c r="A6" t="inlineStr">
        <is>
          <t>PO-2605</t>
        </is>
      </c>
      <c r="B6" s="3" t="n">
        <v>46293</v>
      </c>
      <c r="C6" s="3" t="n">
        <v>46304</v>
      </c>
      <c r="D6" s="7">
        <f>NETWORKDAYS(B6,C6,Holidays)</f>
        <v/>
      </c>
      <c r="E6" s="7">
        <f>_xlfn.NETWORKDAYS.INTL(B6,C6,11,Holidays)</f>
        <v/>
      </c>
      <c r="F6" t="n">
        <v>7</v>
      </c>
      <c r="G6" s="4">
        <f>WORKDAY(B6,F6,Holidays)</f>
        <v/>
      </c>
      <c r="H6" s="4">
        <f>_xlfn.WORKDAY.INTL(B6,F6,11,Holidays)</f>
        <v/>
      </c>
    </row>
    <row r="7">
      <c r="A7" t="inlineStr">
        <is>
          <t>PO-2606</t>
        </is>
      </c>
      <c r="B7" s="3" t="n">
        <v>46328</v>
      </c>
      <c r="C7" s="3" t="n">
        <v>46339</v>
      </c>
      <c r="D7" s="7">
        <f>NETWORKDAYS(B7,C7,Holidays)</f>
        <v/>
      </c>
      <c r="E7" s="7">
        <f>_xlfn.NETWORKDAYS.INTL(B7,C7,11,Holidays)</f>
        <v/>
      </c>
      <c r="F7" t="n">
        <v>10</v>
      </c>
      <c r="G7" s="4">
        <f>WORKDAY(B7,F7,Holidays)</f>
        <v/>
      </c>
      <c r="H7" s="4">
        <f>_xlfn.WORKDAY.INTL(B7,F7,11,Holidays)</f>
        <v/>
      </c>
    </row>
    <row r="8">
      <c r="A8" t="inlineStr">
        <is>
          <t>PO-2607</t>
        </is>
      </c>
      <c r="B8" s="3" t="n">
        <v>46377</v>
      </c>
      <c r="C8" s="3" t="n">
        <v>46388</v>
      </c>
      <c r="D8" s="7">
        <f>NETWORKDAYS(B8,C8,Holidays)</f>
        <v/>
      </c>
      <c r="E8" s="7">
        <f>_xlfn.NETWORKDAYS.INTL(B8,C8,11,Holidays)</f>
        <v/>
      </c>
      <c r="F8" t="n">
        <v>4</v>
      </c>
      <c r="G8" s="4">
        <f>WORKDAY(B8,F8,Holidays)</f>
        <v/>
      </c>
      <c r="H8" s="4">
        <f>_xlfn.WORKDAY.INTL(B8,F8,11,Holidays)</f>
        <v/>
      </c>
    </row>
    <row r="10">
      <c r="A10" s="10" t="inlineStr">
        <is>
          <t>Holidays: the named range 'Holidays' points to sheet 'Holidays 2026' A2:A9.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7" customWidth="1" min="5" max="5"/>
    <col width="10" customWidth="1" min="6" max="6"/>
    <col width="13" customWidth="1" min="7" max="7"/>
    <col width="13" customWidth="1" min="8" max="8"/>
    <col width="3" customWidth="1" min="9" max="9"/>
    <col width="7" customWidth="1" min="10" max="10"/>
    <col width="12" customWidth="1" min="11" max="11"/>
  </cols>
  <sheetData>
    <row r="1">
      <c r="A1" s="2" t="inlineStr">
        <is>
          <t>Name</t>
        </is>
      </c>
      <c r="B1" s="2" t="inlineStr">
        <is>
          <t>Date of birth</t>
        </is>
      </c>
      <c r="C1" s="2" t="inlineStr">
        <is>
          <t>Date of joining</t>
        </is>
      </c>
      <c r="D1" s="2" t="inlineStr">
        <is>
          <t>Basic + DA (₹/month)</t>
        </is>
      </c>
      <c r="E1" s="2" t="inlineStr">
        <is>
          <t>Age</t>
        </is>
      </c>
      <c r="F1" s="2" t="inlineStr">
        <is>
          <t>Service (years)</t>
        </is>
      </c>
      <c r="G1" s="2" t="inlineStr">
        <is>
          <t>Gratuity (₹)</t>
        </is>
      </c>
      <c r="H1" s="2" t="inlineStr">
        <is>
          <t>Retirement date (60)</t>
        </is>
      </c>
      <c r="J1" s="8" t="inlineStr">
        <is>
          <t>As on</t>
        </is>
      </c>
      <c r="K1" s="3" t="n">
        <v>46112</v>
      </c>
    </row>
    <row r="2">
      <c r="A2" t="inlineStr">
        <is>
          <t>Suresh Iyer</t>
        </is>
      </c>
      <c r="B2" s="3" t="n">
        <v>25031</v>
      </c>
      <c r="C2" s="3" t="n">
        <v>38139</v>
      </c>
      <c r="D2" s="11" t="n">
        <v>98000</v>
      </c>
      <c r="E2" s="7" t="n"/>
      <c r="F2" s="12" t="n"/>
      <c r="G2" s="13" t="n"/>
      <c r="H2" s="4" t="n"/>
    </row>
    <row r="3">
      <c r="A3" t="inlineStr">
        <is>
          <t>Anita Kulkarni</t>
        </is>
      </c>
      <c r="B3" s="3" t="n">
        <v>31106</v>
      </c>
      <c r="C3" s="3" t="n">
        <v>42628</v>
      </c>
      <c r="D3" s="11" t="n">
        <v>62000</v>
      </c>
      <c r="E3" s="7" t="n"/>
      <c r="F3" s="12" t="n"/>
      <c r="G3" s="13" t="n"/>
      <c r="H3" s="4" t="n"/>
    </row>
    <row r="4">
      <c r="A4" t="inlineStr">
        <is>
          <t>Rakesh Yadav</t>
        </is>
      </c>
      <c r="B4" s="3" t="n">
        <v>33182</v>
      </c>
      <c r="C4" s="3" t="n">
        <v>44200</v>
      </c>
      <c r="D4" s="11" t="n">
        <v>45000</v>
      </c>
      <c r="E4" s="7" t="n"/>
      <c r="F4" s="12" t="n"/>
      <c r="G4" s="13" t="n"/>
      <c r="H4" s="4" t="n"/>
    </row>
    <row r="5">
      <c r="A5" t="inlineStr">
        <is>
          <t>Shalini Menon</t>
        </is>
      </c>
      <c r="B5" s="3" t="n">
        <v>28945</v>
      </c>
      <c r="C5" s="3" t="n">
        <v>39904</v>
      </c>
      <c r="D5" s="11" t="n">
        <v>87500</v>
      </c>
      <c r="E5" s="7" t="n"/>
      <c r="F5" s="12" t="n"/>
      <c r="G5" s="13" t="n"/>
      <c r="H5" s="4" t="n"/>
    </row>
    <row r="6">
      <c r="A6" t="inlineStr">
        <is>
          <t>Tarun Bhatia</t>
        </is>
      </c>
      <c r="B6" s="3" t="n">
        <v>34930</v>
      </c>
      <c r="C6" s="3" t="n">
        <v>44774</v>
      </c>
      <c r="D6" s="11" t="n">
        <v>38000</v>
      </c>
      <c r="E6" s="7" t="n"/>
      <c r="F6" s="12" t="n"/>
      <c r="G6" s="13" t="n"/>
      <c r="H6" s="4" t="n"/>
    </row>
    <row r="7">
      <c r="A7" t="inlineStr">
        <is>
          <t>Uma Maheshwari</t>
        </is>
      </c>
      <c r="B7" s="3" t="n">
        <v>26658</v>
      </c>
      <c r="C7" s="3" t="n">
        <v>36474</v>
      </c>
      <c r="D7" s="11" t="n">
        <v>112000</v>
      </c>
      <c r="E7" s="7" t="n"/>
      <c r="F7" s="12" t="n"/>
      <c r="G7" s="13" t="n"/>
      <c r="H7" s="4" t="n"/>
    </row>
    <row r="8">
      <c r="A8" t="inlineStr">
        <is>
          <t>Varun Kapoor</t>
        </is>
      </c>
      <c r="B8" s="3" t="n">
        <v>32272</v>
      </c>
      <c r="C8" s="3" t="n">
        <v>44105</v>
      </c>
      <c r="D8" s="11" t="n">
        <v>54000</v>
      </c>
      <c r="E8" s="7" t="n"/>
      <c r="F8" s="12" t="n"/>
      <c r="G8" s="13" t="n"/>
      <c r="H8" s="4" t="n"/>
    </row>
    <row r="9">
      <c r="A9" t="inlineStr">
        <is>
          <t>Yasmin Ansari</t>
        </is>
      </c>
      <c r="B9" s="3" t="n">
        <v>33986</v>
      </c>
      <c r="C9" s="3" t="n">
        <v>44301</v>
      </c>
      <c r="D9" s="11" t="n">
        <v>41000</v>
      </c>
      <c r="E9" s="7" t="n"/>
      <c r="F9" s="12" t="n"/>
      <c r="G9" s="13" t="n"/>
      <c r="H9" s="4" t="n"/>
    </row>
    <row r="11">
      <c r="A11" s="10" t="inlineStr">
        <is>
          <t>Gratuity estimate = Basic+DA x 15/26 x completed years (6+ months counts as a year), only after 5 years of service, capped at ₹20 lakh. Simplified for practice.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7" customWidth="1" min="5" max="5"/>
    <col width="10" customWidth="1" min="6" max="6"/>
    <col width="13" customWidth="1" min="7" max="7"/>
    <col width="13" customWidth="1" min="8" max="8"/>
    <col width="3" customWidth="1" min="9" max="9"/>
    <col width="7" customWidth="1" min="10" max="10"/>
    <col width="12" customWidth="1" min="11" max="11"/>
  </cols>
  <sheetData>
    <row r="1">
      <c r="A1" s="2" t="inlineStr">
        <is>
          <t>Name</t>
        </is>
      </c>
      <c r="B1" s="2" t="inlineStr">
        <is>
          <t>Date of birth</t>
        </is>
      </c>
      <c r="C1" s="2" t="inlineStr">
        <is>
          <t>Date of joining</t>
        </is>
      </c>
      <c r="D1" s="2" t="inlineStr">
        <is>
          <t>Basic + DA (₹/month)</t>
        </is>
      </c>
      <c r="E1" s="2" t="inlineStr">
        <is>
          <t>Age</t>
        </is>
      </c>
      <c r="F1" s="2" t="inlineStr">
        <is>
          <t>Service (years)</t>
        </is>
      </c>
      <c r="G1" s="2" t="inlineStr">
        <is>
          <t>Gratuity (₹)</t>
        </is>
      </c>
      <c r="H1" s="2" t="inlineStr">
        <is>
          <t>Retirement date (60)</t>
        </is>
      </c>
      <c r="J1" s="8" t="inlineStr">
        <is>
          <t>As on</t>
        </is>
      </c>
      <c r="K1" s="3" t="n">
        <v>46112</v>
      </c>
    </row>
    <row r="2">
      <c r="A2" t="inlineStr">
        <is>
          <t>Suresh Iyer</t>
        </is>
      </c>
      <c r="B2" s="3" t="n">
        <v>25031</v>
      </c>
      <c r="C2" s="3" t="n">
        <v>38139</v>
      </c>
      <c r="D2" s="11" t="n">
        <v>98000</v>
      </c>
      <c r="E2" s="7">
        <f>DATEDIF(B2,$K$1,"Y")&amp;" y "&amp;DATEDIF(B2,$K$1,"YM")&amp;" m "&amp;DATEDIF(B2,$K$1,"MD")&amp;" d"</f>
        <v/>
      </c>
      <c r="F2" s="12">
        <f>ROUND(YEARFRAC(C2,$K$1,1),2)</f>
        <v/>
      </c>
      <c r="G2" s="13">
        <f>IF(F2&gt;=5,ROUND(D2*15/26*ROUND(F2,0),0),0)</f>
        <v/>
      </c>
      <c r="H2" s="4">
        <f>EOMONTH(EDATE(B2,720),0)</f>
        <v/>
      </c>
    </row>
    <row r="3">
      <c r="A3" t="inlineStr">
        <is>
          <t>Anita Kulkarni</t>
        </is>
      </c>
      <c r="B3" s="3" t="n">
        <v>31106</v>
      </c>
      <c r="C3" s="3" t="n">
        <v>42628</v>
      </c>
      <c r="D3" s="11" t="n">
        <v>62000</v>
      </c>
      <c r="E3" s="7">
        <f>DATEDIF(B3,$K$1,"Y")&amp;" y "&amp;DATEDIF(B3,$K$1,"YM")&amp;" m "&amp;DATEDIF(B3,$K$1,"MD")&amp;" d"</f>
        <v/>
      </c>
      <c r="F3" s="12">
        <f>ROUND(YEARFRAC(C3,$K$1,1),2)</f>
        <v/>
      </c>
      <c r="G3" s="13">
        <f>IF(F3&gt;=5,ROUND(D3*15/26*ROUND(F3,0),0),0)</f>
        <v/>
      </c>
      <c r="H3" s="4">
        <f>EOMONTH(EDATE(B3,720),0)</f>
        <v/>
      </c>
    </row>
    <row r="4">
      <c r="A4" t="inlineStr">
        <is>
          <t>Rakesh Yadav</t>
        </is>
      </c>
      <c r="B4" s="3" t="n">
        <v>33182</v>
      </c>
      <c r="C4" s="3" t="n">
        <v>44200</v>
      </c>
      <c r="D4" s="11" t="n">
        <v>45000</v>
      </c>
      <c r="E4" s="7">
        <f>DATEDIF(B4,$K$1,"Y")&amp;" y "&amp;DATEDIF(B4,$K$1,"YM")&amp;" m "&amp;DATEDIF(B4,$K$1,"MD")&amp;" d"</f>
        <v/>
      </c>
      <c r="F4" s="12">
        <f>ROUND(YEARFRAC(C4,$K$1,1),2)</f>
        <v/>
      </c>
      <c r="G4" s="13">
        <f>IF(F4&gt;=5,ROUND(D4*15/26*ROUND(F4,0),0),0)</f>
        <v/>
      </c>
      <c r="H4" s="4">
        <f>EOMONTH(EDATE(B4,720),0)</f>
        <v/>
      </c>
    </row>
    <row r="5">
      <c r="A5" t="inlineStr">
        <is>
          <t>Shalini Menon</t>
        </is>
      </c>
      <c r="B5" s="3" t="n">
        <v>28945</v>
      </c>
      <c r="C5" s="3" t="n">
        <v>39904</v>
      </c>
      <c r="D5" s="11" t="n">
        <v>87500</v>
      </c>
      <c r="E5" s="7">
        <f>DATEDIF(B5,$K$1,"Y")&amp;" y "&amp;DATEDIF(B5,$K$1,"YM")&amp;" m "&amp;DATEDIF(B5,$K$1,"MD")&amp;" d"</f>
        <v/>
      </c>
      <c r="F5" s="12">
        <f>ROUND(YEARFRAC(C5,$K$1,1),2)</f>
        <v/>
      </c>
      <c r="G5" s="13">
        <f>IF(F5&gt;=5,ROUND(D5*15/26*ROUND(F5,0),0),0)</f>
        <v/>
      </c>
      <c r="H5" s="4">
        <f>EOMONTH(EDATE(B5,720),0)</f>
        <v/>
      </c>
    </row>
    <row r="6">
      <c r="A6" t="inlineStr">
        <is>
          <t>Tarun Bhatia</t>
        </is>
      </c>
      <c r="B6" s="3" t="n">
        <v>34930</v>
      </c>
      <c r="C6" s="3" t="n">
        <v>44774</v>
      </c>
      <c r="D6" s="11" t="n">
        <v>38000</v>
      </c>
      <c r="E6" s="7">
        <f>DATEDIF(B6,$K$1,"Y")&amp;" y "&amp;DATEDIF(B6,$K$1,"YM")&amp;" m "&amp;DATEDIF(B6,$K$1,"MD")&amp;" d"</f>
        <v/>
      </c>
      <c r="F6" s="12">
        <f>ROUND(YEARFRAC(C6,$K$1,1),2)</f>
        <v/>
      </c>
      <c r="G6" s="13">
        <f>IF(F6&gt;=5,ROUND(D6*15/26*ROUND(F6,0),0),0)</f>
        <v/>
      </c>
      <c r="H6" s="4">
        <f>EOMONTH(EDATE(B6,720),0)</f>
        <v/>
      </c>
    </row>
    <row r="7">
      <c r="A7" t="inlineStr">
        <is>
          <t>Uma Maheshwari</t>
        </is>
      </c>
      <c r="B7" s="3" t="n">
        <v>26658</v>
      </c>
      <c r="C7" s="3" t="n">
        <v>36474</v>
      </c>
      <c r="D7" s="11" t="n">
        <v>112000</v>
      </c>
      <c r="E7" s="7">
        <f>DATEDIF(B7,$K$1,"Y")&amp;" y "&amp;DATEDIF(B7,$K$1,"YM")&amp;" m "&amp;DATEDIF(B7,$K$1,"MD")&amp;" d"</f>
        <v/>
      </c>
      <c r="F7" s="12">
        <f>ROUND(YEARFRAC(C7,$K$1,1),2)</f>
        <v/>
      </c>
      <c r="G7" s="13">
        <f>IF(F7&gt;=5,ROUND(D7*15/26*ROUND(F7,0),0),0)</f>
        <v/>
      </c>
      <c r="H7" s="4">
        <f>EOMONTH(EDATE(B7,720),0)</f>
        <v/>
      </c>
    </row>
    <row r="8">
      <c r="A8" t="inlineStr">
        <is>
          <t>Varun Kapoor</t>
        </is>
      </c>
      <c r="B8" s="3" t="n">
        <v>32272</v>
      </c>
      <c r="C8" s="3" t="n">
        <v>44105</v>
      </c>
      <c r="D8" s="11" t="n">
        <v>54000</v>
      </c>
      <c r="E8" s="7">
        <f>DATEDIF(B8,$K$1,"Y")&amp;" y "&amp;DATEDIF(B8,$K$1,"YM")&amp;" m "&amp;DATEDIF(B8,$K$1,"MD")&amp;" d"</f>
        <v/>
      </c>
      <c r="F8" s="12">
        <f>ROUND(YEARFRAC(C8,$K$1,1),2)</f>
        <v/>
      </c>
      <c r="G8" s="13">
        <f>IF(F8&gt;=5,ROUND(D8*15/26*ROUND(F8,0),0),0)</f>
        <v/>
      </c>
      <c r="H8" s="4">
        <f>EOMONTH(EDATE(B8,720),0)</f>
        <v/>
      </c>
    </row>
    <row r="9">
      <c r="A9" t="inlineStr">
        <is>
          <t>Yasmin Ansari</t>
        </is>
      </c>
      <c r="B9" s="3" t="n">
        <v>33986</v>
      </c>
      <c r="C9" s="3" t="n">
        <v>44301</v>
      </c>
      <c r="D9" s="11" t="n">
        <v>41000</v>
      </c>
      <c r="E9" s="7">
        <f>DATEDIF(B9,$K$1,"Y")&amp;" y "&amp;DATEDIF(B9,$K$1,"YM")&amp;" m "&amp;DATEDIF(B9,$K$1,"MD")&amp;" d"</f>
        <v/>
      </c>
      <c r="F9" s="12">
        <f>ROUND(YEARFRAC(C9,$K$1,1),2)</f>
        <v/>
      </c>
      <c r="G9" s="13">
        <f>IF(F9&gt;=5,ROUND(D9*15/26*ROUND(F9,0),0),0)</f>
        <v/>
      </c>
      <c r="H9" s="4">
        <f>EOMONTH(EDATE(B9,720),0)</f>
        <v/>
      </c>
    </row>
    <row r="11">
      <c r="A11" s="10" t="inlineStr">
        <is>
          <t>Gratuity estimate = Basic+DA x 15/26 x completed years (6+ months counts as a year), only after 5 years of service, capped at ₹20 lakh. Simplified for practice.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8" customWidth="1" min="4" max="4"/>
    <col width="13" customWidth="1" min="5" max="5"/>
  </cols>
  <sheetData>
    <row r="1">
      <c r="A1" s="2" t="inlineStr">
        <is>
          <t>Invoice</t>
        </is>
      </c>
      <c r="B1" s="2" t="inlineStr">
        <is>
          <t>Invoice date</t>
        </is>
      </c>
      <c r="C1" s="2" t="inlineStr">
        <is>
          <t>Financial year</t>
        </is>
      </c>
      <c r="D1" s="2" t="inlineStr">
        <is>
          <t>Quarter</t>
        </is>
      </c>
      <c r="E1" s="2" t="inlineStr">
        <is>
          <t>FY start date</t>
        </is>
      </c>
    </row>
    <row r="2">
      <c r="A2" t="inlineStr">
        <is>
          <t>INV-1001</t>
        </is>
      </c>
      <c r="B2" s="3" t="n">
        <v>46037</v>
      </c>
      <c r="C2" s="7" t="n"/>
      <c r="D2" s="7" t="n"/>
      <c r="E2" s="4" t="n"/>
    </row>
    <row r="3">
      <c r="A3" t="inlineStr">
        <is>
          <t>INV-1002</t>
        </is>
      </c>
      <c r="B3" s="3" t="n">
        <v>46112</v>
      </c>
      <c r="C3" s="7" t="n"/>
      <c r="D3" s="7" t="n"/>
      <c r="E3" s="4" t="n"/>
    </row>
    <row r="4">
      <c r="A4" t="inlineStr">
        <is>
          <t>INV-1003</t>
        </is>
      </c>
      <c r="B4" s="3" t="n">
        <v>46113</v>
      </c>
      <c r="C4" s="7" t="n"/>
      <c r="D4" s="7" t="n"/>
      <c r="E4" s="4" t="n"/>
    </row>
    <row r="5">
      <c r="A5" t="inlineStr">
        <is>
          <t>INV-1004</t>
        </is>
      </c>
      <c r="B5" s="3" t="n">
        <v>46203</v>
      </c>
      <c r="C5" s="7" t="n"/>
      <c r="D5" s="7" t="n"/>
      <c r="E5" s="4" t="n"/>
    </row>
    <row r="6">
      <c r="A6" t="inlineStr">
        <is>
          <t>INV-1005</t>
        </is>
      </c>
      <c r="B6" s="3" t="n">
        <v>46204</v>
      </c>
      <c r="C6" s="7" t="n"/>
      <c r="D6" s="7" t="n"/>
      <c r="E6" s="4" t="n"/>
    </row>
    <row r="7">
      <c r="A7" t="inlineStr">
        <is>
          <t>INV-1006</t>
        </is>
      </c>
      <c r="B7" s="3" t="n">
        <v>46283</v>
      </c>
      <c r="C7" s="7" t="n"/>
      <c r="D7" s="7" t="n"/>
      <c r="E7" s="4" t="n"/>
    </row>
    <row r="8">
      <c r="A8" t="inlineStr">
        <is>
          <t>INV-1007</t>
        </is>
      </c>
      <c r="B8" s="3" t="n">
        <v>46297</v>
      </c>
      <c r="C8" s="7" t="n"/>
      <c r="D8" s="7" t="n"/>
      <c r="E8" s="4" t="n"/>
    </row>
    <row r="9">
      <c r="A9" t="inlineStr">
        <is>
          <t>INV-1008</t>
        </is>
      </c>
      <c r="B9" s="3" t="n">
        <v>46387</v>
      </c>
      <c r="C9" s="7" t="n"/>
      <c r="D9" s="7" t="n"/>
      <c r="E9" s="4" t="n"/>
    </row>
    <row r="10">
      <c r="A10" t="inlineStr">
        <is>
          <t>INV-1009</t>
        </is>
      </c>
      <c r="B10" s="3" t="n">
        <v>46388</v>
      </c>
      <c r="C10" s="7" t="n"/>
      <c r="D10" s="7" t="n"/>
      <c r="E10" s="4" t="n"/>
    </row>
    <row r="11">
      <c r="A11" t="inlineStr">
        <is>
          <t>INV-1010</t>
        </is>
      </c>
      <c r="B11" s="3" t="n">
        <v>46461</v>
      </c>
      <c r="C11" s="7" t="n"/>
      <c r="D11" s="7" t="n"/>
      <c r="E11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8" customWidth="1" min="4" max="4"/>
    <col width="13" customWidth="1" min="5" max="5"/>
  </cols>
  <sheetData>
    <row r="1">
      <c r="A1" s="2" t="inlineStr">
        <is>
          <t>Invoice</t>
        </is>
      </c>
      <c r="B1" s="2" t="inlineStr">
        <is>
          <t>Invoice date</t>
        </is>
      </c>
      <c r="C1" s="2" t="inlineStr">
        <is>
          <t>Financial year</t>
        </is>
      </c>
      <c r="D1" s="2" t="inlineStr">
        <is>
          <t>Quarter</t>
        </is>
      </c>
      <c r="E1" s="2" t="inlineStr">
        <is>
          <t>FY start date</t>
        </is>
      </c>
    </row>
    <row r="2">
      <c r="A2" t="inlineStr">
        <is>
          <t>INV-1001</t>
        </is>
      </c>
      <c r="B2" s="3" t="n">
        <v>46037</v>
      </c>
      <c r="C2" s="7">
        <f>"FY "&amp;(YEAR(B2)-(MONTH(B2)&lt;4))&amp;"-"&amp;RIGHT(YEAR(B2)-(MONTH(B2)&lt;4)+1,2)</f>
        <v/>
      </c>
      <c r="D2" s="7">
        <f>"Q"&amp;(INT(MOD(MONTH(B2)-4,12)/3)+1)</f>
        <v/>
      </c>
      <c r="E2" s="4">
        <f>DATE(YEAR(B2)-(MONTH(B2)&lt;4),4,1)</f>
        <v/>
      </c>
    </row>
    <row r="3">
      <c r="A3" t="inlineStr">
        <is>
          <t>INV-1002</t>
        </is>
      </c>
      <c r="B3" s="3" t="n">
        <v>46112</v>
      </c>
      <c r="C3" s="7">
        <f>"FY "&amp;(YEAR(B3)-(MONTH(B3)&lt;4))&amp;"-"&amp;RIGHT(YEAR(B3)-(MONTH(B3)&lt;4)+1,2)</f>
        <v/>
      </c>
      <c r="D3" s="7">
        <f>"Q"&amp;(INT(MOD(MONTH(B3)-4,12)/3)+1)</f>
        <v/>
      </c>
      <c r="E3" s="4">
        <f>DATE(YEAR(B3)-(MONTH(B3)&lt;4),4,1)</f>
        <v/>
      </c>
    </row>
    <row r="4">
      <c r="A4" t="inlineStr">
        <is>
          <t>INV-1003</t>
        </is>
      </c>
      <c r="B4" s="3" t="n">
        <v>46113</v>
      </c>
      <c r="C4" s="7">
        <f>"FY "&amp;(YEAR(B4)-(MONTH(B4)&lt;4))&amp;"-"&amp;RIGHT(YEAR(B4)-(MONTH(B4)&lt;4)+1,2)</f>
        <v/>
      </c>
      <c r="D4" s="7">
        <f>"Q"&amp;(INT(MOD(MONTH(B4)-4,12)/3)+1)</f>
        <v/>
      </c>
      <c r="E4" s="4">
        <f>DATE(YEAR(B4)-(MONTH(B4)&lt;4),4,1)</f>
        <v/>
      </c>
    </row>
    <row r="5">
      <c r="A5" t="inlineStr">
        <is>
          <t>INV-1004</t>
        </is>
      </c>
      <c r="B5" s="3" t="n">
        <v>46203</v>
      </c>
      <c r="C5" s="7">
        <f>"FY "&amp;(YEAR(B5)-(MONTH(B5)&lt;4))&amp;"-"&amp;RIGHT(YEAR(B5)-(MONTH(B5)&lt;4)+1,2)</f>
        <v/>
      </c>
      <c r="D5" s="7">
        <f>"Q"&amp;(INT(MOD(MONTH(B5)-4,12)/3)+1)</f>
        <v/>
      </c>
      <c r="E5" s="4">
        <f>DATE(YEAR(B5)-(MONTH(B5)&lt;4),4,1)</f>
        <v/>
      </c>
    </row>
    <row r="6">
      <c r="A6" t="inlineStr">
        <is>
          <t>INV-1005</t>
        </is>
      </c>
      <c r="B6" s="3" t="n">
        <v>46204</v>
      </c>
      <c r="C6" s="7">
        <f>"FY "&amp;(YEAR(B6)-(MONTH(B6)&lt;4))&amp;"-"&amp;RIGHT(YEAR(B6)-(MONTH(B6)&lt;4)+1,2)</f>
        <v/>
      </c>
      <c r="D6" s="7">
        <f>"Q"&amp;(INT(MOD(MONTH(B6)-4,12)/3)+1)</f>
        <v/>
      </c>
      <c r="E6" s="4">
        <f>DATE(YEAR(B6)-(MONTH(B6)&lt;4),4,1)</f>
        <v/>
      </c>
    </row>
    <row r="7">
      <c r="A7" t="inlineStr">
        <is>
          <t>INV-1006</t>
        </is>
      </c>
      <c r="B7" s="3" t="n">
        <v>46283</v>
      </c>
      <c r="C7" s="7">
        <f>"FY "&amp;(YEAR(B7)-(MONTH(B7)&lt;4))&amp;"-"&amp;RIGHT(YEAR(B7)-(MONTH(B7)&lt;4)+1,2)</f>
        <v/>
      </c>
      <c r="D7" s="7">
        <f>"Q"&amp;(INT(MOD(MONTH(B7)-4,12)/3)+1)</f>
        <v/>
      </c>
      <c r="E7" s="4">
        <f>DATE(YEAR(B7)-(MONTH(B7)&lt;4),4,1)</f>
        <v/>
      </c>
    </row>
    <row r="8">
      <c r="A8" t="inlineStr">
        <is>
          <t>INV-1007</t>
        </is>
      </c>
      <c r="B8" s="3" t="n">
        <v>46297</v>
      </c>
      <c r="C8" s="7">
        <f>"FY "&amp;(YEAR(B8)-(MONTH(B8)&lt;4))&amp;"-"&amp;RIGHT(YEAR(B8)-(MONTH(B8)&lt;4)+1,2)</f>
        <v/>
      </c>
      <c r="D8" s="7">
        <f>"Q"&amp;(INT(MOD(MONTH(B8)-4,12)/3)+1)</f>
        <v/>
      </c>
      <c r="E8" s="4">
        <f>DATE(YEAR(B8)-(MONTH(B8)&lt;4),4,1)</f>
        <v/>
      </c>
    </row>
    <row r="9">
      <c r="A9" t="inlineStr">
        <is>
          <t>INV-1008</t>
        </is>
      </c>
      <c r="B9" s="3" t="n">
        <v>46387</v>
      </c>
      <c r="C9" s="7">
        <f>"FY "&amp;(YEAR(B9)-(MONTH(B9)&lt;4))&amp;"-"&amp;RIGHT(YEAR(B9)-(MONTH(B9)&lt;4)+1,2)</f>
        <v/>
      </c>
      <c r="D9" s="7">
        <f>"Q"&amp;(INT(MOD(MONTH(B9)-4,12)/3)+1)</f>
        <v/>
      </c>
      <c r="E9" s="4">
        <f>DATE(YEAR(B9)-(MONTH(B9)&lt;4),4,1)</f>
        <v/>
      </c>
    </row>
    <row r="10">
      <c r="A10" t="inlineStr">
        <is>
          <t>INV-1009</t>
        </is>
      </c>
      <c r="B10" s="3" t="n">
        <v>46388</v>
      </c>
      <c r="C10" s="7">
        <f>"FY "&amp;(YEAR(B10)-(MONTH(B10)&lt;4))&amp;"-"&amp;RIGHT(YEAR(B10)-(MONTH(B10)&lt;4)+1,2)</f>
        <v/>
      </c>
      <c r="D10" s="7">
        <f>"Q"&amp;(INT(MOD(MONTH(B10)-4,12)/3)+1)</f>
        <v/>
      </c>
      <c r="E10" s="4">
        <f>DATE(YEAR(B10)-(MONTH(B10)&lt;4),4,1)</f>
        <v/>
      </c>
    </row>
    <row r="11">
      <c r="A11" t="inlineStr">
        <is>
          <t>INV-1010</t>
        </is>
      </c>
      <c r="B11" s="3" t="n">
        <v>46461</v>
      </c>
      <c r="C11" s="7">
        <f>"FY "&amp;(YEAR(B11)-(MONTH(B11)&lt;4))&amp;"-"&amp;RIGHT(YEAR(B11)-(MONTH(B11)&lt;4)+1,2)</f>
        <v/>
      </c>
      <c r="D11" s="7">
        <f>"Q"&amp;(INT(MOD(MONTH(B11)-4,12)/3)+1)</f>
        <v/>
      </c>
      <c r="E11" s="4">
        <f>DATE(YEAR(B11)-(MONTH(B11)&lt;4),4,1)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10" customWidth="1" min="5" max="5"/>
    <col width="11" customWidth="1" min="6" max="6"/>
    <col width="10" customWidth="1" min="7" max="7"/>
    <col width="12" customWidth="1" min="8" max="8"/>
  </cols>
  <sheetData>
    <row r="1">
      <c r="A1" s="2" t="inlineStr">
        <is>
          <t>Employee</t>
        </is>
      </c>
      <c r="B1" s="2" t="inlineStr">
        <is>
          <t>Date</t>
        </is>
      </c>
      <c r="C1" s="2" t="inlineStr">
        <is>
          <t>In</t>
        </is>
      </c>
      <c r="D1" s="2" t="inlineStr">
        <is>
          <t>Out</t>
        </is>
      </c>
      <c r="E1" s="2" t="inlineStr">
        <is>
          <t>Hours worked</t>
        </is>
      </c>
      <c r="F1" s="2" t="inlineStr">
        <is>
          <t>Overtime (over 9h)</t>
        </is>
      </c>
      <c r="G1" s="2" t="inlineStr">
        <is>
          <t>Hours (decimal)</t>
        </is>
      </c>
      <c r="H1" s="2" t="inlineStr">
        <is>
          <t>Overtime pay (₹)</t>
        </is>
      </c>
      <c r="J1" t="inlineStr">
        <is>
          <t>Overtime rate: ₹250 per hour</t>
        </is>
      </c>
    </row>
    <row r="2">
      <c r="A2" t="inlineStr">
        <is>
          <t>Ramesh Yadav</t>
        </is>
      </c>
      <c r="B2" s="3" t="n">
        <v>46118</v>
      </c>
      <c r="C2" s="5" t="n">
        <v>0.375</v>
      </c>
      <c r="D2" s="5" t="n">
        <v>0.75</v>
      </c>
      <c r="E2" s="6" t="n"/>
      <c r="F2" s="6" t="n"/>
      <c r="G2" s="12" t="n"/>
      <c r="H2" s="13" t="n"/>
    </row>
    <row r="3">
      <c r="A3" t="inlineStr">
        <is>
          <t>Ramesh Yadav</t>
        </is>
      </c>
      <c r="B3" s="3" t="n">
        <v>46119</v>
      </c>
      <c r="C3" s="5" t="n">
        <v>0.3854166666666667</v>
      </c>
      <c r="D3" s="5" t="n">
        <v>0.8645833333333334</v>
      </c>
      <c r="E3" s="6" t="n"/>
      <c r="F3" s="6" t="n"/>
      <c r="G3" s="12" t="n"/>
      <c r="H3" s="13" t="n"/>
    </row>
    <row r="4">
      <c r="A4" t="inlineStr">
        <is>
          <t>Sunita Rawat</t>
        </is>
      </c>
      <c r="B4" s="3" t="n">
        <v>46118</v>
      </c>
      <c r="C4" s="5" t="n">
        <v>0.5833333333333334</v>
      </c>
      <c r="D4" s="5" t="n">
        <v>0.9583333333333334</v>
      </c>
      <c r="E4" s="6" t="n"/>
      <c r="F4" s="6" t="n"/>
      <c r="G4" s="12" t="n"/>
      <c r="H4" s="13" t="n"/>
    </row>
    <row r="5">
      <c r="A5" t="inlineStr">
        <is>
          <t>Sunita Rawat</t>
        </is>
      </c>
      <c r="B5" s="3" t="n">
        <v>46119</v>
      </c>
      <c r="C5" s="5" t="n">
        <v>0.5833333333333334</v>
      </c>
      <c r="D5" s="5" t="n">
        <v>0.9791666666666666</v>
      </c>
      <c r="E5" s="6" t="n"/>
      <c r="F5" s="6" t="n"/>
      <c r="G5" s="12" t="n"/>
      <c r="H5" s="13" t="n"/>
    </row>
    <row r="6">
      <c r="A6" t="inlineStr">
        <is>
          <t>Imtiaz Ahmed</t>
        </is>
      </c>
      <c r="B6" s="3" t="n">
        <v>46118</v>
      </c>
      <c r="C6" s="5" t="n">
        <v>0.9166666666666666</v>
      </c>
      <c r="D6" s="5" t="n">
        <v>0.25</v>
      </c>
      <c r="E6" s="6" t="n"/>
      <c r="F6" s="6" t="n"/>
      <c r="G6" s="12" t="n"/>
      <c r="H6" s="13" t="n"/>
    </row>
    <row r="7">
      <c r="A7" t="inlineStr">
        <is>
          <t>Imtiaz Ahmed</t>
        </is>
      </c>
      <c r="B7" s="3" t="n">
        <v>46119</v>
      </c>
      <c r="C7" s="5" t="n">
        <v>0.9166666666666666</v>
      </c>
      <c r="D7" s="5" t="n">
        <v>0.3125</v>
      </c>
      <c r="E7" s="6" t="n"/>
      <c r="F7" s="6" t="n"/>
      <c r="G7" s="12" t="n"/>
      <c r="H7" s="13" t="n"/>
    </row>
    <row r="8">
      <c r="A8" t="inlineStr">
        <is>
          <t>Kavitha Rao</t>
        </is>
      </c>
      <c r="B8" s="3" t="n">
        <v>46118</v>
      </c>
      <c r="C8" s="5" t="n">
        <v>0.25</v>
      </c>
      <c r="D8" s="5" t="n">
        <v>0.6458333333333334</v>
      </c>
      <c r="E8" s="6" t="n"/>
      <c r="F8" s="6" t="n"/>
      <c r="G8" s="12" t="n"/>
      <c r="H8" s="13" t="n"/>
    </row>
    <row r="9">
      <c r="A9" t="inlineStr">
        <is>
          <t>Kavitha Rao</t>
        </is>
      </c>
      <c r="B9" s="3" t="n">
        <v>46119</v>
      </c>
      <c r="C9" s="5" t="n">
        <v>0.25</v>
      </c>
      <c r="D9" s="5" t="n">
        <v>0.5833333333333334</v>
      </c>
      <c r="E9" s="6" t="n"/>
      <c r="F9" s="6" t="n"/>
      <c r="G9" s="12" t="n"/>
      <c r="H9" s="13" t="n"/>
    </row>
    <row r="10">
      <c r="A10" t="inlineStr">
        <is>
          <t>Joseph Mathew</t>
        </is>
      </c>
      <c r="B10" s="3" t="n">
        <v>46118</v>
      </c>
      <c r="C10" s="5" t="n">
        <v>0.8958333333333334</v>
      </c>
      <c r="D10" s="5" t="n">
        <v>0.3333333333333333</v>
      </c>
      <c r="E10" s="6" t="n"/>
      <c r="F10" s="6" t="n"/>
      <c r="G10" s="12" t="n"/>
      <c r="H10" s="13" t="n"/>
    </row>
    <row r="12">
      <c r="A12" s="8" t="inlineStr">
        <is>
          <t>Total</t>
        </is>
      </c>
      <c r="E12" s="6" t="n"/>
      <c r="F12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7" customWidth="1" min="4" max="4"/>
    <col width="10" customWidth="1" min="5" max="5"/>
    <col width="11" customWidth="1" min="6" max="6"/>
    <col width="10" customWidth="1" min="7" max="7"/>
    <col width="12" customWidth="1" min="8" max="8"/>
  </cols>
  <sheetData>
    <row r="1">
      <c r="A1" s="2" t="inlineStr">
        <is>
          <t>Employee</t>
        </is>
      </c>
      <c r="B1" s="2" t="inlineStr">
        <is>
          <t>Date</t>
        </is>
      </c>
      <c r="C1" s="2" t="inlineStr">
        <is>
          <t>In</t>
        </is>
      </c>
      <c r="D1" s="2" t="inlineStr">
        <is>
          <t>Out</t>
        </is>
      </c>
      <c r="E1" s="2" t="inlineStr">
        <is>
          <t>Hours worked</t>
        </is>
      </c>
      <c r="F1" s="2" t="inlineStr">
        <is>
          <t>Overtime (over 9h)</t>
        </is>
      </c>
      <c r="G1" s="2" t="inlineStr">
        <is>
          <t>Hours (decimal)</t>
        </is>
      </c>
      <c r="H1" s="2" t="inlineStr">
        <is>
          <t>Overtime pay (₹)</t>
        </is>
      </c>
      <c r="J1" t="inlineStr">
        <is>
          <t>Overtime rate: ₹250 per hour</t>
        </is>
      </c>
    </row>
    <row r="2">
      <c r="A2" t="inlineStr">
        <is>
          <t>Ramesh Yadav</t>
        </is>
      </c>
      <c r="B2" s="3" t="n">
        <v>46118</v>
      </c>
      <c r="C2" s="5" t="n">
        <v>0.375</v>
      </c>
      <c r="D2" s="5" t="n">
        <v>0.75</v>
      </c>
      <c r="E2" s="6">
        <f>MOD(D2-C2,1)</f>
        <v/>
      </c>
      <c r="F2" s="6">
        <f>MAX(0,E2-TIME(9,0,0))</f>
        <v/>
      </c>
      <c r="G2" s="12">
        <f>E2*24</f>
        <v/>
      </c>
      <c r="H2" s="13">
        <f>F2*24*250</f>
        <v/>
      </c>
    </row>
    <row r="3">
      <c r="A3" t="inlineStr">
        <is>
          <t>Ramesh Yadav</t>
        </is>
      </c>
      <c r="B3" s="3" t="n">
        <v>46119</v>
      </c>
      <c r="C3" s="5" t="n">
        <v>0.3854166666666667</v>
      </c>
      <c r="D3" s="5" t="n">
        <v>0.8645833333333334</v>
      </c>
      <c r="E3" s="6">
        <f>MOD(D3-C3,1)</f>
        <v/>
      </c>
      <c r="F3" s="6">
        <f>MAX(0,E3-TIME(9,0,0))</f>
        <v/>
      </c>
      <c r="G3" s="12">
        <f>E3*24</f>
        <v/>
      </c>
      <c r="H3" s="13">
        <f>F3*24*250</f>
        <v/>
      </c>
    </row>
    <row r="4">
      <c r="A4" t="inlineStr">
        <is>
          <t>Sunita Rawat</t>
        </is>
      </c>
      <c r="B4" s="3" t="n">
        <v>46118</v>
      </c>
      <c r="C4" s="5" t="n">
        <v>0.5833333333333334</v>
      </c>
      <c r="D4" s="5" t="n">
        <v>0.9583333333333334</v>
      </c>
      <c r="E4" s="6">
        <f>MOD(D4-C4,1)</f>
        <v/>
      </c>
      <c r="F4" s="6">
        <f>MAX(0,E4-TIME(9,0,0))</f>
        <v/>
      </c>
      <c r="G4" s="12">
        <f>E4*24</f>
        <v/>
      </c>
      <c r="H4" s="13">
        <f>F4*24*250</f>
        <v/>
      </c>
    </row>
    <row r="5">
      <c r="A5" t="inlineStr">
        <is>
          <t>Sunita Rawat</t>
        </is>
      </c>
      <c r="B5" s="3" t="n">
        <v>46119</v>
      </c>
      <c r="C5" s="5" t="n">
        <v>0.5833333333333334</v>
      </c>
      <c r="D5" s="5" t="n">
        <v>0.9791666666666666</v>
      </c>
      <c r="E5" s="6">
        <f>MOD(D5-C5,1)</f>
        <v/>
      </c>
      <c r="F5" s="6">
        <f>MAX(0,E5-TIME(9,0,0))</f>
        <v/>
      </c>
      <c r="G5" s="12">
        <f>E5*24</f>
        <v/>
      </c>
      <c r="H5" s="13">
        <f>F5*24*250</f>
        <v/>
      </c>
    </row>
    <row r="6">
      <c r="A6" t="inlineStr">
        <is>
          <t>Imtiaz Ahmed</t>
        </is>
      </c>
      <c r="B6" s="3" t="n">
        <v>46118</v>
      </c>
      <c r="C6" s="5" t="n">
        <v>0.9166666666666666</v>
      </c>
      <c r="D6" s="5" t="n">
        <v>0.25</v>
      </c>
      <c r="E6" s="6">
        <f>MOD(D6-C6,1)</f>
        <v/>
      </c>
      <c r="F6" s="6">
        <f>MAX(0,E6-TIME(9,0,0))</f>
        <v/>
      </c>
      <c r="G6" s="12">
        <f>E6*24</f>
        <v/>
      </c>
      <c r="H6" s="13">
        <f>F6*24*250</f>
        <v/>
      </c>
    </row>
    <row r="7">
      <c r="A7" t="inlineStr">
        <is>
          <t>Imtiaz Ahmed</t>
        </is>
      </c>
      <c r="B7" s="3" t="n">
        <v>46119</v>
      </c>
      <c r="C7" s="5" t="n">
        <v>0.9166666666666666</v>
      </c>
      <c r="D7" s="5" t="n">
        <v>0.3125</v>
      </c>
      <c r="E7" s="6">
        <f>MOD(D7-C7,1)</f>
        <v/>
      </c>
      <c r="F7" s="6">
        <f>MAX(0,E7-TIME(9,0,0))</f>
        <v/>
      </c>
      <c r="G7" s="12">
        <f>E7*24</f>
        <v/>
      </c>
      <c r="H7" s="13">
        <f>F7*24*250</f>
        <v/>
      </c>
    </row>
    <row r="8">
      <c r="A8" t="inlineStr">
        <is>
          <t>Kavitha Rao</t>
        </is>
      </c>
      <c r="B8" s="3" t="n">
        <v>46118</v>
      </c>
      <c r="C8" s="5" t="n">
        <v>0.25</v>
      </c>
      <c r="D8" s="5" t="n">
        <v>0.6458333333333334</v>
      </c>
      <c r="E8" s="6">
        <f>MOD(D8-C8,1)</f>
        <v/>
      </c>
      <c r="F8" s="6">
        <f>MAX(0,E8-TIME(9,0,0))</f>
        <v/>
      </c>
      <c r="G8" s="12">
        <f>E8*24</f>
        <v/>
      </c>
      <c r="H8" s="13">
        <f>F8*24*250</f>
        <v/>
      </c>
    </row>
    <row r="9">
      <c r="A9" t="inlineStr">
        <is>
          <t>Kavitha Rao</t>
        </is>
      </c>
      <c r="B9" s="3" t="n">
        <v>46119</v>
      </c>
      <c r="C9" s="5" t="n">
        <v>0.25</v>
      </c>
      <c r="D9" s="5" t="n">
        <v>0.5833333333333334</v>
      </c>
      <c r="E9" s="6">
        <f>MOD(D9-C9,1)</f>
        <v/>
      </c>
      <c r="F9" s="6">
        <f>MAX(0,E9-TIME(9,0,0))</f>
        <v/>
      </c>
      <c r="G9" s="12">
        <f>E9*24</f>
        <v/>
      </c>
      <c r="H9" s="13">
        <f>F9*24*250</f>
        <v/>
      </c>
    </row>
    <row r="10">
      <c r="A10" t="inlineStr">
        <is>
          <t>Joseph Mathew</t>
        </is>
      </c>
      <c r="B10" s="3" t="n">
        <v>46118</v>
      </c>
      <c r="C10" s="5" t="n">
        <v>0.8958333333333334</v>
      </c>
      <c r="D10" s="5" t="n">
        <v>0.3333333333333333</v>
      </c>
      <c r="E10" s="6">
        <f>MOD(D10-C10,1)</f>
        <v/>
      </c>
      <c r="F10" s="6">
        <f>MAX(0,E10-TIME(9,0,0))</f>
        <v/>
      </c>
      <c r="G10" s="12">
        <f>E10*24</f>
        <v/>
      </c>
      <c r="H10" s="13">
        <f>F10*24*250</f>
        <v/>
      </c>
    </row>
    <row r="12">
      <c r="A12" s="8" t="inlineStr">
        <is>
          <t>Total</t>
        </is>
      </c>
      <c r="E12" s="14">
        <f>SUM(E2:E10)</f>
        <v/>
      </c>
      <c r="F12" s="14">
        <f>SUM(F2:F10)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</cols>
  <sheetData>
    <row r="1">
      <c r="A1" s="2" t="inlineStr">
        <is>
          <t>Date</t>
        </is>
      </c>
      <c r="B1" s="2" t="inlineStr">
        <is>
          <t>Holiday</t>
        </is>
      </c>
      <c r="C1" s="2" t="inlineStr">
        <is>
          <t>Type</t>
        </is>
      </c>
    </row>
    <row r="2">
      <c r="A2" s="3" t="n">
        <v>46048</v>
      </c>
      <c r="B2" t="inlineStr">
        <is>
          <t>Republic Day</t>
        </is>
      </c>
      <c r="C2" t="inlineStr">
        <is>
          <t>National holiday (fixed date)</t>
        </is>
      </c>
    </row>
    <row r="3">
      <c r="A3" s="3" t="n">
        <v>46085</v>
      </c>
      <c r="B3" t="inlineStr">
        <is>
          <t>Holi</t>
        </is>
      </c>
      <c r="C3" t="inlineStr">
        <is>
          <t>Festival: SAMPLE date, confirm with your HR list</t>
        </is>
      </c>
    </row>
    <row r="4">
      <c r="A4" s="3" t="n">
        <v>46101</v>
      </c>
      <c r="B4" t="inlineStr">
        <is>
          <t>Id-ul-Fitr</t>
        </is>
      </c>
      <c r="C4" t="inlineStr">
        <is>
          <t>Festival: SAMPLE date, confirm with your HR list</t>
        </is>
      </c>
    </row>
    <row r="5">
      <c r="A5" s="3" t="n">
        <v>46249</v>
      </c>
      <c r="B5" t="inlineStr">
        <is>
          <t>Independence Day</t>
        </is>
      </c>
      <c r="C5" t="inlineStr">
        <is>
          <t>National holiday (fixed date)</t>
        </is>
      </c>
    </row>
    <row r="6">
      <c r="A6" s="3" t="n">
        <v>46297</v>
      </c>
      <c r="B6" t="inlineStr">
        <is>
          <t>Gandhi Jayanti</t>
        </is>
      </c>
      <c r="C6" t="inlineStr">
        <is>
          <t>National holiday (fixed date)</t>
        </is>
      </c>
    </row>
    <row r="7">
      <c r="A7" s="3" t="n">
        <v>46315</v>
      </c>
      <c r="B7" t="inlineStr">
        <is>
          <t>Dussehra</t>
        </is>
      </c>
      <c r="C7" t="inlineStr">
        <is>
          <t>Festival: SAMPLE date, confirm with your HR list</t>
        </is>
      </c>
    </row>
    <row r="8">
      <c r="A8" s="3" t="n">
        <v>46335</v>
      </c>
      <c r="B8" t="inlineStr">
        <is>
          <t>Diwali</t>
        </is>
      </c>
      <c r="C8" t="inlineStr">
        <is>
          <t>Festival: SAMPLE date, confirm with your HR list</t>
        </is>
      </c>
    </row>
    <row r="9">
      <c r="A9" s="3" t="n">
        <v>46381</v>
      </c>
      <c r="B9" t="inlineStr">
        <is>
          <t>Christmas</t>
        </is>
      </c>
      <c r="C9" t="inlineStr">
        <is>
          <t>Gazetted holiday (fixed date)</t>
        </is>
      </c>
    </row>
    <row r="11">
      <c r="A11" s="10" t="inlineStr">
        <is>
          <t>Only Republic Day, Independence Day and Gandhi Jayanti are national holidays. Festival dates here are SAMPLES for practice; use your company's or state's official 2026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2026-10-23T10:13:21Z</dcterms:created>
  <dcterms:modified xmlns:dcterms="http://purl.org/dc/terms/" xmlns:xsi="http://www.w3.org/2001/XMLSchema-instance" xsi:type="dcterms:W3CDTF">2026-10-23T10:13:22Z</dcterms:modified>
</cp:coreProperties>
</file>