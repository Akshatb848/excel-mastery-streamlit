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7-01" sheetId="2" state="visible" r:id="rId2"/>
    <sheet xmlns:r="http://schemas.openxmlformats.org/officeDocument/2006/relationships" name="S07-01 Done" sheetId="3" state="visible" r:id="rId3"/>
    <sheet xmlns:r="http://schemas.openxmlformats.org/officeDocument/2006/relationships" name="S07-02" sheetId="4" state="visible" r:id="rId4"/>
    <sheet xmlns:r="http://schemas.openxmlformats.org/officeDocument/2006/relationships" name="S07-02 Done" sheetId="5" state="visible" r:id="rId5"/>
    <sheet xmlns:r="http://schemas.openxmlformats.org/officeDocument/2006/relationships" name="S07-03" sheetId="6" state="visible" r:id="rId6"/>
    <sheet xmlns:r="http://schemas.openxmlformats.org/officeDocument/2006/relationships" name="S07-03 Done" sheetId="7" state="visible" r:id="rId7"/>
    <sheet xmlns:r="http://schemas.openxmlformats.org/officeDocument/2006/relationships" name="S07-04" sheetId="8" state="visible" r:id="rId8"/>
    <sheet xmlns:r="http://schemas.openxmlformats.org/officeDocument/2006/relationships" name="S07-04 Done" sheetId="9" state="visible" r:id="rId9"/>
    <sheet xmlns:r="http://schemas.openxmlformats.org/officeDocument/2006/relationships" name="S07-05" sheetId="10" state="visible" r:id="rId10"/>
    <sheet xmlns:r="http://schemas.openxmlformats.org/officeDocument/2006/relationships" name="S07-05 Done" sheetId="11" state="visible" r:id="rId11"/>
    <sheet xmlns:r="http://schemas.openxmlformats.org/officeDocument/2006/relationships" name="S07-06" sheetId="12" state="visible" r:id="rId12"/>
    <sheet xmlns:r="http://schemas.openxmlformats.org/officeDocument/2006/relationships" name="S07-06 Done" sheetId="13" state="visible" r:id="rId13"/>
    <sheet xmlns:r="http://schemas.openxmlformats.org/officeDocument/2006/relationships" name="S07-07" sheetId="14" state="visible" r:id="rId14"/>
    <sheet xmlns:r="http://schemas.openxmlformats.org/officeDocument/2006/relationships" name="S07-07 Done" sheetId="15" state="visible" r:id="rId15"/>
    <sheet xmlns:r="http://schemas.openxmlformats.org/officeDocument/2006/relationships" name="S07-08" sheetId="16" state="visible" r:id="rId16"/>
    <sheet xmlns:r="http://schemas.openxmlformats.org/officeDocument/2006/relationships" name="S07-08 Done" sheetId="17" state="visible" r:id="rId17"/>
    <sheet xmlns:r="http://schemas.openxmlformats.org/officeDocument/2006/relationships" name="S07-09" sheetId="18" state="visible" r:id="rId18"/>
    <sheet xmlns:r="http://schemas.openxmlformats.org/officeDocument/2006/relationships" name="S07-09 Answers" sheetId="19" state="visible" r:id="rId19"/>
    <sheet xmlns:r="http://schemas.openxmlformats.org/officeDocument/2006/relationships" name="Mumbai" sheetId="20" state="visible" r:id="rId20"/>
    <sheet xmlns:r="http://schemas.openxmlformats.org/officeDocument/2006/relationships" name="Delhi" sheetId="21" state="visible" r:id="rId21"/>
    <sheet xmlns:r="http://schemas.openxmlformats.org/officeDocument/2006/relationships" name="Bengaluru" sheetId="22" state="visible" r:id="rId22"/>
    <sheet xmlns:r="http://schemas.openxmlformats.org/officeDocument/2006/relationships" name="Product Master" sheetId="23" state="visible" r:id="rId23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3">
    <numFmt numFmtId="164" formatCode="[&gt;=10000000]&quot;₹&quot;##\,##\,##\,##0;[&gt;=100000]&quot;₹&quot;##\,##\,##0;&quot;₹&quot;##,##0"/>
    <numFmt numFmtId="165" formatCode="yyyy-mm-dd"/>
    <numFmt numFmtId="166" formatCode="DD-MM-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i val="1"/>
      <color rgb="00595959"/>
    </font>
    <font>
      <b val="1"/>
      <color rgb="001F4E78"/>
    </font>
    <font>
      <b val="1"/>
      <color rgb="001F4E78"/>
      <sz val="14"/>
    </font>
    <font>
      <b val="1"/>
      <color rgb="001F4E78"/>
      <sz val="12"/>
    </font>
    <font>
      <b val="1"/>
      <color rgb="001F4E78"/>
      <sz val="16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pivotButton="0" quotePrefix="0" xfId="0"/>
    <xf numFmtId="164" fontId="0" fillId="0" borderId="0" pivotButton="0" quotePrefix="0" xfId="0"/>
    <xf numFmtId="9" fontId="0" fillId="3" borderId="0" pivotButton="0" quotePrefix="0" xfId="0"/>
    <xf numFmtId="9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5" customWidth="1" min="4" max="4"/>
    <col width="17" customWidth="1" min="5" max="5"/>
  </cols>
  <sheetData>
    <row r="1">
      <c r="A1" s="1" t="inlineStr">
        <is>
          <t>S07: Lookups</t>
        </is>
      </c>
    </row>
    <row r="2">
      <c r="A2" s="2" t="inlineStr">
        <is>
          <t>Excel Mastery for Mac. Practice workbook. Yellow cells are for you to fill in.</t>
        </is>
      </c>
    </row>
    <row r="4">
      <c r="A4" s="3" t="inlineStr">
        <is>
          <t>Lesson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Practice sheet</t>
        </is>
      </c>
      <c r="E4" s="3" t="inlineStr">
        <is>
          <t>Finished sheet</t>
        </is>
      </c>
    </row>
    <row r="5">
      <c r="A5" t="inlineStr">
        <is>
          <t>S07-01</t>
        </is>
      </c>
      <c r="B5" t="inlineStr">
        <is>
          <t>VLOOKUP, exact match</t>
        </is>
      </c>
      <c r="C5" t="inlineStr">
        <is>
          <t>demo</t>
        </is>
      </c>
      <c r="D5" t="inlineStr">
        <is>
          <t>S07-01</t>
        </is>
      </c>
      <c r="E5" t="inlineStr">
        <is>
          <t>S07-01 Done</t>
        </is>
      </c>
    </row>
    <row r="6">
      <c r="A6" t="inlineStr">
        <is>
          <t>S07-02</t>
        </is>
      </c>
      <c r="B6" t="inlineStr">
        <is>
          <t>Approximate match: commission and discount slabs</t>
        </is>
      </c>
      <c r="C6" t="inlineStr">
        <is>
          <t>demo</t>
        </is>
      </c>
      <c r="D6" t="inlineStr">
        <is>
          <t>S07-02</t>
        </is>
      </c>
      <c r="E6" t="inlineStr">
        <is>
          <t>S07-02 Done</t>
        </is>
      </c>
    </row>
    <row r="7">
      <c r="A7" t="inlineStr">
        <is>
          <t>S07-03</t>
        </is>
      </c>
      <c r="B7" t="inlineStr">
        <is>
          <t>HLOOKUP, INDEX and MATCH</t>
        </is>
      </c>
      <c r="C7" t="inlineStr">
        <is>
          <t>demo</t>
        </is>
      </c>
      <c r="D7" t="inlineStr">
        <is>
          <t>S07-03</t>
        </is>
      </c>
      <c r="E7" t="inlineStr">
        <is>
          <t>S07-03 Done</t>
        </is>
      </c>
    </row>
    <row r="8">
      <c r="A8" t="inlineStr">
        <is>
          <t>S07-04</t>
        </is>
      </c>
      <c r="B8" t="inlineStr">
        <is>
          <t>XLOOKUP: the modern lookup</t>
        </is>
      </c>
      <c r="C8" t="inlineStr">
        <is>
          <t>demo</t>
        </is>
      </c>
      <c r="D8" t="inlineStr">
        <is>
          <t>S07-04</t>
        </is>
      </c>
      <c r="E8" t="inlineStr">
        <is>
          <t>S07-04 Done</t>
        </is>
      </c>
    </row>
    <row r="9">
      <c r="A9" t="inlineStr">
        <is>
          <t>S07-05</t>
        </is>
      </c>
      <c r="B9" t="inlineStr">
        <is>
          <t>XLOOKUP advanced</t>
        </is>
      </c>
      <c r="C9" t="inlineStr">
        <is>
          <t>demo</t>
        </is>
      </c>
      <c r="D9" t="inlineStr">
        <is>
          <t>S07-05</t>
        </is>
      </c>
      <c r="E9" t="inlineStr">
        <is>
          <t>S07-05 Done</t>
        </is>
      </c>
    </row>
    <row r="10">
      <c r="A10" t="inlineStr">
        <is>
          <t>S07-06</t>
        </is>
      </c>
      <c r="B10" t="inlineStr">
        <is>
          <t>CHOOSE, CHOOSECOLS and CHOOSEROWS</t>
        </is>
      </c>
      <c r="C10" t="inlineStr">
        <is>
          <t>demo</t>
        </is>
      </c>
      <c r="D10" t="inlineStr">
        <is>
          <t>S07-06</t>
        </is>
      </c>
      <c r="E10" t="inlineStr">
        <is>
          <t>S07-06 Done</t>
        </is>
      </c>
    </row>
    <row r="11">
      <c r="A11" t="inlineStr">
        <is>
          <t>S07-07</t>
        </is>
      </c>
      <c r="B11" t="inlineStr">
        <is>
          <t>INDIRECT, OFFSET, ADDRESS, ROW and COLUMN</t>
        </is>
      </c>
      <c r="C11" t="inlineStr">
        <is>
          <t>demo</t>
        </is>
      </c>
      <c r="D11" t="inlineStr">
        <is>
          <t>S07-07</t>
        </is>
      </c>
      <c r="E11" t="inlineStr">
        <is>
          <t>S07-07 Done</t>
        </is>
      </c>
    </row>
    <row r="12">
      <c r="A12" t="inlineStr">
        <is>
          <t>S07-08</t>
        </is>
      </c>
      <c r="B12" t="inlineStr">
        <is>
          <t>HYPERLINK and a contents sheet</t>
        </is>
      </c>
      <c r="C12" t="inlineStr">
        <is>
          <t>demo</t>
        </is>
      </c>
      <c r="D12" t="inlineStr">
        <is>
          <t>S07-08</t>
        </is>
      </c>
      <c r="E12" t="inlineStr">
        <is>
          <t>S07-08 Done</t>
        </is>
      </c>
    </row>
    <row r="13">
      <c r="A13" t="inlineStr">
        <is>
          <t>S07-09</t>
        </is>
      </c>
      <c r="B13" t="inlineStr">
        <is>
          <t>Challenge 5: build an invoice lookup</t>
        </is>
      </c>
      <c r="C13" t="inlineStr">
        <is>
          <t>challenge</t>
        </is>
      </c>
      <c r="D13" t="inlineStr">
        <is>
          <t>S07-09</t>
        </is>
      </c>
      <c r="E13" t="inlineStr">
        <is>
          <t>S07-09 Answers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6" customWidth="1" min="3" max="3"/>
    <col width="10" customWidth="1" min="4" max="4"/>
    <col width="11" customWidth="1" min="5" max="5"/>
    <col width="8" customWidth="1" min="6" max="6"/>
    <col width="3" customWidth="1" min="7" max="7"/>
    <col width="7" customWidth="1" min="8" max="8"/>
    <col width="21" customWidth="1" min="9" max="9"/>
    <col width="11" customWidth="1" min="10" max="10"/>
    <col width="9" customWidth="1" min="11" max="11"/>
    <col width="7" customWidth="1" min="12" max="12"/>
  </cols>
  <sheetData>
    <row r="1">
      <c r="A1" s="3" t="inlineStr">
        <is>
          <t>Order No</t>
        </is>
      </c>
      <c r="B1" s="3" t="inlineStr">
        <is>
          <t>Product Code</t>
        </is>
      </c>
      <c r="C1" s="3" t="inlineStr">
        <is>
          <t>Qty</t>
        </is>
      </c>
      <c r="D1" s="3" t="inlineStr">
        <is>
          <t>Rate</t>
        </is>
      </c>
      <c r="E1" s="3" t="inlineStr">
        <is>
          <t>Amount</t>
        </is>
      </c>
      <c r="F1" s="3" t="inlineStr">
        <is>
          <t>GST %</t>
        </is>
      </c>
      <c r="H1" s="3" t="inlineStr">
        <is>
          <t>Code</t>
        </is>
      </c>
      <c r="I1" s="3" t="inlineStr">
        <is>
          <t>Product</t>
        </is>
      </c>
      <c r="J1" s="3" t="inlineStr">
        <is>
          <t>Category</t>
        </is>
      </c>
      <c r="K1" s="3" t="inlineStr">
        <is>
          <t>Rate</t>
        </is>
      </c>
      <c r="L1" s="3" t="inlineStr">
        <is>
          <t>GST %</t>
        </is>
      </c>
    </row>
    <row r="2">
      <c r="A2" t="inlineStr">
        <is>
          <t>SO-2601</t>
        </is>
      </c>
      <c r="B2" t="inlineStr">
        <is>
          <t>P103</t>
        </is>
      </c>
      <c r="C2" t="n">
        <v>4</v>
      </c>
      <c r="D2" s="4" t="n"/>
      <c r="E2" s="5">
        <f>C2*D2</f>
        <v/>
      </c>
      <c r="F2" s="6" t="n"/>
      <c r="H2" t="inlineStr">
        <is>
          <t>P104</t>
        </is>
      </c>
      <c r="I2" t="inlineStr">
        <is>
          <t>Toor Dal 1 kg</t>
        </is>
      </c>
      <c r="J2" t="inlineStr">
        <is>
          <t>Grocery</t>
        </is>
      </c>
      <c r="K2" s="5" t="n">
        <v>165</v>
      </c>
      <c r="L2" s="7" t="n">
        <v>0.05</v>
      </c>
    </row>
    <row r="3">
      <c r="A3" t="inlineStr">
        <is>
          <t>SO-2602</t>
        </is>
      </c>
      <c r="B3" t="inlineStr">
        <is>
          <t>P109</t>
        </is>
      </c>
      <c r="C3" t="n">
        <v>2</v>
      </c>
      <c r="D3" s="4" t="n"/>
      <c r="E3" s="5">
        <f>C3*D3</f>
        <v/>
      </c>
      <c r="F3" s="6" t="n"/>
      <c r="H3" t="inlineStr">
        <is>
          <t>P109</t>
        </is>
      </c>
      <c r="I3" t="inlineStr">
        <is>
          <t>Ceiling Fan 1200 mm</t>
        </is>
      </c>
      <c r="J3" t="inlineStr">
        <is>
          <t>Electrical</t>
        </is>
      </c>
      <c r="K3" s="5" t="n">
        <v>2890</v>
      </c>
      <c r="L3" s="7" t="n">
        <v>0.18</v>
      </c>
    </row>
    <row r="4">
      <c r="A4" t="inlineStr">
        <is>
          <t>SO-2603</t>
        </is>
      </c>
      <c r="B4" t="inlineStr">
        <is>
          <t>P101</t>
        </is>
      </c>
      <c r="C4" t="n">
        <v>10</v>
      </c>
      <c r="D4" s="4" t="n"/>
      <c r="E4" s="5">
        <f>C4*D4</f>
        <v/>
      </c>
      <c r="F4" s="6" t="n"/>
      <c r="H4" t="inlineStr">
        <is>
          <t>P101</t>
        </is>
      </c>
      <c r="I4" t="inlineStr">
        <is>
          <t>Assam Tea 1 kg</t>
        </is>
      </c>
      <c r="J4" t="inlineStr">
        <is>
          <t>Beverages</t>
        </is>
      </c>
      <c r="K4" s="5" t="n">
        <v>420</v>
      </c>
      <c r="L4" s="7" t="n">
        <v>0.05</v>
      </c>
    </row>
    <row r="5">
      <c r="A5" t="inlineStr">
        <is>
          <t>SO-2604</t>
        </is>
      </c>
      <c r="B5" t="inlineStr">
        <is>
          <t>P108</t>
        </is>
      </c>
      <c r="C5" t="n">
        <v>25</v>
      </c>
      <c r="D5" s="4" t="n"/>
      <c r="E5" s="5">
        <f>C5*D5</f>
        <v/>
      </c>
      <c r="F5" s="6" t="n"/>
      <c r="H5" t="inlineStr">
        <is>
          <t>P107</t>
        </is>
      </c>
      <c r="I5" t="inlineStr">
        <is>
          <t>Pressure Cooker 5 L</t>
        </is>
      </c>
      <c r="J5" t="inlineStr">
        <is>
          <t>Home</t>
        </is>
      </c>
      <c r="K5" s="5" t="n">
        <v>2350</v>
      </c>
      <c r="L5" s="7" t="n">
        <v>0.18</v>
      </c>
    </row>
    <row r="6">
      <c r="A6" t="inlineStr">
        <is>
          <t>SO-2605</t>
        </is>
      </c>
      <c r="B6" t="inlineStr">
        <is>
          <t>P107</t>
        </is>
      </c>
      <c r="C6" t="n">
        <v>1</v>
      </c>
      <c r="D6" s="4" t="n"/>
      <c r="E6" s="5">
        <f>C6*D6</f>
        <v/>
      </c>
      <c r="F6" s="6" t="n"/>
      <c r="H6" t="inlineStr">
        <is>
          <t>P103</t>
        </is>
      </c>
      <c r="I6" t="inlineStr">
        <is>
          <t>Basmati Rice 5 kg</t>
        </is>
      </c>
      <c r="J6" t="inlineStr">
        <is>
          <t>Grocery</t>
        </is>
      </c>
      <c r="K6" s="5" t="n">
        <v>640</v>
      </c>
      <c r="L6" s="7" t="n">
        <v>0.05</v>
      </c>
    </row>
    <row r="7">
      <c r="A7" t="inlineStr">
        <is>
          <t>SO-2606</t>
        </is>
      </c>
      <c r="B7" t="inlineStr">
        <is>
          <t>P105</t>
        </is>
      </c>
      <c r="C7" t="n">
        <v>12</v>
      </c>
      <c r="D7" s="4" t="n"/>
      <c r="E7" s="5">
        <f>C7*D7</f>
        <v/>
      </c>
      <c r="F7" s="6" t="n"/>
      <c r="H7" t="inlineStr">
        <is>
          <t>P110</t>
        </is>
      </c>
      <c r="I7" t="inlineStr">
        <is>
          <t>Extension Board</t>
        </is>
      </c>
      <c r="J7" t="inlineStr">
        <is>
          <t>Electrical</t>
        </is>
      </c>
      <c r="K7" s="5" t="n">
        <v>549</v>
      </c>
      <c r="L7" s="7" t="n">
        <v>0.18</v>
      </c>
    </row>
    <row r="8">
      <c r="A8" t="inlineStr">
        <is>
          <t>SO-2607</t>
        </is>
      </c>
      <c r="B8" t="inlineStr">
        <is>
          <t>P102</t>
        </is>
      </c>
      <c r="C8" t="n">
        <v>6</v>
      </c>
      <c r="D8" s="4" t="n"/>
      <c r="E8" s="5">
        <f>C8*D8</f>
        <v/>
      </c>
      <c r="F8" s="6" t="n"/>
      <c r="H8" t="inlineStr">
        <is>
          <t>P102</t>
        </is>
      </c>
      <c r="I8" t="inlineStr">
        <is>
          <t>Coorg Coffee 500 g</t>
        </is>
      </c>
      <c r="J8" t="inlineStr">
        <is>
          <t>Beverages</t>
        </is>
      </c>
      <c r="K8" s="5" t="n">
        <v>380</v>
      </c>
      <c r="L8" s="7" t="n">
        <v>0.05</v>
      </c>
    </row>
    <row r="9">
      <c r="A9" t="inlineStr">
        <is>
          <t>SO-2608</t>
        </is>
      </c>
      <c r="B9" t="inlineStr">
        <is>
          <t>P110</t>
        </is>
      </c>
      <c r="C9" t="n">
        <v>3</v>
      </c>
      <c r="D9" s="4" t="n"/>
      <c r="E9" s="5">
        <f>C9*D9</f>
        <v/>
      </c>
      <c r="F9" s="6" t="n"/>
      <c r="H9" t="inlineStr">
        <is>
          <t>P106</t>
        </is>
      </c>
      <c r="I9" t="inlineStr">
        <is>
          <t>Steel Bottle 1 L</t>
        </is>
      </c>
      <c r="J9" t="inlineStr">
        <is>
          <t>Home</t>
        </is>
      </c>
      <c r="K9" s="5" t="n">
        <v>450</v>
      </c>
      <c r="L9" s="7" t="n">
        <v>0.18</v>
      </c>
    </row>
    <row r="10">
      <c r="A10" t="inlineStr">
        <is>
          <t>SO-2609</t>
        </is>
      </c>
      <c r="B10" t="inlineStr">
        <is>
          <t>P106</t>
        </is>
      </c>
      <c r="C10" t="n">
        <v>8</v>
      </c>
      <c r="D10" s="4" t="n"/>
      <c r="E10" s="5">
        <f>C10*D10</f>
        <v/>
      </c>
      <c r="F10" s="6" t="n"/>
      <c r="H10" t="inlineStr">
        <is>
          <t>P108</t>
        </is>
      </c>
      <c r="I10" t="inlineStr">
        <is>
          <t>LED Bulb 9 W</t>
        </is>
      </c>
      <c r="J10" t="inlineStr">
        <is>
          <t>Electrical</t>
        </is>
      </c>
      <c r="K10" s="5" t="n">
        <v>99</v>
      </c>
      <c r="L10" s="7" t="n">
        <v>0.18</v>
      </c>
    </row>
    <row r="11">
      <c r="A11" t="inlineStr">
        <is>
          <t>SO-2610</t>
        </is>
      </c>
      <c r="B11" t="inlineStr">
        <is>
          <t>P104</t>
        </is>
      </c>
      <c r="C11" t="n">
        <v>15</v>
      </c>
      <c r="D11" s="4" t="n"/>
      <c r="E11" s="5">
        <f>C11*D11</f>
        <v/>
      </c>
      <c r="F11" s="6" t="n"/>
      <c r="H11" t="inlineStr">
        <is>
          <t>P105</t>
        </is>
      </c>
      <c r="I11" t="inlineStr">
        <is>
          <t>Sunflower Oil 1 L</t>
        </is>
      </c>
      <c r="J11" t="inlineStr">
        <is>
          <t>Grocery</t>
        </is>
      </c>
      <c r="K11" s="5" t="n">
        <v>155</v>
      </c>
      <c r="L11" s="7" t="n">
        <v>0.05</v>
      </c>
    </row>
    <row r="12">
      <c r="A12" t="inlineStr">
        <is>
          <t>SO-2611</t>
        </is>
      </c>
      <c r="B12" t="inlineStr">
        <is>
          <t>P109</t>
        </is>
      </c>
      <c r="C12" t="n">
        <v>1</v>
      </c>
      <c r="D12" s="4" t="n"/>
      <c r="E12" s="5">
        <f>C12*D12</f>
        <v/>
      </c>
      <c r="F12" s="6" t="n"/>
    </row>
    <row r="13">
      <c r="A13" t="inlineStr">
        <is>
          <t>SO-2612</t>
        </is>
      </c>
      <c r="B13" t="inlineStr">
        <is>
          <t>P111</t>
        </is>
      </c>
      <c r="C13" t="n">
        <v>5</v>
      </c>
      <c r="D13" s="4" t="n"/>
      <c r="E13" s="5">
        <f>C13*D13</f>
        <v/>
      </c>
      <c r="F13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6" customWidth="1" min="3" max="3"/>
    <col width="10" customWidth="1" min="4" max="4"/>
    <col width="11" customWidth="1" min="5" max="5"/>
    <col width="8" customWidth="1" min="6" max="6"/>
    <col width="3" customWidth="1" min="7" max="7"/>
    <col width="7" customWidth="1" min="8" max="8"/>
    <col width="21" customWidth="1" min="9" max="9"/>
    <col width="11" customWidth="1" min="10" max="10"/>
    <col width="9" customWidth="1" min="11" max="11"/>
    <col width="7" customWidth="1" min="12" max="12"/>
  </cols>
  <sheetData>
    <row r="1">
      <c r="A1" s="3" t="inlineStr">
        <is>
          <t>Order No</t>
        </is>
      </c>
      <c r="B1" s="3" t="inlineStr">
        <is>
          <t>Product Code</t>
        </is>
      </c>
      <c r="C1" s="3" t="inlineStr">
        <is>
          <t>Qty</t>
        </is>
      </c>
      <c r="D1" s="3" t="inlineStr">
        <is>
          <t>Rate</t>
        </is>
      </c>
      <c r="E1" s="3" t="inlineStr">
        <is>
          <t>Amount</t>
        </is>
      </c>
      <c r="F1" s="3" t="inlineStr">
        <is>
          <t>GST %</t>
        </is>
      </c>
      <c r="H1" s="3" t="inlineStr">
        <is>
          <t>Code</t>
        </is>
      </c>
      <c r="I1" s="3" t="inlineStr">
        <is>
          <t>Product</t>
        </is>
      </c>
      <c r="J1" s="3" t="inlineStr">
        <is>
          <t>Category</t>
        </is>
      </c>
      <c r="K1" s="3" t="inlineStr">
        <is>
          <t>Rate</t>
        </is>
      </c>
      <c r="L1" s="3" t="inlineStr">
        <is>
          <t>GST %</t>
        </is>
      </c>
    </row>
    <row r="2">
      <c r="A2" t="inlineStr">
        <is>
          <t>SO-2601</t>
        </is>
      </c>
      <c r="B2" t="inlineStr">
        <is>
          <t>P103</t>
        </is>
      </c>
      <c r="C2" t="n">
        <v>4</v>
      </c>
      <c r="D2" s="5">
        <f>VLOOKUP(B2,$H$2:$L$11,4,FALSE)</f>
        <v/>
      </c>
      <c r="E2" s="5">
        <f>C2*D2</f>
        <v/>
      </c>
      <c r="F2" s="7">
        <f>VLOOKUP(B2,$H$2:$L$11,5,FALSE)</f>
        <v/>
      </c>
      <c r="H2" t="inlineStr">
        <is>
          <t>P104</t>
        </is>
      </c>
      <c r="I2" t="inlineStr">
        <is>
          <t>Toor Dal 1 kg</t>
        </is>
      </c>
      <c r="J2" t="inlineStr">
        <is>
          <t>Grocery</t>
        </is>
      </c>
      <c r="K2" s="5" t="n">
        <v>165</v>
      </c>
      <c r="L2" s="7" t="n">
        <v>0.05</v>
      </c>
    </row>
    <row r="3">
      <c r="A3" t="inlineStr">
        <is>
          <t>SO-2602</t>
        </is>
      </c>
      <c r="B3" t="inlineStr">
        <is>
          <t>P109</t>
        </is>
      </c>
      <c r="C3" t="n">
        <v>2</v>
      </c>
      <c r="D3" s="5">
        <f>VLOOKUP(B3,$H$2:$L$11,4,FALSE)</f>
        <v/>
      </c>
      <c r="E3" s="5">
        <f>C3*D3</f>
        <v/>
      </c>
      <c r="F3" s="7">
        <f>VLOOKUP(B3,$H$2:$L$11,5,FALSE)</f>
        <v/>
      </c>
      <c r="H3" t="inlineStr">
        <is>
          <t>P109</t>
        </is>
      </c>
      <c r="I3" t="inlineStr">
        <is>
          <t>Ceiling Fan 1200 mm</t>
        </is>
      </c>
      <c r="J3" t="inlineStr">
        <is>
          <t>Electrical</t>
        </is>
      </c>
      <c r="K3" s="5" t="n">
        <v>2890</v>
      </c>
      <c r="L3" s="7" t="n">
        <v>0.18</v>
      </c>
    </row>
    <row r="4">
      <c r="A4" t="inlineStr">
        <is>
          <t>SO-2603</t>
        </is>
      </c>
      <c r="B4" t="inlineStr">
        <is>
          <t>P101</t>
        </is>
      </c>
      <c r="C4" t="n">
        <v>10</v>
      </c>
      <c r="D4" s="5">
        <f>VLOOKUP(B4,$H$2:$L$11,4,FALSE)</f>
        <v/>
      </c>
      <c r="E4" s="5">
        <f>C4*D4</f>
        <v/>
      </c>
      <c r="F4" s="7">
        <f>VLOOKUP(B4,$H$2:$L$11,5,FALSE)</f>
        <v/>
      </c>
      <c r="H4" t="inlineStr">
        <is>
          <t>P101</t>
        </is>
      </c>
      <c r="I4" t="inlineStr">
        <is>
          <t>Assam Tea 1 kg</t>
        </is>
      </c>
      <c r="J4" t="inlineStr">
        <is>
          <t>Beverages</t>
        </is>
      </c>
      <c r="K4" s="5" t="n">
        <v>420</v>
      </c>
      <c r="L4" s="7" t="n">
        <v>0.05</v>
      </c>
    </row>
    <row r="5">
      <c r="A5" t="inlineStr">
        <is>
          <t>SO-2604</t>
        </is>
      </c>
      <c r="B5" t="inlineStr">
        <is>
          <t>P108</t>
        </is>
      </c>
      <c r="C5" t="n">
        <v>25</v>
      </c>
      <c r="D5" s="5">
        <f>VLOOKUP(B5,$H$2:$L$11,4,FALSE)</f>
        <v/>
      </c>
      <c r="E5" s="5">
        <f>C5*D5</f>
        <v/>
      </c>
      <c r="F5" s="7">
        <f>VLOOKUP(B5,$H$2:$L$11,5,FALSE)</f>
        <v/>
      </c>
      <c r="H5" t="inlineStr">
        <is>
          <t>P107</t>
        </is>
      </c>
      <c r="I5" t="inlineStr">
        <is>
          <t>Pressure Cooker 5 L</t>
        </is>
      </c>
      <c r="J5" t="inlineStr">
        <is>
          <t>Home</t>
        </is>
      </c>
      <c r="K5" s="5" t="n">
        <v>2350</v>
      </c>
      <c r="L5" s="7" t="n">
        <v>0.18</v>
      </c>
    </row>
    <row r="6">
      <c r="A6" t="inlineStr">
        <is>
          <t>SO-2605</t>
        </is>
      </c>
      <c r="B6" t="inlineStr">
        <is>
          <t>P107</t>
        </is>
      </c>
      <c r="C6" t="n">
        <v>1</v>
      </c>
      <c r="D6" s="5">
        <f>VLOOKUP(B6,$H$2:$L$11,4,FALSE)</f>
        <v/>
      </c>
      <c r="E6" s="5">
        <f>C6*D6</f>
        <v/>
      </c>
      <c r="F6" s="7">
        <f>VLOOKUP(B6,$H$2:$L$11,5,FALSE)</f>
        <v/>
      </c>
      <c r="H6" t="inlineStr">
        <is>
          <t>P103</t>
        </is>
      </c>
      <c r="I6" t="inlineStr">
        <is>
          <t>Basmati Rice 5 kg</t>
        </is>
      </c>
      <c r="J6" t="inlineStr">
        <is>
          <t>Grocery</t>
        </is>
      </c>
      <c r="K6" s="5" t="n">
        <v>640</v>
      </c>
      <c r="L6" s="7" t="n">
        <v>0.05</v>
      </c>
    </row>
    <row r="7">
      <c r="A7" t="inlineStr">
        <is>
          <t>SO-2606</t>
        </is>
      </c>
      <c r="B7" t="inlineStr">
        <is>
          <t>P105</t>
        </is>
      </c>
      <c r="C7" t="n">
        <v>12</v>
      </c>
      <c r="D7" s="5">
        <f>VLOOKUP(B7,$H$2:$L$11,4,FALSE)</f>
        <v/>
      </c>
      <c r="E7" s="5">
        <f>C7*D7</f>
        <v/>
      </c>
      <c r="F7" s="7">
        <f>VLOOKUP(B7,$H$2:$L$11,5,FALSE)</f>
        <v/>
      </c>
      <c r="H7" t="inlineStr">
        <is>
          <t>P110</t>
        </is>
      </c>
      <c r="I7" t="inlineStr">
        <is>
          <t>Extension Board</t>
        </is>
      </c>
      <c r="J7" t="inlineStr">
        <is>
          <t>Electrical</t>
        </is>
      </c>
      <c r="K7" s="5" t="n">
        <v>549</v>
      </c>
      <c r="L7" s="7" t="n">
        <v>0.18</v>
      </c>
    </row>
    <row r="8">
      <c r="A8" t="inlineStr">
        <is>
          <t>SO-2607</t>
        </is>
      </c>
      <c r="B8" t="inlineStr">
        <is>
          <t>P102</t>
        </is>
      </c>
      <c r="C8" t="n">
        <v>6</v>
      </c>
      <c r="D8" s="5">
        <f>VLOOKUP(B8,$H$2:$L$11,4,FALSE)</f>
        <v/>
      </c>
      <c r="E8" s="5">
        <f>C8*D8</f>
        <v/>
      </c>
      <c r="F8" s="7">
        <f>VLOOKUP(B8,$H$2:$L$11,5,FALSE)</f>
        <v/>
      </c>
      <c r="H8" t="inlineStr">
        <is>
          <t>P102</t>
        </is>
      </c>
      <c r="I8" t="inlineStr">
        <is>
          <t>Coorg Coffee 500 g</t>
        </is>
      </c>
      <c r="J8" t="inlineStr">
        <is>
          <t>Beverages</t>
        </is>
      </c>
      <c r="K8" s="5" t="n">
        <v>380</v>
      </c>
      <c r="L8" s="7" t="n">
        <v>0.05</v>
      </c>
    </row>
    <row r="9">
      <c r="A9" t="inlineStr">
        <is>
          <t>SO-2608</t>
        </is>
      </c>
      <c r="B9" t="inlineStr">
        <is>
          <t>P110</t>
        </is>
      </c>
      <c r="C9" t="n">
        <v>3</v>
      </c>
      <c r="D9" s="5">
        <f>VLOOKUP(B9,$H$2:$L$11,4,FALSE)</f>
        <v/>
      </c>
      <c r="E9" s="5">
        <f>C9*D9</f>
        <v/>
      </c>
      <c r="F9" s="7">
        <f>VLOOKUP(B9,$H$2:$L$11,5,FALSE)</f>
        <v/>
      </c>
      <c r="H9" t="inlineStr">
        <is>
          <t>P106</t>
        </is>
      </c>
      <c r="I9" t="inlineStr">
        <is>
          <t>Steel Bottle 1 L</t>
        </is>
      </c>
      <c r="J9" t="inlineStr">
        <is>
          <t>Home</t>
        </is>
      </c>
      <c r="K9" s="5" t="n">
        <v>450</v>
      </c>
      <c r="L9" s="7" t="n">
        <v>0.18</v>
      </c>
    </row>
    <row r="10">
      <c r="A10" t="inlineStr">
        <is>
          <t>SO-2609</t>
        </is>
      </c>
      <c r="B10" t="inlineStr">
        <is>
          <t>P106</t>
        </is>
      </c>
      <c r="C10" t="n">
        <v>8</v>
      </c>
      <c r="D10" s="5">
        <f>VLOOKUP(B10,$H$2:$L$11,4,FALSE)</f>
        <v/>
      </c>
      <c r="E10" s="5">
        <f>C10*D10</f>
        <v/>
      </c>
      <c r="F10" s="7">
        <f>VLOOKUP(B10,$H$2:$L$11,5,FALSE)</f>
        <v/>
      </c>
      <c r="H10" t="inlineStr">
        <is>
          <t>P108</t>
        </is>
      </c>
      <c r="I10" t="inlineStr">
        <is>
          <t>LED Bulb 9 W</t>
        </is>
      </c>
      <c r="J10" t="inlineStr">
        <is>
          <t>Electrical</t>
        </is>
      </c>
      <c r="K10" s="5" t="n">
        <v>99</v>
      </c>
      <c r="L10" s="7" t="n">
        <v>0.18</v>
      </c>
    </row>
    <row r="11">
      <c r="A11" t="inlineStr">
        <is>
          <t>SO-2610</t>
        </is>
      </c>
      <c r="B11" t="inlineStr">
        <is>
          <t>P104</t>
        </is>
      </c>
      <c r="C11" t="n">
        <v>15</v>
      </c>
      <c r="D11" s="5">
        <f>VLOOKUP(B11,$H$2:$L$11,4,FALSE)</f>
        <v/>
      </c>
      <c r="E11" s="5">
        <f>C11*D11</f>
        <v/>
      </c>
      <c r="F11" s="7">
        <f>VLOOKUP(B11,$H$2:$L$11,5,FALSE)</f>
        <v/>
      </c>
      <c r="H11" t="inlineStr">
        <is>
          <t>P105</t>
        </is>
      </c>
      <c r="I11" t="inlineStr">
        <is>
          <t>Sunflower Oil 1 L</t>
        </is>
      </c>
      <c r="J11" t="inlineStr">
        <is>
          <t>Grocery</t>
        </is>
      </c>
      <c r="K11" s="5" t="n">
        <v>155</v>
      </c>
      <c r="L11" s="7" t="n">
        <v>0.05</v>
      </c>
    </row>
    <row r="12">
      <c r="A12" t="inlineStr">
        <is>
          <t>SO-2611</t>
        </is>
      </c>
      <c r="B12" t="inlineStr">
        <is>
          <t>P109</t>
        </is>
      </c>
      <c r="C12" t="n">
        <v>1</v>
      </c>
      <c r="D12" s="5">
        <f>VLOOKUP(B12,$H$2:$L$11,4,FALSE)</f>
        <v/>
      </c>
      <c r="E12" s="5">
        <f>C12*D12</f>
        <v/>
      </c>
      <c r="F12" s="7">
        <f>VLOOKUP(B12,$H$2:$L$11,5,FALSE)</f>
        <v/>
      </c>
    </row>
    <row r="13">
      <c r="A13" t="inlineStr">
        <is>
          <t>SO-2612</t>
        </is>
      </c>
      <c r="B13" t="inlineStr">
        <is>
          <t>P111</t>
        </is>
      </c>
      <c r="C13" t="n">
        <v>5</v>
      </c>
      <c r="D13" s="5">
        <f>VLOOKUP(B13,$H$2:$L$11,4,FALSE)</f>
        <v/>
      </c>
      <c r="E13" s="5">
        <f>C13*D13</f>
        <v/>
      </c>
      <c r="F13" s="7">
        <f>VLOOKUP(B13,$H$2:$L$11,5,FALSE)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2" customWidth="1" min="4" max="4"/>
    <col width="15" customWidth="1" min="5" max="5"/>
    <col width="10" customWidth="1" min="6" max="6"/>
    <col width="3" customWidth="1" min="7" max="7"/>
    <col width="12" customWidth="1" min="8" max="8"/>
    <col width="7" customWidth="1" min="9" max="9"/>
    <col width="10" customWidth="1" min="10" max="10"/>
  </cols>
  <sheetData>
    <row r="1">
      <c r="A1" s="3" t="inlineStr">
        <is>
          <t>Salesperson</t>
        </is>
      </c>
      <c r="B1" s="3" t="inlineStr">
        <is>
          <t>Monthly Sales</t>
        </is>
      </c>
      <c r="C1" s="3" t="inlineStr">
        <is>
          <t>Rate (VLOOKUP)</t>
        </is>
      </c>
      <c r="D1" s="3" t="inlineStr">
        <is>
          <t>Commission</t>
        </is>
      </c>
      <c r="E1" s="3" t="inlineStr">
        <is>
          <t>Rate (XLOOKUP)</t>
        </is>
      </c>
      <c r="F1" s="3" t="inlineStr">
        <is>
          <t>Slab</t>
        </is>
      </c>
      <c r="H1" s="3" t="inlineStr">
        <is>
          <t>Sales From</t>
        </is>
      </c>
      <c r="I1" s="3" t="inlineStr">
        <is>
          <t>Rate</t>
        </is>
      </c>
      <c r="J1" s="3" t="inlineStr">
        <is>
          <t>Slab</t>
        </is>
      </c>
    </row>
    <row r="2">
      <c r="A2" t="inlineStr">
        <is>
          <t>Aarav Sharma</t>
        </is>
      </c>
      <c r="B2" s="5" t="n">
        <v>185000</v>
      </c>
      <c r="C2" s="6" t="n"/>
      <c r="D2" s="5">
        <f>B2*C2</f>
        <v/>
      </c>
      <c r="E2" s="6" t="n"/>
      <c r="F2" s="8" t="n"/>
      <c r="H2" s="5" t="n">
        <v>0</v>
      </c>
      <c r="I2" s="7" t="n">
        <v>0.02</v>
      </c>
      <c r="J2" t="inlineStr">
        <is>
          <t>Bronze</t>
        </is>
      </c>
    </row>
    <row r="3">
      <c r="A3" t="inlineStr">
        <is>
          <t>Priya Nair</t>
        </is>
      </c>
      <c r="B3" s="5" t="n">
        <v>420000</v>
      </c>
      <c r="C3" s="6" t="n"/>
      <c r="D3" s="5">
        <f>B3*C3</f>
        <v/>
      </c>
      <c r="E3" s="6" t="n"/>
      <c r="F3" s="8" t="n"/>
      <c r="H3" s="5" t="n">
        <v>200000</v>
      </c>
      <c r="I3" s="7" t="n">
        <v>0.03</v>
      </c>
      <c r="J3" t="inlineStr">
        <is>
          <t>Silver</t>
        </is>
      </c>
    </row>
    <row r="4">
      <c r="A4" t="inlineStr">
        <is>
          <t>Rohan Mehta</t>
        </is>
      </c>
      <c r="B4" s="5" t="n">
        <v>765000</v>
      </c>
      <c r="C4" s="6" t="n"/>
      <c r="D4" s="5">
        <f>B4*C4</f>
        <v/>
      </c>
      <c r="E4" s="6" t="n"/>
      <c r="F4" s="8" t="n"/>
      <c r="H4" s="5" t="n">
        <v>500000</v>
      </c>
      <c r="I4" s="7" t="n">
        <v>0.04</v>
      </c>
      <c r="J4" t="inlineStr">
        <is>
          <t>Gold</t>
        </is>
      </c>
    </row>
    <row r="5">
      <c r="A5" t="inlineStr">
        <is>
          <t>Sneha Kulkarni</t>
        </is>
      </c>
      <c r="B5" s="5" t="n">
        <v>1240000</v>
      </c>
      <c r="C5" s="6" t="n"/>
      <c r="D5" s="5">
        <f>B5*C5</f>
        <v/>
      </c>
      <c r="E5" s="6" t="n"/>
      <c r="F5" s="8" t="n"/>
      <c r="H5" s="5" t="n">
        <v>1000000</v>
      </c>
      <c r="I5" s="7" t="n">
        <v>0.05</v>
      </c>
      <c r="J5" t="inlineStr">
        <is>
          <t>Platinum</t>
        </is>
      </c>
    </row>
    <row r="6">
      <c r="A6" t="inlineStr">
        <is>
          <t>Vikram Singh</t>
        </is>
      </c>
      <c r="B6" s="5" t="n">
        <v>200000</v>
      </c>
      <c r="C6" s="6" t="n"/>
      <c r="D6" s="5">
        <f>B6*C6</f>
        <v/>
      </c>
      <c r="E6" s="6" t="n"/>
      <c r="F6" s="8" t="n"/>
      <c r="H6" s="5" t="n">
        <v>2000000</v>
      </c>
      <c r="I6" s="7" t="n">
        <v>0.06</v>
      </c>
      <c r="J6" t="inlineStr">
        <is>
          <t>Diamond</t>
        </is>
      </c>
    </row>
    <row r="7">
      <c r="A7" t="inlineStr">
        <is>
          <t>Ananya Iyer</t>
        </is>
      </c>
      <c r="B7" s="5" t="n">
        <v>999000</v>
      </c>
      <c r="C7" s="6" t="n"/>
      <c r="D7" s="5">
        <f>B7*C7</f>
        <v/>
      </c>
      <c r="E7" s="6" t="n"/>
      <c r="F7" s="8" t="n"/>
    </row>
    <row r="8">
      <c r="A8" t="inlineStr">
        <is>
          <t>Karthik Reddy</t>
        </is>
      </c>
      <c r="B8" s="5" t="n">
        <v>2150000</v>
      </c>
      <c r="C8" s="6" t="n"/>
      <c r="D8" s="5">
        <f>B8*C8</f>
        <v/>
      </c>
      <c r="E8" s="6" t="n"/>
      <c r="F8" s="8" t="n"/>
    </row>
    <row r="9">
      <c r="A9" t="inlineStr">
        <is>
          <t>Meera Joshi</t>
        </is>
      </c>
      <c r="B9" s="5" t="n">
        <v>50000</v>
      </c>
      <c r="C9" s="6" t="n"/>
      <c r="D9" s="5">
        <f>B9*C9</f>
        <v/>
      </c>
      <c r="E9" s="6" t="n"/>
      <c r="F9" s="8" t="n"/>
    </row>
    <row r="10">
      <c r="A10" t="inlineStr">
        <is>
          <t>Arjun Patel</t>
        </is>
      </c>
      <c r="B10" s="5" t="n">
        <v>500000</v>
      </c>
      <c r="C10" s="6" t="n"/>
      <c r="D10" s="5">
        <f>B10*C10</f>
        <v/>
      </c>
      <c r="E10" s="6" t="n"/>
      <c r="F10" s="8" t="n"/>
    </row>
    <row r="11">
      <c r="A11" t="inlineStr">
        <is>
          <t>Divya Menon</t>
        </is>
      </c>
      <c r="B11" s="5" t="n">
        <v>1575000</v>
      </c>
      <c r="C11" s="6" t="n"/>
      <c r="D11" s="5">
        <f>B11*C11</f>
        <v/>
      </c>
      <c r="E11" s="6" t="n"/>
      <c r="F11" s="8" t="n"/>
    </row>
    <row r="12">
      <c r="A12" t="inlineStr">
        <is>
          <t>Farhan Qureshi</t>
        </is>
      </c>
      <c r="B12" s="5" t="n">
        <v>330000</v>
      </c>
      <c r="C12" s="6" t="n"/>
      <c r="D12" s="5">
        <f>B12*C12</f>
        <v/>
      </c>
      <c r="E12" s="6" t="n"/>
      <c r="F12" s="8" t="n"/>
    </row>
    <row r="13">
      <c r="A13" t="inlineStr">
        <is>
          <t>Neha Gupta</t>
        </is>
      </c>
      <c r="B13" s="5" t="n">
        <v>45000</v>
      </c>
      <c r="C13" s="6" t="n"/>
      <c r="D13" s="5">
        <f>B13*C13</f>
        <v/>
      </c>
      <c r="E13" s="6" t="n"/>
      <c r="F13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2" customWidth="1" min="4" max="4"/>
    <col width="15" customWidth="1" min="5" max="5"/>
    <col width="10" customWidth="1" min="6" max="6"/>
    <col width="3" customWidth="1" min="7" max="7"/>
    <col width="12" customWidth="1" min="8" max="8"/>
    <col width="7" customWidth="1" min="9" max="9"/>
    <col width="10" customWidth="1" min="10" max="10"/>
  </cols>
  <sheetData>
    <row r="1">
      <c r="A1" s="3" t="inlineStr">
        <is>
          <t>Salesperson</t>
        </is>
      </c>
      <c r="B1" s="3" t="inlineStr">
        <is>
          <t>Monthly Sales</t>
        </is>
      </c>
      <c r="C1" s="3" t="inlineStr">
        <is>
          <t>Rate (VLOOKUP)</t>
        </is>
      </c>
      <c r="D1" s="3" t="inlineStr">
        <is>
          <t>Commission</t>
        </is>
      </c>
      <c r="E1" s="3" t="inlineStr">
        <is>
          <t>Rate (XLOOKUP)</t>
        </is>
      </c>
      <c r="F1" s="3" t="inlineStr">
        <is>
          <t>Slab</t>
        </is>
      </c>
      <c r="H1" s="3" t="inlineStr">
        <is>
          <t>Sales From</t>
        </is>
      </c>
      <c r="I1" s="3" t="inlineStr">
        <is>
          <t>Rate</t>
        </is>
      </c>
      <c r="J1" s="3" t="inlineStr">
        <is>
          <t>Slab</t>
        </is>
      </c>
    </row>
    <row r="2">
      <c r="A2" t="inlineStr">
        <is>
          <t>Aarav Sharma</t>
        </is>
      </c>
      <c r="B2" s="5" t="n">
        <v>185000</v>
      </c>
      <c r="C2" s="7">
        <f>VLOOKUP(B2,$H$2:$I$6,2,TRUE)</f>
        <v/>
      </c>
      <c r="D2" s="5">
        <f>B2*C2</f>
        <v/>
      </c>
      <c r="E2" s="7" cm="1">
        <f t="array" ref="E2">_xlfn.XLOOKUP(B2,$H$2:$H$6,$I$2:$I$6,,-1)</f>
        <v/>
      </c>
      <c r="F2" cm="1">
        <f t="array" ref="F2">_xlfn.XLOOKUP(B2,$H$2:$H$6,$J$2:$J$6,,-1)</f>
        <v/>
      </c>
      <c r="H2" s="5" t="n">
        <v>0</v>
      </c>
      <c r="I2" s="7" t="n">
        <v>0.02</v>
      </c>
      <c r="J2" t="inlineStr">
        <is>
          <t>Bronze</t>
        </is>
      </c>
    </row>
    <row r="3">
      <c r="A3" t="inlineStr">
        <is>
          <t>Priya Nair</t>
        </is>
      </c>
      <c r="B3" s="5" t="n">
        <v>420000</v>
      </c>
      <c r="C3" s="7">
        <f>VLOOKUP(B3,$H$2:$I$6,2,TRUE)</f>
        <v/>
      </c>
      <c r="D3" s="5">
        <f>B3*C3</f>
        <v/>
      </c>
      <c r="E3" s="7" cm="1">
        <f t="array" ref="E3">_xlfn.XLOOKUP(B3,$H$2:$H$6,$I$2:$I$6,,-1)</f>
        <v/>
      </c>
      <c r="F3" cm="1">
        <f t="array" ref="F3">_xlfn.XLOOKUP(B3,$H$2:$H$6,$J$2:$J$6,,-1)</f>
        <v/>
      </c>
      <c r="H3" s="5" t="n">
        <v>200000</v>
      </c>
      <c r="I3" s="7" t="n">
        <v>0.03</v>
      </c>
      <c r="J3" t="inlineStr">
        <is>
          <t>Silver</t>
        </is>
      </c>
    </row>
    <row r="4">
      <c r="A4" t="inlineStr">
        <is>
          <t>Rohan Mehta</t>
        </is>
      </c>
      <c r="B4" s="5" t="n">
        <v>765000</v>
      </c>
      <c r="C4" s="7">
        <f>VLOOKUP(B4,$H$2:$I$6,2,TRUE)</f>
        <v/>
      </c>
      <c r="D4" s="5">
        <f>B4*C4</f>
        <v/>
      </c>
      <c r="E4" s="7" cm="1">
        <f t="array" ref="E4">_xlfn.XLOOKUP(B4,$H$2:$H$6,$I$2:$I$6,,-1)</f>
        <v/>
      </c>
      <c r="F4" cm="1">
        <f t="array" ref="F4">_xlfn.XLOOKUP(B4,$H$2:$H$6,$J$2:$J$6,,-1)</f>
        <v/>
      </c>
      <c r="H4" s="5" t="n">
        <v>500000</v>
      </c>
      <c r="I4" s="7" t="n">
        <v>0.04</v>
      </c>
      <c r="J4" t="inlineStr">
        <is>
          <t>Gold</t>
        </is>
      </c>
    </row>
    <row r="5">
      <c r="A5" t="inlineStr">
        <is>
          <t>Sneha Kulkarni</t>
        </is>
      </c>
      <c r="B5" s="5" t="n">
        <v>1240000</v>
      </c>
      <c r="C5" s="7">
        <f>VLOOKUP(B5,$H$2:$I$6,2,TRUE)</f>
        <v/>
      </c>
      <c r="D5" s="5">
        <f>B5*C5</f>
        <v/>
      </c>
      <c r="E5" s="7" cm="1">
        <f t="array" ref="E5">_xlfn.XLOOKUP(B5,$H$2:$H$6,$I$2:$I$6,,-1)</f>
        <v/>
      </c>
      <c r="F5" cm="1">
        <f t="array" ref="F5">_xlfn.XLOOKUP(B5,$H$2:$H$6,$J$2:$J$6,,-1)</f>
        <v/>
      </c>
      <c r="H5" s="5" t="n">
        <v>1000000</v>
      </c>
      <c r="I5" s="7" t="n">
        <v>0.05</v>
      </c>
      <c r="J5" t="inlineStr">
        <is>
          <t>Platinum</t>
        </is>
      </c>
    </row>
    <row r="6">
      <c r="A6" t="inlineStr">
        <is>
          <t>Vikram Singh</t>
        </is>
      </c>
      <c r="B6" s="5" t="n">
        <v>200000</v>
      </c>
      <c r="C6" s="7">
        <f>VLOOKUP(B6,$H$2:$I$6,2,TRUE)</f>
        <v/>
      </c>
      <c r="D6" s="5">
        <f>B6*C6</f>
        <v/>
      </c>
      <c r="E6" s="7" cm="1">
        <f t="array" ref="E6">_xlfn.XLOOKUP(B6,$H$2:$H$6,$I$2:$I$6,,-1)</f>
        <v/>
      </c>
      <c r="F6" cm="1">
        <f t="array" ref="F6">_xlfn.XLOOKUP(B6,$H$2:$H$6,$J$2:$J$6,,-1)</f>
        <v/>
      </c>
      <c r="H6" s="5" t="n">
        <v>2000000</v>
      </c>
      <c r="I6" s="7" t="n">
        <v>0.06</v>
      </c>
      <c r="J6" t="inlineStr">
        <is>
          <t>Diamond</t>
        </is>
      </c>
    </row>
    <row r="7">
      <c r="A7" t="inlineStr">
        <is>
          <t>Ananya Iyer</t>
        </is>
      </c>
      <c r="B7" s="5" t="n">
        <v>999000</v>
      </c>
      <c r="C7" s="7">
        <f>VLOOKUP(B7,$H$2:$I$6,2,TRUE)</f>
        <v/>
      </c>
      <c r="D7" s="5">
        <f>B7*C7</f>
        <v/>
      </c>
      <c r="E7" s="7" cm="1">
        <f t="array" ref="E7">_xlfn.XLOOKUP(B7,$H$2:$H$6,$I$2:$I$6,,-1)</f>
        <v/>
      </c>
      <c r="F7" cm="1">
        <f t="array" ref="F7">_xlfn.XLOOKUP(B7,$H$2:$H$6,$J$2:$J$6,,-1)</f>
        <v/>
      </c>
    </row>
    <row r="8">
      <c r="A8" t="inlineStr">
        <is>
          <t>Karthik Reddy</t>
        </is>
      </c>
      <c r="B8" s="5" t="n">
        <v>2150000</v>
      </c>
      <c r="C8" s="7">
        <f>VLOOKUP(B8,$H$2:$I$6,2,TRUE)</f>
        <v/>
      </c>
      <c r="D8" s="5">
        <f>B8*C8</f>
        <v/>
      </c>
      <c r="E8" s="7" cm="1">
        <f t="array" ref="E8">_xlfn.XLOOKUP(B8,$H$2:$H$6,$I$2:$I$6,,-1)</f>
        <v/>
      </c>
      <c r="F8" cm="1">
        <f t="array" ref="F8">_xlfn.XLOOKUP(B8,$H$2:$H$6,$J$2:$J$6,,-1)</f>
        <v/>
      </c>
    </row>
    <row r="9">
      <c r="A9" t="inlineStr">
        <is>
          <t>Meera Joshi</t>
        </is>
      </c>
      <c r="B9" s="5" t="n">
        <v>50000</v>
      </c>
      <c r="C9" s="7">
        <f>VLOOKUP(B9,$H$2:$I$6,2,TRUE)</f>
        <v/>
      </c>
      <c r="D9" s="5">
        <f>B9*C9</f>
        <v/>
      </c>
      <c r="E9" s="7" cm="1">
        <f t="array" ref="E9">_xlfn.XLOOKUP(B9,$H$2:$H$6,$I$2:$I$6,,-1)</f>
        <v/>
      </c>
      <c r="F9" cm="1">
        <f t="array" ref="F9">_xlfn.XLOOKUP(B9,$H$2:$H$6,$J$2:$J$6,,-1)</f>
        <v/>
      </c>
    </row>
    <row r="10">
      <c r="A10" t="inlineStr">
        <is>
          <t>Arjun Patel</t>
        </is>
      </c>
      <c r="B10" s="5" t="n">
        <v>500000</v>
      </c>
      <c r="C10" s="7">
        <f>VLOOKUP(B10,$H$2:$I$6,2,TRUE)</f>
        <v/>
      </c>
      <c r="D10" s="5">
        <f>B10*C10</f>
        <v/>
      </c>
      <c r="E10" s="7" cm="1">
        <f t="array" ref="E10">_xlfn.XLOOKUP(B10,$H$2:$H$6,$I$2:$I$6,,-1)</f>
        <v/>
      </c>
      <c r="F10" cm="1">
        <f t="array" ref="F10">_xlfn.XLOOKUP(B10,$H$2:$H$6,$J$2:$J$6,,-1)</f>
        <v/>
      </c>
    </row>
    <row r="11">
      <c r="A11" t="inlineStr">
        <is>
          <t>Divya Menon</t>
        </is>
      </c>
      <c r="B11" s="5" t="n">
        <v>1575000</v>
      </c>
      <c r="C11" s="7">
        <f>VLOOKUP(B11,$H$2:$I$6,2,TRUE)</f>
        <v/>
      </c>
      <c r="D11" s="5">
        <f>B11*C11</f>
        <v/>
      </c>
      <c r="E11" s="7" cm="1">
        <f t="array" ref="E11">_xlfn.XLOOKUP(B11,$H$2:$H$6,$I$2:$I$6,,-1)</f>
        <v/>
      </c>
      <c r="F11" cm="1">
        <f t="array" ref="F11">_xlfn.XLOOKUP(B11,$H$2:$H$6,$J$2:$J$6,,-1)</f>
        <v/>
      </c>
    </row>
    <row r="12">
      <c r="A12" t="inlineStr">
        <is>
          <t>Farhan Qureshi</t>
        </is>
      </c>
      <c r="B12" s="5" t="n">
        <v>330000</v>
      </c>
      <c r="C12" s="7">
        <f>VLOOKUP(B12,$H$2:$I$6,2,TRUE)</f>
        <v/>
      </c>
      <c r="D12" s="5">
        <f>B12*C12</f>
        <v/>
      </c>
      <c r="E12" s="7" cm="1">
        <f t="array" ref="E12">_xlfn.XLOOKUP(B12,$H$2:$H$6,$I$2:$I$6,,-1)</f>
        <v/>
      </c>
      <c r="F12" cm="1">
        <f t="array" ref="F12">_xlfn.XLOOKUP(B12,$H$2:$H$6,$J$2:$J$6,,-1)</f>
        <v/>
      </c>
    </row>
    <row r="13">
      <c r="A13" t="inlineStr">
        <is>
          <t>Neha Gupta</t>
        </is>
      </c>
      <c r="B13" s="5" t="n">
        <v>45000</v>
      </c>
      <c r="C13" s="7">
        <f>VLOOKUP(B13,$H$2:$I$6,2,TRUE)</f>
        <v/>
      </c>
      <c r="D13" s="5">
        <f>B13*C13</f>
        <v/>
      </c>
      <c r="E13" s="7" cm="1">
        <f t="array" ref="E13">_xlfn.XLOOKUP(B13,$H$2:$H$6,$I$2:$I$6,,-1)</f>
        <v/>
      </c>
      <c r="F13" cm="1">
        <f t="array" ref="F13">_xlfn.XLOOKUP(B13,$H$2:$H$6,$J$2:$J$6,,-1)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3" customWidth="1" min="8" max="8"/>
    <col width="30" customWidth="1" min="9" max="9"/>
    <col width="13" customWidth="1" min="10" max="10"/>
  </cols>
  <sheetData>
    <row r="1">
      <c r="A1" s="3" t="inlineStr">
        <is>
          <t>Region</t>
        </is>
      </c>
      <c r="B1" s="3" t="inlineStr">
        <is>
          <t>Apr</t>
        </is>
      </c>
      <c r="C1" s="3" t="inlineStr">
        <is>
          <t>May</t>
        </is>
      </c>
      <c r="D1" s="3" t="inlineStr">
        <is>
          <t>Jun</t>
        </is>
      </c>
      <c r="E1" s="3" t="inlineStr">
        <is>
          <t>Jul</t>
        </is>
      </c>
      <c r="F1" s="3" t="inlineStr">
        <is>
          <t>Aug</t>
        </is>
      </c>
      <c r="G1" s="3" t="inlineStr">
        <is>
          <t>Sep</t>
        </is>
      </c>
    </row>
    <row r="2">
      <c r="A2" t="inlineStr">
        <is>
          <t>North</t>
        </is>
      </c>
      <c r="B2" s="5" t="n">
        <v>194400</v>
      </c>
      <c r="C2" s="5" t="n">
        <v>454700</v>
      </c>
      <c r="D2" s="5" t="n">
        <v>601600</v>
      </c>
      <c r="E2" s="5" t="n">
        <v>616900</v>
      </c>
      <c r="F2" s="5" t="n">
        <v>559800</v>
      </c>
      <c r="G2" s="5" t="n">
        <v>181500</v>
      </c>
      <c r="I2" s="9" t="inlineStr">
        <is>
          <t>Month</t>
        </is>
      </c>
      <c r="J2" s="8" t="inlineStr">
        <is>
          <t>Jul</t>
        </is>
      </c>
    </row>
    <row r="3">
      <c r="A3" t="inlineStr">
        <is>
          <t>South</t>
        </is>
      </c>
      <c r="B3" s="5" t="n">
        <v>594700</v>
      </c>
      <c r="C3" s="5" t="n">
        <v>612100</v>
      </c>
      <c r="D3" s="5" t="n">
        <v>430400</v>
      </c>
      <c r="E3" s="5" t="n">
        <v>271700</v>
      </c>
      <c r="F3" s="5" t="n">
        <v>580100</v>
      </c>
      <c r="G3" s="5" t="n">
        <v>562800</v>
      </c>
      <c r="I3" s="9" t="inlineStr">
        <is>
          <t>Region</t>
        </is>
      </c>
      <c r="J3" s="8" t="inlineStr">
        <is>
          <t>West</t>
        </is>
      </c>
    </row>
    <row r="4">
      <c r="A4" t="inlineStr">
        <is>
          <t>East</t>
        </is>
      </c>
      <c r="B4" s="5" t="n">
        <v>213400</v>
      </c>
      <c r="C4" s="5" t="n">
        <v>236000</v>
      </c>
      <c r="D4" s="5" t="n">
        <v>409000</v>
      </c>
      <c r="E4" s="5" t="n">
        <v>532800</v>
      </c>
      <c r="F4" s="5" t="n">
        <v>259300</v>
      </c>
      <c r="G4" s="5" t="n">
        <v>405500</v>
      </c>
    </row>
    <row r="5">
      <c r="A5" t="inlineStr">
        <is>
          <t>West</t>
        </is>
      </c>
      <c r="B5" s="5" t="n">
        <v>539300</v>
      </c>
      <c r="C5" s="5" t="n">
        <v>404500</v>
      </c>
      <c r="D5" s="5" t="n">
        <v>555500</v>
      </c>
      <c r="E5" s="5" t="n">
        <v>543800</v>
      </c>
      <c r="F5" s="5" t="n">
        <v>377800</v>
      </c>
      <c r="G5" s="5" t="n">
        <v>507900</v>
      </c>
      <c r="I5" s="9" t="inlineStr">
        <is>
          <t>Month total (HLOOKUP)</t>
        </is>
      </c>
      <c r="J5" s="4" t="n"/>
    </row>
    <row r="6">
      <c r="A6" t="inlineStr">
        <is>
          <t>Central</t>
        </is>
      </c>
      <c r="B6" s="5" t="n">
        <v>482100</v>
      </c>
      <c r="C6" s="5" t="n">
        <v>409100</v>
      </c>
      <c r="D6" s="5" t="n">
        <v>585300</v>
      </c>
      <c r="E6" s="5" t="n">
        <v>543900</v>
      </c>
      <c r="F6" s="5" t="n">
        <v>262000</v>
      </c>
      <c r="G6" s="5" t="n">
        <v>518000</v>
      </c>
      <c r="I6" s="9" t="inlineStr">
        <is>
          <t>Region row (MATCH)</t>
        </is>
      </c>
      <c r="J6" s="8" t="n"/>
    </row>
    <row r="7">
      <c r="A7" s="9" t="inlineStr">
        <is>
          <t>Total</t>
        </is>
      </c>
      <c r="B7" s="10">
        <f>SUM(B2:B6)</f>
        <v/>
      </c>
      <c r="C7" s="10">
        <f>SUM(C2:C6)</f>
        <v/>
      </c>
      <c r="D7" s="10">
        <f>SUM(D2:D6)</f>
        <v/>
      </c>
      <c r="E7" s="10">
        <f>SUM(E2:E6)</f>
        <v/>
      </c>
      <c r="F7" s="10">
        <f>SUM(F2:F6)</f>
        <v/>
      </c>
      <c r="G7" s="10">
        <f>SUM(G2:G6)</f>
        <v/>
      </c>
      <c r="I7" s="9" t="inlineStr">
        <is>
          <t>Month column (MATCH)</t>
        </is>
      </c>
      <c r="J7" s="8" t="n"/>
    </row>
    <row r="8">
      <c r="I8" s="9" t="inlineStr">
        <is>
          <t>Sales (INDEX + MATCH)</t>
        </is>
      </c>
      <c r="J8" s="4" t="n"/>
    </row>
    <row r="10">
      <c r="I10" s="9" t="inlineStr">
        <is>
          <t>Challenge: region total Apr-Sep</t>
        </is>
      </c>
      <c r="J10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3" customWidth="1" min="8" max="8"/>
    <col width="30" customWidth="1" min="9" max="9"/>
    <col width="13" customWidth="1" min="10" max="10"/>
  </cols>
  <sheetData>
    <row r="1">
      <c r="A1" s="3" t="inlineStr">
        <is>
          <t>Region</t>
        </is>
      </c>
      <c r="B1" s="3" t="inlineStr">
        <is>
          <t>Apr</t>
        </is>
      </c>
      <c r="C1" s="3" t="inlineStr">
        <is>
          <t>May</t>
        </is>
      </c>
      <c r="D1" s="3" t="inlineStr">
        <is>
          <t>Jun</t>
        </is>
      </c>
      <c r="E1" s="3" t="inlineStr">
        <is>
          <t>Jul</t>
        </is>
      </c>
      <c r="F1" s="3" t="inlineStr">
        <is>
          <t>Aug</t>
        </is>
      </c>
      <c r="G1" s="3" t="inlineStr">
        <is>
          <t>Sep</t>
        </is>
      </c>
    </row>
    <row r="2">
      <c r="A2" t="inlineStr">
        <is>
          <t>North</t>
        </is>
      </c>
      <c r="B2" s="5" t="n">
        <v>194400</v>
      </c>
      <c r="C2" s="5" t="n">
        <v>454700</v>
      </c>
      <c r="D2" s="5" t="n">
        <v>601600</v>
      </c>
      <c r="E2" s="5" t="n">
        <v>616900</v>
      </c>
      <c r="F2" s="5" t="n">
        <v>559800</v>
      </c>
      <c r="G2" s="5" t="n">
        <v>181500</v>
      </c>
      <c r="I2" s="9" t="inlineStr">
        <is>
          <t>Month</t>
        </is>
      </c>
      <c r="J2" s="8" t="inlineStr">
        <is>
          <t>Jul</t>
        </is>
      </c>
    </row>
    <row r="3">
      <c r="A3" t="inlineStr">
        <is>
          <t>South</t>
        </is>
      </c>
      <c r="B3" s="5" t="n">
        <v>594700</v>
      </c>
      <c r="C3" s="5" t="n">
        <v>612100</v>
      </c>
      <c r="D3" s="5" t="n">
        <v>430400</v>
      </c>
      <c r="E3" s="5" t="n">
        <v>271700</v>
      </c>
      <c r="F3" s="5" t="n">
        <v>580100</v>
      </c>
      <c r="G3" s="5" t="n">
        <v>562800</v>
      </c>
      <c r="I3" s="9" t="inlineStr">
        <is>
          <t>Region</t>
        </is>
      </c>
      <c r="J3" s="8" t="inlineStr">
        <is>
          <t>West</t>
        </is>
      </c>
    </row>
    <row r="4">
      <c r="A4" t="inlineStr">
        <is>
          <t>East</t>
        </is>
      </c>
      <c r="B4" s="5" t="n">
        <v>213400</v>
      </c>
      <c r="C4" s="5" t="n">
        <v>236000</v>
      </c>
      <c r="D4" s="5" t="n">
        <v>409000</v>
      </c>
      <c r="E4" s="5" t="n">
        <v>532800</v>
      </c>
      <c r="F4" s="5" t="n">
        <v>259300</v>
      </c>
      <c r="G4" s="5" t="n">
        <v>405500</v>
      </c>
    </row>
    <row r="5">
      <c r="A5" t="inlineStr">
        <is>
          <t>West</t>
        </is>
      </c>
      <c r="B5" s="5" t="n">
        <v>539300</v>
      </c>
      <c r="C5" s="5" t="n">
        <v>404500</v>
      </c>
      <c r="D5" s="5" t="n">
        <v>555500</v>
      </c>
      <c r="E5" s="5" t="n">
        <v>543800</v>
      </c>
      <c r="F5" s="5" t="n">
        <v>377800</v>
      </c>
      <c r="G5" s="5" t="n">
        <v>507900</v>
      </c>
      <c r="I5" s="9" t="inlineStr">
        <is>
          <t>Month total (HLOOKUP)</t>
        </is>
      </c>
      <c r="J5" s="5">
        <f>HLOOKUP(J2,A1:G7,7,FALSE)</f>
        <v/>
      </c>
    </row>
    <row r="6">
      <c r="A6" t="inlineStr">
        <is>
          <t>Central</t>
        </is>
      </c>
      <c r="B6" s="5" t="n">
        <v>482100</v>
      </c>
      <c r="C6" s="5" t="n">
        <v>409100</v>
      </c>
      <c r="D6" s="5" t="n">
        <v>585300</v>
      </c>
      <c r="E6" s="5" t="n">
        <v>543900</v>
      </c>
      <c r="F6" s="5" t="n">
        <v>262000</v>
      </c>
      <c r="G6" s="5" t="n">
        <v>518000</v>
      </c>
      <c r="I6" s="9" t="inlineStr">
        <is>
          <t>Region row (MATCH)</t>
        </is>
      </c>
      <c r="J6">
        <f>MATCH(J3,A2:A6,0)</f>
        <v/>
      </c>
    </row>
    <row r="7">
      <c r="A7" s="9" t="inlineStr">
        <is>
          <t>Total</t>
        </is>
      </c>
      <c r="B7" s="10">
        <f>SUM(B2:B6)</f>
        <v/>
      </c>
      <c r="C7" s="10">
        <f>SUM(C2:C6)</f>
        <v/>
      </c>
      <c r="D7" s="10">
        <f>SUM(D2:D6)</f>
        <v/>
      </c>
      <c r="E7" s="10">
        <f>SUM(E2:E6)</f>
        <v/>
      </c>
      <c r="F7" s="10">
        <f>SUM(F2:F6)</f>
        <v/>
      </c>
      <c r="G7" s="10">
        <f>SUM(G2:G6)</f>
        <v/>
      </c>
      <c r="I7" s="9" t="inlineStr">
        <is>
          <t>Month column (MATCH)</t>
        </is>
      </c>
      <c r="J7">
        <f>MATCH(J2,B1:G1,0)</f>
        <v/>
      </c>
    </row>
    <row r="8">
      <c r="I8" s="9" t="inlineStr">
        <is>
          <t>Sales (INDEX + MATCH)</t>
        </is>
      </c>
      <c r="J8" s="5">
        <f>INDEX(B2:G6,MATCH(J3,A2:A6,0),MATCH(J2,B1:G1,0))</f>
        <v/>
      </c>
    </row>
    <row r="10">
      <c r="I10" s="9" t="inlineStr">
        <is>
          <t>Challenge: region total Apr-Sep</t>
        </is>
      </c>
      <c r="J10" s="5">
        <f>SUM(INDEX(B2:G6,MATCH(J3,A2:A6,0),0))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100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9" customWidth="1" min="4" max="4"/>
    <col width="14" customWidth="1" min="5" max="5"/>
    <col width="3" customWidth="1" min="6" max="6"/>
    <col width="21" customWidth="1" min="7" max="7"/>
    <col width="13" customWidth="1" min="8" max="8"/>
    <col width="11" customWidth="1" min="9" max="9"/>
    <col width="11" customWidth="1" min="10" max="10"/>
  </cols>
  <sheetData>
    <row r="1">
      <c r="A1" s="3" t="inlineStr">
        <is>
          <t>Employee Name</t>
        </is>
      </c>
      <c r="B1" s="3" t="inlineStr">
        <is>
          <t>Department</t>
        </is>
      </c>
      <c r="C1" s="3" t="inlineStr">
        <is>
          <t>Location</t>
        </is>
      </c>
      <c r="D1" s="3" t="inlineStr">
        <is>
          <t>Emp ID</t>
        </is>
      </c>
      <c r="E1" s="3" t="inlineStr">
        <is>
          <t>Monthly Salary</t>
        </is>
      </c>
      <c r="G1" s="9" t="inlineStr">
        <is>
          <t>Emp ID</t>
        </is>
      </c>
      <c r="H1" s="8" t="inlineStr">
        <is>
          <t>EMP1007</t>
        </is>
      </c>
    </row>
    <row r="2">
      <c r="A2" t="inlineStr">
        <is>
          <t>Rahul Verma</t>
        </is>
      </c>
      <c r="B2" t="inlineStr">
        <is>
          <t>Finance</t>
        </is>
      </c>
      <c r="C2" t="inlineStr">
        <is>
          <t>Mumbai</t>
        </is>
      </c>
      <c r="D2" t="inlineStr">
        <is>
          <t>EMP1004</t>
        </is>
      </c>
      <c r="E2" s="5" t="n">
        <v>85000</v>
      </c>
      <c r="G2" s="9" t="inlineStr">
        <is>
          <t>Name</t>
        </is>
      </c>
      <c r="H2" s="8" t="n"/>
    </row>
    <row r="3">
      <c r="A3" t="inlineStr">
        <is>
          <t>Kavya Iyer</t>
        </is>
      </c>
      <c r="B3" t="inlineStr">
        <is>
          <t>HR</t>
        </is>
      </c>
      <c r="C3" t="inlineStr">
        <is>
          <t>Chennai</t>
        </is>
      </c>
      <c r="D3" t="inlineStr">
        <is>
          <t>EMP1011</t>
        </is>
      </c>
      <c r="E3" s="5" t="n">
        <v>72000</v>
      </c>
      <c r="G3" s="9" t="inlineStr">
        <is>
          <t>Monthly salary</t>
        </is>
      </c>
      <c r="H3" s="4" t="n"/>
    </row>
    <row r="4">
      <c r="A4" t="inlineStr">
        <is>
          <t>Amit Deshpande</t>
        </is>
      </c>
      <c r="B4" t="inlineStr">
        <is>
          <t>Sales</t>
        </is>
      </c>
      <c r="C4" t="inlineStr">
        <is>
          <t>Pune</t>
        </is>
      </c>
      <c r="D4" t="inlineStr">
        <is>
          <t>EMP1001</t>
        </is>
      </c>
      <c r="E4" s="5" t="n">
        <v>64000</v>
      </c>
    </row>
    <row r="5">
      <c r="A5" t="inlineStr">
        <is>
          <t>Sana Sheikh</t>
        </is>
      </c>
      <c r="B5" t="inlineStr">
        <is>
          <t>Marketing</t>
        </is>
      </c>
      <c r="C5" t="inlineStr">
        <is>
          <t>Bengaluru</t>
        </is>
      </c>
      <c r="D5" t="inlineStr">
        <is>
          <t>EMP1009</t>
        </is>
      </c>
      <c r="E5" s="5" t="n">
        <v>91000</v>
      </c>
      <c r="G5" s="9" t="inlineStr">
        <is>
          <t>Name, Dept, Location</t>
        </is>
      </c>
      <c r="H5" s="8" t="n"/>
    </row>
    <row r="6">
      <c r="A6" t="inlineStr">
        <is>
          <t>Harpreet Kaur</t>
        </is>
      </c>
      <c r="B6" t="inlineStr">
        <is>
          <t>Operations</t>
        </is>
      </c>
      <c r="C6" t="inlineStr">
        <is>
          <t>Delhi</t>
        </is>
      </c>
      <c r="D6" t="inlineStr">
        <is>
          <t>EMP1015</t>
        </is>
      </c>
      <c r="E6" s="5" t="n">
        <v>58000</v>
      </c>
    </row>
    <row r="7">
      <c r="A7" t="inlineStr">
        <is>
          <t>Nikhil Rao</t>
        </is>
      </c>
      <c r="B7" t="inlineStr">
        <is>
          <t>IT</t>
        </is>
      </c>
      <c r="C7" t="inlineStr">
        <is>
          <t>Hyderabad</t>
        </is>
      </c>
      <c r="D7" t="inlineStr">
        <is>
          <t>EMP1007</t>
        </is>
      </c>
      <c r="E7" s="5" t="n">
        <v>118000</v>
      </c>
      <c r="G7" s="9" t="inlineStr">
        <is>
          <t>Challenge: Emp ID of</t>
        </is>
      </c>
    </row>
    <row r="8">
      <c r="A8" t="inlineStr">
        <is>
          <t>Pooja Agarwal</t>
        </is>
      </c>
      <c r="B8" t="inlineStr">
        <is>
          <t>Finance</t>
        </is>
      </c>
      <c r="C8" t="inlineStr">
        <is>
          <t>Kolkata</t>
        </is>
      </c>
      <c r="D8" t="inlineStr">
        <is>
          <t>EMP1002</t>
        </is>
      </c>
      <c r="E8" s="5" t="n">
        <v>76000</v>
      </c>
      <c r="G8" s="11" t="inlineStr">
        <is>
          <t>Kavya Iyer</t>
        </is>
      </c>
      <c r="H8" s="8" t="n"/>
    </row>
    <row r="9">
      <c r="A9" t="inlineStr">
        <is>
          <t>Suresh Pillai</t>
        </is>
      </c>
      <c r="B9" t="inlineStr">
        <is>
          <t>Sales</t>
        </is>
      </c>
      <c r="C9" t="inlineStr">
        <is>
          <t>Kochi</t>
        </is>
      </c>
      <c r="D9" t="inlineStr">
        <is>
          <t>EMP1013</t>
        </is>
      </c>
      <c r="E9" s="5" t="n">
        <v>61000</v>
      </c>
    </row>
    <row r="10">
      <c r="A10" t="inlineStr">
        <is>
          <t>Ishita Bose</t>
        </is>
      </c>
      <c r="B10" t="inlineStr">
        <is>
          <t>IT</t>
        </is>
      </c>
      <c r="C10" t="inlineStr">
        <is>
          <t>Bengaluru</t>
        </is>
      </c>
      <c r="D10" t="inlineStr">
        <is>
          <t>EMP1005</t>
        </is>
      </c>
      <c r="E10" s="5" t="n">
        <v>104000</v>
      </c>
    </row>
    <row r="11">
      <c r="A11" t="inlineStr">
        <is>
          <t>Manoj Yadav</t>
        </is>
      </c>
      <c r="B11" t="inlineStr">
        <is>
          <t>Operations</t>
        </is>
      </c>
      <c r="C11" t="inlineStr">
        <is>
          <t>Lucknow</t>
        </is>
      </c>
      <c r="D11" t="inlineStr">
        <is>
          <t>EMP1012</t>
        </is>
      </c>
      <c r="E11" s="5" t="n">
        <v>55000</v>
      </c>
    </row>
    <row r="12">
      <c r="A12" t="inlineStr">
        <is>
          <t>Tanvi Shah</t>
        </is>
      </c>
      <c r="B12" t="inlineStr">
        <is>
          <t>Marketing</t>
        </is>
      </c>
      <c r="C12" t="inlineStr">
        <is>
          <t>Ahmedabad</t>
        </is>
      </c>
      <c r="D12" t="inlineStr">
        <is>
          <t>EMP1003</t>
        </is>
      </c>
      <c r="E12" s="5" t="n">
        <v>83000</v>
      </c>
    </row>
    <row r="13">
      <c r="A13" t="inlineStr">
        <is>
          <t>Gaurav Malhotra</t>
        </is>
      </c>
      <c r="B13" t="inlineStr">
        <is>
          <t>Sales</t>
        </is>
      </c>
      <c r="C13" t="inlineStr">
        <is>
          <t>Delhi</t>
        </is>
      </c>
      <c r="D13" t="inlineStr">
        <is>
          <t>EMP1010</t>
        </is>
      </c>
      <c r="E13" s="5" t="n">
        <v>69000</v>
      </c>
    </row>
    <row r="14">
      <c r="A14" t="inlineStr">
        <is>
          <t>Lakshmi Narayanan</t>
        </is>
      </c>
      <c r="B14" t="inlineStr">
        <is>
          <t>HR</t>
        </is>
      </c>
      <c r="C14" t="inlineStr">
        <is>
          <t>Chennai</t>
        </is>
      </c>
      <c r="D14" t="inlineStr">
        <is>
          <t>EMP1006</t>
        </is>
      </c>
      <c r="E14" s="5" t="n">
        <v>67000</v>
      </c>
    </row>
    <row r="15">
      <c r="A15" t="inlineStr">
        <is>
          <t>Deepak Chauhan</t>
        </is>
      </c>
      <c r="B15" t="inlineStr">
        <is>
          <t>IT</t>
        </is>
      </c>
      <c r="C15" t="inlineStr">
        <is>
          <t>Noida</t>
        </is>
      </c>
      <c r="D15" t="inlineStr">
        <is>
          <t>EMP1014</t>
        </is>
      </c>
      <c r="E15" s="5" t="n">
        <v>97000</v>
      </c>
    </row>
    <row r="16">
      <c r="A16" t="inlineStr">
        <is>
          <t>Ritu Saxena</t>
        </is>
      </c>
      <c r="B16" t="inlineStr">
        <is>
          <t>Finance</t>
        </is>
      </c>
      <c r="C16" t="inlineStr">
        <is>
          <t>Jaipur</t>
        </is>
      </c>
      <c r="D16" t="inlineStr">
        <is>
          <t>EMP1008</t>
        </is>
      </c>
      <c r="E16" s="5" t="n">
        <v>88000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100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9" customWidth="1" min="4" max="4"/>
    <col width="14" customWidth="1" min="5" max="5"/>
    <col width="3" customWidth="1" min="6" max="6"/>
    <col width="21" customWidth="1" min="7" max="7"/>
    <col width="13" customWidth="1" min="8" max="8"/>
    <col width="11" customWidth="1" min="9" max="9"/>
    <col width="11" customWidth="1" min="10" max="10"/>
  </cols>
  <sheetData>
    <row r="1">
      <c r="A1" s="3" t="inlineStr">
        <is>
          <t>Employee Name</t>
        </is>
      </c>
      <c r="B1" s="3" t="inlineStr">
        <is>
          <t>Department</t>
        </is>
      </c>
      <c r="C1" s="3" t="inlineStr">
        <is>
          <t>Location</t>
        </is>
      </c>
      <c r="D1" s="3" t="inlineStr">
        <is>
          <t>Emp ID</t>
        </is>
      </c>
      <c r="E1" s="3" t="inlineStr">
        <is>
          <t>Monthly Salary</t>
        </is>
      </c>
      <c r="G1" s="9" t="inlineStr">
        <is>
          <t>Emp ID</t>
        </is>
      </c>
      <c r="H1" s="8" t="inlineStr">
        <is>
          <t>EMP1007</t>
        </is>
      </c>
    </row>
    <row r="2">
      <c r="A2" t="inlineStr">
        <is>
          <t>Rahul Verma</t>
        </is>
      </c>
      <c r="B2" t="inlineStr">
        <is>
          <t>Finance</t>
        </is>
      </c>
      <c r="C2" t="inlineStr">
        <is>
          <t>Mumbai</t>
        </is>
      </c>
      <c r="D2" t="inlineStr">
        <is>
          <t>EMP1004</t>
        </is>
      </c>
      <c r="E2" s="5" t="n">
        <v>85000</v>
      </c>
      <c r="G2" s="9" t="inlineStr">
        <is>
          <t>Name</t>
        </is>
      </c>
      <c r="H2" cm="1">
        <f t="array" ref="H2">_xlfn.XLOOKUP(H1,D2:D16,A2:A16,"Not found")</f>
        <v/>
      </c>
    </row>
    <row r="3">
      <c r="A3" t="inlineStr">
        <is>
          <t>Kavya Iyer</t>
        </is>
      </c>
      <c r="B3" t="inlineStr">
        <is>
          <t>HR</t>
        </is>
      </c>
      <c r="C3" t="inlineStr">
        <is>
          <t>Chennai</t>
        </is>
      </c>
      <c r="D3" t="inlineStr">
        <is>
          <t>EMP1011</t>
        </is>
      </c>
      <c r="E3" s="5" t="n">
        <v>72000</v>
      </c>
      <c r="G3" s="9" t="inlineStr">
        <is>
          <t>Monthly salary</t>
        </is>
      </c>
      <c r="H3" s="5" cm="1">
        <f t="array" ref="H3">_xlfn.XLOOKUP(H1,D2:D16,E2:E16)</f>
        <v/>
      </c>
    </row>
    <row r="4">
      <c r="A4" t="inlineStr">
        <is>
          <t>Amit Deshpande</t>
        </is>
      </c>
      <c r="B4" t="inlineStr">
        <is>
          <t>Sales</t>
        </is>
      </c>
      <c r="C4" t="inlineStr">
        <is>
          <t>Pune</t>
        </is>
      </c>
      <c r="D4" t="inlineStr">
        <is>
          <t>EMP1001</t>
        </is>
      </c>
      <c r="E4" s="5" t="n">
        <v>64000</v>
      </c>
    </row>
    <row r="5">
      <c r="A5" t="inlineStr">
        <is>
          <t>Sana Sheikh</t>
        </is>
      </c>
      <c r="B5" t="inlineStr">
        <is>
          <t>Marketing</t>
        </is>
      </c>
      <c r="C5" t="inlineStr">
        <is>
          <t>Bengaluru</t>
        </is>
      </c>
      <c r="D5" t="inlineStr">
        <is>
          <t>EMP1009</t>
        </is>
      </c>
      <c r="E5" s="5" t="n">
        <v>91000</v>
      </c>
      <c r="G5" s="9" t="inlineStr">
        <is>
          <t>Name, Dept, Location</t>
        </is>
      </c>
      <c r="H5" cm="1">
        <f t="array" ref="H5:J5">_xlfn.XLOOKUP(H1,D2:D16,A2:C16)</f>
        <v/>
      </c>
    </row>
    <row r="6">
      <c r="A6" t="inlineStr">
        <is>
          <t>Harpreet Kaur</t>
        </is>
      </c>
      <c r="B6" t="inlineStr">
        <is>
          <t>Operations</t>
        </is>
      </c>
      <c r="C6" t="inlineStr">
        <is>
          <t>Delhi</t>
        </is>
      </c>
      <c r="D6" t="inlineStr">
        <is>
          <t>EMP1015</t>
        </is>
      </c>
      <c r="E6" s="5" t="n">
        <v>58000</v>
      </c>
    </row>
    <row r="7">
      <c r="A7" t="inlineStr">
        <is>
          <t>Nikhil Rao</t>
        </is>
      </c>
      <c r="B7" t="inlineStr">
        <is>
          <t>IT</t>
        </is>
      </c>
      <c r="C7" t="inlineStr">
        <is>
          <t>Hyderabad</t>
        </is>
      </c>
      <c r="D7" t="inlineStr">
        <is>
          <t>EMP1007</t>
        </is>
      </c>
      <c r="E7" s="5" t="n">
        <v>118000</v>
      </c>
      <c r="G7" s="9" t="inlineStr">
        <is>
          <t>Challenge: Emp ID of</t>
        </is>
      </c>
    </row>
    <row r="8">
      <c r="A8" t="inlineStr">
        <is>
          <t>Pooja Agarwal</t>
        </is>
      </c>
      <c r="B8" t="inlineStr">
        <is>
          <t>Finance</t>
        </is>
      </c>
      <c r="C8" t="inlineStr">
        <is>
          <t>Kolkata</t>
        </is>
      </c>
      <c r="D8" t="inlineStr">
        <is>
          <t>EMP1002</t>
        </is>
      </c>
      <c r="E8" s="5" t="n">
        <v>76000</v>
      </c>
      <c r="G8" s="11" t="inlineStr">
        <is>
          <t>Kavya Iyer</t>
        </is>
      </c>
      <c r="H8" cm="1">
        <f t="array" ref="H8">_xlfn.XLOOKUP(G8,A2:A16,D2:D16,"Not found")</f>
        <v/>
      </c>
    </row>
    <row r="9">
      <c r="A9" t="inlineStr">
        <is>
          <t>Suresh Pillai</t>
        </is>
      </c>
      <c r="B9" t="inlineStr">
        <is>
          <t>Sales</t>
        </is>
      </c>
      <c r="C9" t="inlineStr">
        <is>
          <t>Kochi</t>
        </is>
      </c>
      <c r="D9" t="inlineStr">
        <is>
          <t>EMP1013</t>
        </is>
      </c>
      <c r="E9" s="5" t="n">
        <v>61000</v>
      </c>
    </row>
    <row r="10">
      <c r="A10" t="inlineStr">
        <is>
          <t>Ishita Bose</t>
        </is>
      </c>
      <c r="B10" t="inlineStr">
        <is>
          <t>IT</t>
        </is>
      </c>
      <c r="C10" t="inlineStr">
        <is>
          <t>Bengaluru</t>
        </is>
      </c>
      <c r="D10" t="inlineStr">
        <is>
          <t>EMP1005</t>
        </is>
      </c>
      <c r="E10" s="5" t="n">
        <v>104000</v>
      </c>
    </row>
    <row r="11">
      <c r="A11" t="inlineStr">
        <is>
          <t>Manoj Yadav</t>
        </is>
      </c>
      <c r="B11" t="inlineStr">
        <is>
          <t>Operations</t>
        </is>
      </c>
      <c r="C11" t="inlineStr">
        <is>
          <t>Lucknow</t>
        </is>
      </c>
      <c r="D11" t="inlineStr">
        <is>
          <t>EMP1012</t>
        </is>
      </c>
      <c r="E11" s="5" t="n">
        <v>55000</v>
      </c>
    </row>
    <row r="12">
      <c r="A12" t="inlineStr">
        <is>
          <t>Tanvi Shah</t>
        </is>
      </c>
      <c r="B12" t="inlineStr">
        <is>
          <t>Marketing</t>
        </is>
      </c>
      <c r="C12" t="inlineStr">
        <is>
          <t>Ahmedabad</t>
        </is>
      </c>
      <c r="D12" t="inlineStr">
        <is>
          <t>EMP1003</t>
        </is>
      </c>
      <c r="E12" s="5" t="n">
        <v>83000</v>
      </c>
    </row>
    <row r="13">
      <c r="A13" t="inlineStr">
        <is>
          <t>Gaurav Malhotra</t>
        </is>
      </c>
      <c r="B13" t="inlineStr">
        <is>
          <t>Sales</t>
        </is>
      </c>
      <c r="C13" t="inlineStr">
        <is>
          <t>Delhi</t>
        </is>
      </c>
      <c r="D13" t="inlineStr">
        <is>
          <t>EMP1010</t>
        </is>
      </c>
      <c r="E13" s="5" t="n">
        <v>69000</v>
      </c>
    </row>
    <row r="14">
      <c r="A14" t="inlineStr">
        <is>
          <t>Lakshmi Narayanan</t>
        </is>
      </c>
      <c r="B14" t="inlineStr">
        <is>
          <t>HR</t>
        </is>
      </c>
      <c r="C14" t="inlineStr">
        <is>
          <t>Chennai</t>
        </is>
      </c>
      <c r="D14" t="inlineStr">
        <is>
          <t>EMP1006</t>
        </is>
      </c>
      <c r="E14" s="5" t="n">
        <v>67000</v>
      </c>
    </row>
    <row r="15">
      <c r="A15" t="inlineStr">
        <is>
          <t>Deepak Chauhan</t>
        </is>
      </c>
      <c r="B15" t="inlineStr">
        <is>
          <t>IT</t>
        </is>
      </c>
      <c r="C15" t="inlineStr">
        <is>
          <t>Noida</t>
        </is>
      </c>
      <c r="D15" t="inlineStr">
        <is>
          <t>EMP1014</t>
        </is>
      </c>
      <c r="E15" s="5" t="n">
        <v>97000</v>
      </c>
    </row>
    <row r="16">
      <c r="A16" t="inlineStr">
        <is>
          <t>Ritu Saxena</t>
        </is>
      </c>
      <c r="B16" t="inlineStr">
        <is>
          <t>Finance</t>
        </is>
      </c>
      <c r="C16" t="inlineStr">
        <is>
          <t>Jaipur</t>
        </is>
      </c>
      <c r="D16" t="inlineStr">
        <is>
          <t>EMP1008</t>
        </is>
      </c>
      <c r="E16" s="5" t="n">
        <v>88000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16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Salesperson</t>
        </is>
      </c>
      <c r="C1" s="3" t="inlineStr">
        <is>
          <t>Region</t>
        </is>
      </c>
      <c r="D1" s="3" t="inlineStr">
        <is>
          <t>Product</t>
        </is>
      </c>
      <c r="E1" s="3" t="inlineStr">
        <is>
          <t>Amount</t>
        </is>
      </c>
      <c r="G1" s="9" t="inlineStr">
        <is>
          <t>Salesperson</t>
        </is>
      </c>
      <c r="H1" s="8" t="inlineStr">
        <is>
          <t>Rohan Mehta</t>
        </is>
      </c>
    </row>
    <row r="2">
      <c r="A2" s="12" t="n">
        <v>46114</v>
      </c>
      <c r="B2" t="inlineStr">
        <is>
          <t>Rohan Mehta</t>
        </is>
      </c>
      <c r="C2" t="inlineStr">
        <is>
          <t>West</t>
        </is>
      </c>
      <c r="D2" t="inlineStr">
        <is>
          <t>Ceiling Fan</t>
        </is>
      </c>
      <c r="E2" s="5" t="n">
        <v>28900</v>
      </c>
      <c r="G2" s="9" t="inlineStr">
        <is>
          <t>Product</t>
        </is>
      </c>
      <c r="H2" s="8" t="inlineStr">
        <is>
          <t>Ceiling Fan</t>
        </is>
      </c>
    </row>
    <row r="3">
      <c r="A3" s="12" t="n">
        <v>46117</v>
      </c>
      <c r="B3" t="inlineStr">
        <is>
          <t>Priya Nair</t>
        </is>
      </c>
      <c r="C3" t="inlineStr">
        <is>
          <t>South</t>
        </is>
      </c>
      <c r="D3" t="inlineStr">
        <is>
          <t>LED Bulb 9 W</t>
        </is>
      </c>
      <c r="E3" s="5" t="n">
        <v>4950</v>
      </c>
      <c r="G3" s="9" t="inlineStr">
        <is>
          <t>Amount (both match)</t>
        </is>
      </c>
      <c r="H3" s="4" t="n"/>
    </row>
    <row r="4">
      <c r="A4" s="12" t="n">
        <v>46121</v>
      </c>
      <c r="B4" t="inlineStr">
        <is>
          <t>Aarav Sharma</t>
        </is>
      </c>
      <c r="C4" t="inlineStr">
        <is>
          <t>North</t>
        </is>
      </c>
      <c r="D4" t="inlineStr">
        <is>
          <t>Pressure Cooker</t>
        </is>
      </c>
      <c r="E4" s="5" t="n">
        <v>23500</v>
      </c>
      <c r="G4" s="9" t="inlineStr">
        <is>
          <t>Last sale date</t>
        </is>
      </c>
      <c r="H4" s="13" t="n"/>
    </row>
    <row r="5">
      <c r="A5" s="12" t="n">
        <v>46126</v>
      </c>
      <c r="B5" t="inlineStr">
        <is>
          <t>Rohan Mehta</t>
        </is>
      </c>
      <c r="C5" t="inlineStr">
        <is>
          <t>West</t>
        </is>
      </c>
      <c r="D5" t="inlineStr">
        <is>
          <t>LED Bulb 9 W</t>
        </is>
      </c>
      <c r="E5" s="5" t="n">
        <v>9900</v>
      </c>
      <c r="G5" s="9" t="inlineStr">
        <is>
          <t>Product pattern</t>
        </is>
      </c>
      <c r="H5" s="8" t="inlineStr">
        <is>
          <t>*Cooker*</t>
        </is>
      </c>
    </row>
    <row r="6">
      <c r="A6" s="12" t="n">
        <v>46130</v>
      </c>
      <c r="B6" t="inlineStr">
        <is>
          <t>Sneha Kulkarni</t>
        </is>
      </c>
      <c r="C6" t="inlineStr">
        <is>
          <t>West</t>
        </is>
      </c>
      <c r="D6" t="inlineStr">
        <is>
          <t>Extension Board</t>
        </is>
      </c>
      <c r="E6" s="5" t="n">
        <v>10980</v>
      </c>
      <c r="G6" s="9" t="inlineStr">
        <is>
          <t>First amount for pattern</t>
        </is>
      </c>
      <c r="H6" s="4" t="n"/>
    </row>
    <row r="7">
      <c r="A7" s="12" t="n">
        <v>46134</v>
      </c>
      <c r="B7" t="inlineStr">
        <is>
          <t>Priya Nair</t>
        </is>
      </c>
      <c r="C7" t="inlineStr">
        <is>
          <t>South</t>
        </is>
      </c>
      <c r="D7" t="inlineStr">
        <is>
          <t>Ceiling Fan</t>
        </is>
      </c>
      <c r="E7" s="5" t="n">
        <v>57800</v>
      </c>
      <c r="G7" s="9" t="inlineStr">
        <is>
          <t>Row of last sale (XMATCH)</t>
        </is>
      </c>
      <c r="H7" s="8" t="n"/>
    </row>
    <row r="8">
      <c r="A8" s="12" t="n">
        <v>46139</v>
      </c>
      <c r="B8" t="inlineStr">
        <is>
          <t>Aarav Sharma</t>
        </is>
      </c>
      <c r="C8" t="inlineStr">
        <is>
          <t>North</t>
        </is>
      </c>
      <c r="D8" t="inlineStr">
        <is>
          <t>Steel Bottle</t>
        </is>
      </c>
      <c r="E8" s="5" t="n">
        <v>13500</v>
      </c>
    </row>
    <row r="9">
      <c r="A9" s="12" t="n">
        <v>46145</v>
      </c>
      <c r="B9" t="inlineStr">
        <is>
          <t>Rohan Mehta</t>
        </is>
      </c>
      <c r="C9" t="inlineStr">
        <is>
          <t>West</t>
        </is>
      </c>
      <c r="D9" t="inlineStr">
        <is>
          <t>Extension Board</t>
        </is>
      </c>
      <c r="E9" s="5" t="n">
        <v>16470</v>
      </c>
      <c r="G9" s="9" t="inlineStr">
        <is>
          <t>Challenge: last sale amount of product in H2</t>
        </is>
      </c>
      <c r="H9" s="4" t="n"/>
    </row>
    <row r="10">
      <c r="A10" s="12" t="n">
        <v>46150</v>
      </c>
      <c r="B10" t="inlineStr">
        <is>
          <t>Sneha Kulkarni</t>
        </is>
      </c>
      <c r="C10" t="inlineStr">
        <is>
          <t>West</t>
        </is>
      </c>
      <c r="D10" t="inlineStr">
        <is>
          <t>Ceiling Fan</t>
        </is>
      </c>
      <c r="E10" s="5" t="n">
        <v>31790</v>
      </c>
    </row>
    <row r="11">
      <c r="A11" s="12" t="n">
        <v>46154</v>
      </c>
      <c r="B11" t="inlineStr">
        <is>
          <t>Priya Nair</t>
        </is>
      </c>
      <c r="C11" t="inlineStr">
        <is>
          <t>South</t>
        </is>
      </c>
      <c r="D11" t="inlineStr">
        <is>
          <t>Pressure Cooker</t>
        </is>
      </c>
      <c r="E11" s="5" t="n">
        <v>47000</v>
      </c>
    </row>
    <row r="12">
      <c r="A12" s="12" t="n">
        <v>46158</v>
      </c>
      <c r="B12" t="inlineStr">
        <is>
          <t>Aarav Sharma</t>
        </is>
      </c>
      <c r="C12" t="inlineStr">
        <is>
          <t>North</t>
        </is>
      </c>
      <c r="D12" t="inlineStr">
        <is>
          <t>LED Bulb 9 W</t>
        </is>
      </c>
      <c r="E12" s="5" t="n">
        <v>2970</v>
      </c>
    </row>
    <row r="13">
      <c r="A13" s="12" t="n">
        <v>46163</v>
      </c>
      <c r="B13" t="inlineStr">
        <is>
          <t>Rohan Mehta</t>
        </is>
      </c>
      <c r="C13" t="inlineStr">
        <is>
          <t>West</t>
        </is>
      </c>
      <c r="D13" t="inlineStr">
        <is>
          <t>Pressure Cooker</t>
        </is>
      </c>
      <c r="E13" s="5" t="n">
        <v>35250</v>
      </c>
    </row>
    <row r="14">
      <c r="A14" s="12" t="n">
        <v>46168</v>
      </c>
      <c r="B14" t="inlineStr">
        <is>
          <t>Sneha Kulkarni</t>
        </is>
      </c>
      <c r="C14" t="inlineStr">
        <is>
          <t>West</t>
        </is>
      </c>
      <c r="D14" t="inlineStr">
        <is>
          <t>Steel Bottle</t>
        </is>
      </c>
      <c r="E14" s="5" t="n">
        <v>9000</v>
      </c>
    </row>
    <row r="15">
      <c r="A15" s="12" t="n">
        <v>46171</v>
      </c>
      <c r="B15" t="inlineStr">
        <is>
          <t>Priya Nair</t>
        </is>
      </c>
      <c r="C15" t="inlineStr">
        <is>
          <t>South</t>
        </is>
      </c>
      <c r="D15" t="inlineStr">
        <is>
          <t>Extension Board</t>
        </is>
      </c>
      <c r="E15" s="5" t="n">
        <v>5490</v>
      </c>
    </row>
    <row r="16">
      <c r="A16" s="12" t="n">
        <v>46173</v>
      </c>
      <c r="B16" t="inlineStr">
        <is>
          <t>Aarav Sharma</t>
        </is>
      </c>
      <c r="C16" t="inlineStr">
        <is>
          <t>North</t>
        </is>
      </c>
      <c r="D16" t="inlineStr">
        <is>
          <t>Ceiling Fan</t>
        </is>
      </c>
      <c r="E16" s="5" t="n">
        <v>40460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16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Salesperson</t>
        </is>
      </c>
      <c r="C1" s="3" t="inlineStr">
        <is>
          <t>Region</t>
        </is>
      </c>
      <c r="D1" s="3" t="inlineStr">
        <is>
          <t>Product</t>
        </is>
      </c>
      <c r="E1" s="3" t="inlineStr">
        <is>
          <t>Amount</t>
        </is>
      </c>
      <c r="G1" s="9" t="inlineStr">
        <is>
          <t>Salesperson</t>
        </is>
      </c>
      <c r="H1" s="8" t="inlineStr">
        <is>
          <t>Rohan Mehta</t>
        </is>
      </c>
    </row>
    <row r="2">
      <c r="A2" s="12" t="n">
        <v>46114</v>
      </c>
      <c r="B2" t="inlineStr">
        <is>
          <t>Rohan Mehta</t>
        </is>
      </c>
      <c r="C2" t="inlineStr">
        <is>
          <t>West</t>
        </is>
      </c>
      <c r="D2" t="inlineStr">
        <is>
          <t>Ceiling Fan</t>
        </is>
      </c>
      <c r="E2" s="5" t="n">
        <v>28900</v>
      </c>
      <c r="G2" s="9" t="inlineStr">
        <is>
          <t>Product</t>
        </is>
      </c>
      <c r="H2" s="8" t="inlineStr">
        <is>
          <t>Ceiling Fan</t>
        </is>
      </c>
    </row>
    <row r="3">
      <c r="A3" s="12" t="n">
        <v>46117</v>
      </c>
      <c r="B3" t="inlineStr">
        <is>
          <t>Priya Nair</t>
        </is>
      </c>
      <c r="C3" t="inlineStr">
        <is>
          <t>South</t>
        </is>
      </c>
      <c r="D3" t="inlineStr">
        <is>
          <t>LED Bulb 9 W</t>
        </is>
      </c>
      <c r="E3" s="5" t="n">
        <v>4950</v>
      </c>
      <c r="G3" s="9" t="inlineStr">
        <is>
          <t>Amount (both match)</t>
        </is>
      </c>
      <c r="H3" s="5" cm="1">
        <f t="array" ref="H3">_xlfn.XLOOKUP(1,(B2:B16=H1)*(D2:D16=H2),E2:E16,"No sale")</f>
        <v/>
      </c>
    </row>
    <row r="4">
      <c r="A4" s="12" t="n">
        <v>46121</v>
      </c>
      <c r="B4" t="inlineStr">
        <is>
          <t>Aarav Sharma</t>
        </is>
      </c>
      <c r="C4" t="inlineStr">
        <is>
          <t>North</t>
        </is>
      </c>
      <c r="D4" t="inlineStr">
        <is>
          <t>Pressure Cooker</t>
        </is>
      </c>
      <c r="E4" s="5" t="n">
        <v>23500</v>
      </c>
      <c r="G4" s="9" t="inlineStr">
        <is>
          <t>Last sale date</t>
        </is>
      </c>
      <c r="H4" s="12" cm="1">
        <f t="array" ref="H4">_xlfn.XLOOKUP(H1,B2:B16,A2:A16,"None",0,-1)</f>
        <v/>
      </c>
    </row>
    <row r="5">
      <c r="A5" s="12" t="n">
        <v>46126</v>
      </c>
      <c r="B5" t="inlineStr">
        <is>
          <t>Rohan Mehta</t>
        </is>
      </c>
      <c r="C5" t="inlineStr">
        <is>
          <t>West</t>
        </is>
      </c>
      <c r="D5" t="inlineStr">
        <is>
          <t>LED Bulb 9 W</t>
        </is>
      </c>
      <c r="E5" s="5" t="n">
        <v>9900</v>
      </c>
      <c r="G5" s="9" t="inlineStr">
        <is>
          <t>Product pattern</t>
        </is>
      </c>
      <c r="H5" s="8" t="inlineStr">
        <is>
          <t>*Cooker*</t>
        </is>
      </c>
    </row>
    <row r="6">
      <c r="A6" s="12" t="n">
        <v>46130</v>
      </c>
      <c r="B6" t="inlineStr">
        <is>
          <t>Sneha Kulkarni</t>
        </is>
      </c>
      <c r="C6" t="inlineStr">
        <is>
          <t>West</t>
        </is>
      </c>
      <c r="D6" t="inlineStr">
        <is>
          <t>Extension Board</t>
        </is>
      </c>
      <c r="E6" s="5" t="n">
        <v>10980</v>
      </c>
      <c r="G6" s="9" t="inlineStr">
        <is>
          <t>First amount for pattern</t>
        </is>
      </c>
      <c r="H6" s="5" cm="1">
        <f t="array" ref="H6">_xlfn.XLOOKUP(H5,D2:D16,E2:E16,"No match",2)</f>
        <v/>
      </c>
    </row>
    <row r="7">
      <c r="A7" s="12" t="n">
        <v>46134</v>
      </c>
      <c r="B7" t="inlineStr">
        <is>
          <t>Priya Nair</t>
        </is>
      </c>
      <c r="C7" t="inlineStr">
        <is>
          <t>South</t>
        </is>
      </c>
      <c r="D7" t="inlineStr">
        <is>
          <t>Ceiling Fan</t>
        </is>
      </c>
      <c r="E7" s="5" t="n">
        <v>57800</v>
      </c>
      <c r="G7" s="9" t="inlineStr">
        <is>
          <t>Row of last sale (XMATCH)</t>
        </is>
      </c>
      <c r="H7" cm="1">
        <f t="array" ref="H7">_xlfn.XMATCH(H1,B2:B16,0,-1)</f>
        <v/>
      </c>
    </row>
    <row r="8">
      <c r="A8" s="12" t="n">
        <v>46139</v>
      </c>
      <c r="B8" t="inlineStr">
        <is>
          <t>Aarav Sharma</t>
        </is>
      </c>
      <c r="C8" t="inlineStr">
        <is>
          <t>North</t>
        </is>
      </c>
      <c r="D8" t="inlineStr">
        <is>
          <t>Steel Bottle</t>
        </is>
      </c>
      <c r="E8" s="5" t="n">
        <v>13500</v>
      </c>
    </row>
    <row r="9">
      <c r="A9" s="12" t="n">
        <v>46145</v>
      </c>
      <c r="B9" t="inlineStr">
        <is>
          <t>Rohan Mehta</t>
        </is>
      </c>
      <c r="C9" t="inlineStr">
        <is>
          <t>West</t>
        </is>
      </c>
      <c r="D9" t="inlineStr">
        <is>
          <t>Extension Board</t>
        </is>
      </c>
      <c r="E9" s="5" t="n">
        <v>16470</v>
      </c>
      <c r="G9" s="9" t="inlineStr">
        <is>
          <t>Challenge: last sale amount of product in H2</t>
        </is>
      </c>
      <c r="H9" s="5" cm="1">
        <f t="array" ref="H9">_xlfn.XLOOKUP(H2,D2:D16,E2:E16,"None",0,-1)</f>
        <v/>
      </c>
    </row>
    <row r="10">
      <c r="A10" s="12" t="n">
        <v>46150</v>
      </c>
      <c r="B10" t="inlineStr">
        <is>
          <t>Sneha Kulkarni</t>
        </is>
      </c>
      <c r="C10" t="inlineStr">
        <is>
          <t>West</t>
        </is>
      </c>
      <c r="D10" t="inlineStr">
        <is>
          <t>Ceiling Fan</t>
        </is>
      </c>
      <c r="E10" s="5" t="n">
        <v>31790</v>
      </c>
    </row>
    <row r="11">
      <c r="A11" s="12" t="n">
        <v>46154</v>
      </c>
      <c r="B11" t="inlineStr">
        <is>
          <t>Priya Nair</t>
        </is>
      </c>
      <c r="C11" t="inlineStr">
        <is>
          <t>South</t>
        </is>
      </c>
      <c r="D11" t="inlineStr">
        <is>
          <t>Pressure Cooker</t>
        </is>
      </c>
      <c r="E11" s="5" t="n">
        <v>47000</v>
      </c>
    </row>
    <row r="12">
      <c r="A12" s="12" t="n">
        <v>46158</v>
      </c>
      <c r="B12" t="inlineStr">
        <is>
          <t>Aarav Sharma</t>
        </is>
      </c>
      <c r="C12" t="inlineStr">
        <is>
          <t>North</t>
        </is>
      </c>
      <c r="D12" t="inlineStr">
        <is>
          <t>LED Bulb 9 W</t>
        </is>
      </c>
      <c r="E12" s="5" t="n">
        <v>2970</v>
      </c>
    </row>
    <row r="13">
      <c r="A13" s="12" t="n">
        <v>46163</v>
      </c>
      <c r="B13" t="inlineStr">
        <is>
          <t>Rohan Mehta</t>
        </is>
      </c>
      <c r="C13" t="inlineStr">
        <is>
          <t>West</t>
        </is>
      </c>
      <c r="D13" t="inlineStr">
        <is>
          <t>Pressure Cooker</t>
        </is>
      </c>
      <c r="E13" s="5" t="n">
        <v>35250</v>
      </c>
    </row>
    <row r="14">
      <c r="A14" s="12" t="n">
        <v>46168</v>
      </c>
      <c r="B14" t="inlineStr">
        <is>
          <t>Sneha Kulkarni</t>
        </is>
      </c>
      <c r="C14" t="inlineStr">
        <is>
          <t>West</t>
        </is>
      </c>
      <c r="D14" t="inlineStr">
        <is>
          <t>Steel Bottle</t>
        </is>
      </c>
      <c r="E14" s="5" t="n">
        <v>9000</v>
      </c>
    </row>
    <row r="15">
      <c r="A15" s="12" t="n">
        <v>46171</v>
      </c>
      <c r="B15" t="inlineStr">
        <is>
          <t>Priya Nair</t>
        </is>
      </c>
      <c r="C15" t="inlineStr">
        <is>
          <t>South</t>
        </is>
      </c>
      <c r="D15" t="inlineStr">
        <is>
          <t>Extension Board</t>
        </is>
      </c>
      <c r="E15" s="5" t="n">
        <v>5490</v>
      </c>
    </row>
    <row r="16">
      <c r="A16" s="12" t="n">
        <v>46173</v>
      </c>
      <c r="B16" t="inlineStr">
        <is>
          <t>Aarav Sharma</t>
        </is>
      </c>
      <c r="C16" t="inlineStr">
        <is>
          <t>North</t>
        </is>
      </c>
      <c r="D16" t="inlineStr">
        <is>
          <t>Ceiling Fan</t>
        </is>
      </c>
      <c r="E16" s="5" t="n">
        <v>40460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3" customWidth="1" min="4" max="4"/>
    <col width="13" customWidth="1" min="5" max="5"/>
    <col width="3" customWidth="1" min="6" max="6"/>
    <col width="13" customWidth="1" min="7" max="7"/>
    <col width="16" customWidth="1" min="8" max="8"/>
    <col width="13" customWidth="1" min="9" max="9"/>
  </cols>
  <sheetData>
    <row r="1">
      <c r="A1" s="9" t="inlineStr">
        <is>
          <t>Scenario number (1-3)</t>
        </is>
      </c>
      <c r="B1" s="8" t="n">
        <v>2</v>
      </c>
      <c r="D1" s="14" t="inlineStr">
        <is>
          <t>Scenarios: 1 Conservative 8%, 2 Base 12%, 3 Optimistic 15%</t>
        </is>
      </c>
    </row>
    <row r="2">
      <c r="A2" s="9" t="inlineStr">
        <is>
          <t>Scenario</t>
        </is>
      </c>
      <c r="B2" s="8" t="n"/>
    </row>
    <row r="3">
      <c r="A3" s="9" t="inlineStr">
        <is>
          <t>Growth rate</t>
        </is>
      </c>
      <c r="B3" s="6" t="n"/>
    </row>
    <row r="4">
      <c r="A4" s="9" t="inlineStr">
        <is>
          <t>Revenue FY 2025-26</t>
        </is>
      </c>
      <c r="B4" s="5" t="n">
        <v>12000000</v>
      </c>
    </row>
    <row r="5">
      <c r="A5" s="9" t="inlineStr">
        <is>
          <t>Revenue FY 2026-27</t>
        </is>
      </c>
      <c r="B5" s="5">
        <f>B4*(1+B3)</f>
        <v/>
      </c>
    </row>
    <row r="7">
      <c r="G7" s="15" t="inlineStr">
        <is>
          <t>CHOOSECOLS</t>
        </is>
      </c>
    </row>
    <row r="8">
      <c r="A8" s="3" t="inlineStr">
        <is>
          <t>Branch</t>
        </is>
      </c>
      <c r="B8" s="3" t="inlineStr">
        <is>
          <t>Manager</t>
        </is>
      </c>
      <c r="C8" s="3" t="inlineStr">
        <is>
          <t>City</t>
        </is>
      </c>
      <c r="D8" s="3" t="inlineStr">
        <is>
          <t>Q1 Sales</t>
        </is>
      </c>
      <c r="E8" s="3" t="inlineStr">
        <is>
          <t>Q2 Sales</t>
        </is>
      </c>
      <c r="G8" s="8" t="n"/>
    </row>
    <row r="9">
      <c r="A9" t="inlineStr">
        <is>
          <t>Andheri</t>
        </is>
      </c>
      <c r="B9" t="inlineStr">
        <is>
          <t>Kiran Desai</t>
        </is>
      </c>
      <c r="C9" t="inlineStr">
        <is>
          <t>Mumbai</t>
        </is>
      </c>
      <c r="D9" s="5" t="n">
        <v>4250000</v>
      </c>
      <c r="E9" s="5" t="n">
        <v>4610000</v>
      </c>
    </row>
    <row r="10">
      <c r="A10" t="inlineStr">
        <is>
          <t>Koramangala</t>
        </is>
      </c>
      <c r="B10" t="inlineStr">
        <is>
          <t>Ramesh Gowda</t>
        </is>
      </c>
      <c r="C10" t="inlineStr">
        <is>
          <t>Bengaluru</t>
        </is>
      </c>
      <c r="D10" s="5" t="n">
        <v>3880000</v>
      </c>
      <c r="E10" s="5" t="n">
        <v>4120000</v>
      </c>
    </row>
    <row r="11">
      <c r="A11" t="inlineStr">
        <is>
          <t>T Nagar</t>
        </is>
      </c>
      <c r="B11" t="inlineStr">
        <is>
          <t>Lakshmi Srinivasan</t>
        </is>
      </c>
      <c r="C11" t="inlineStr">
        <is>
          <t>Chennai</t>
        </is>
      </c>
      <c r="D11" s="5" t="n">
        <v>2970000</v>
      </c>
      <c r="E11" s="5" t="n">
        <v>3150000</v>
      </c>
    </row>
    <row r="12">
      <c r="A12" t="inlineStr">
        <is>
          <t>Salt Lake</t>
        </is>
      </c>
      <c r="B12" t="inlineStr">
        <is>
          <t>Arindam Ghosh</t>
        </is>
      </c>
      <c r="C12" t="inlineStr">
        <is>
          <t>Kolkata</t>
        </is>
      </c>
      <c r="D12" s="5" t="n">
        <v>2240000</v>
      </c>
      <c r="E12" s="5" t="n">
        <v>2390000</v>
      </c>
    </row>
    <row r="13">
      <c r="A13" t="inlineStr">
        <is>
          <t>Connaught Place</t>
        </is>
      </c>
      <c r="B13" t="inlineStr">
        <is>
          <t>Neeraj Kapoor</t>
        </is>
      </c>
      <c r="C13" t="inlineStr">
        <is>
          <t>Delhi</t>
        </is>
      </c>
      <c r="D13" s="5" t="n">
        <v>4560000</v>
      </c>
      <c r="E13" s="5" t="n">
        <v>4390000</v>
      </c>
    </row>
    <row r="14">
      <c r="A14" t="inlineStr">
        <is>
          <t>Hinjewadi</t>
        </is>
      </c>
      <c r="B14" t="inlineStr">
        <is>
          <t>Sneha Patil</t>
        </is>
      </c>
      <c r="C14" t="inlineStr">
        <is>
          <t>Pune</t>
        </is>
      </c>
      <c r="D14" s="5" t="n">
        <v>3120000</v>
      </c>
      <c r="E14" s="5" t="n">
        <v>3470000</v>
      </c>
    </row>
    <row r="16">
      <c r="A16" s="15" t="inlineStr">
        <is>
          <t>CHOOSEROWS</t>
        </is>
      </c>
      <c r="G16" s="15" t="inlineStr">
        <is>
          <t>Challenge</t>
        </is>
      </c>
    </row>
    <row r="17">
      <c r="A17" s="8" t="n"/>
      <c r="G17" s="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3" customWidth="1" min="4" max="4"/>
    <col width="13" customWidth="1" min="5" max="5"/>
    <col width="3" customWidth="1" min="6" max="6"/>
    <col width="13" customWidth="1" min="7" max="7"/>
    <col width="16" customWidth="1" min="8" max="8"/>
    <col width="13" customWidth="1" min="9" max="9"/>
  </cols>
  <sheetData>
    <row r="1">
      <c r="A1" s="9" t="inlineStr">
        <is>
          <t>Scenario number (1-3)</t>
        </is>
      </c>
      <c r="B1" s="8" t="n">
        <v>2</v>
      </c>
      <c r="D1" s="14" t="inlineStr">
        <is>
          <t>Scenarios: 1 Conservative 8%, 2 Base 12%, 3 Optimistic 15%</t>
        </is>
      </c>
    </row>
    <row r="2">
      <c r="A2" s="9" t="inlineStr">
        <is>
          <t>Scenario</t>
        </is>
      </c>
      <c r="B2">
        <f>CHOOSE(B1,"Conservative","Base","Optimistic")</f>
        <v/>
      </c>
    </row>
    <row r="3">
      <c r="A3" s="9" t="inlineStr">
        <is>
          <t>Growth rate</t>
        </is>
      </c>
      <c r="B3" s="7">
        <f>CHOOSE(B1,8%,12%,15%)</f>
        <v/>
      </c>
    </row>
    <row r="4">
      <c r="A4" s="9" t="inlineStr">
        <is>
          <t>Revenue FY 2025-26</t>
        </is>
      </c>
      <c r="B4" s="5" t="n">
        <v>12000000</v>
      </c>
    </row>
    <row r="5">
      <c r="A5" s="9" t="inlineStr">
        <is>
          <t>Revenue FY 2026-27</t>
        </is>
      </c>
      <c r="B5" s="5">
        <f>B4*(1+B3)</f>
        <v/>
      </c>
    </row>
    <row r="7">
      <c r="G7" s="15" t="inlineStr">
        <is>
          <t>CHOOSECOLS</t>
        </is>
      </c>
    </row>
    <row r="8">
      <c r="A8" s="3" t="inlineStr">
        <is>
          <t>Branch</t>
        </is>
      </c>
      <c r="B8" s="3" t="inlineStr">
        <is>
          <t>Manager</t>
        </is>
      </c>
      <c r="C8" s="3" t="inlineStr">
        <is>
          <t>City</t>
        </is>
      </c>
      <c r="D8" s="3" t="inlineStr">
        <is>
          <t>Q1 Sales</t>
        </is>
      </c>
      <c r="E8" s="3" t="inlineStr">
        <is>
          <t>Q2 Sales</t>
        </is>
      </c>
      <c r="G8" cm="1">
        <f t="array" ref="G8:I14">_xlfn.CHOOSECOLS(A8:E14,3,1,5)</f>
        <v/>
      </c>
    </row>
    <row r="9">
      <c r="A9" t="inlineStr">
        <is>
          <t>Andheri</t>
        </is>
      </c>
      <c r="B9" t="inlineStr">
        <is>
          <t>Kiran Desai</t>
        </is>
      </c>
      <c r="C9" t="inlineStr">
        <is>
          <t>Mumbai</t>
        </is>
      </c>
      <c r="D9" s="5" t="n">
        <v>4250000</v>
      </c>
      <c r="E9" s="5" t="n">
        <v>4610000</v>
      </c>
      <c r="I9" s="5" t="n"/>
    </row>
    <row r="10">
      <c r="A10" t="inlineStr">
        <is>
          <t>Koramangala</t>
        </is>
      </c>
      <c r="B10" t="inlineStr">
        <is>
          <t>Ramesh Gowda</t>
        </is>
      </c>
      <c r="C10" t="inlineStr">
        <is>
          <t>Bengaluru</t>
        </is>
      </c>
      <c r="D10" s="5" t="n">
        <v>3880000</v>
      </c>
      <c r="E10" s="5" t="n">
        <v>4120000</v>
      </c>
      <c r="I10" s="5" t="n"/>
    </row>
    <row r="11">
      <c r="A11" t="inlineStr">
        <is>
          <t>T Nagar</t>
        </is>
      </c>
      <c r="B11" t="inlineStr">
        <is>
          <t>Lakshmi Srinivasan</t>
        </is>
      </c>
      <c r="C11" t="inlineStr">
        <is>
          <t>Chennai</t>
        </is>
      </c>
      <c r="D11" s="5" t="n">
        <v>2970000</v>
      </c>
      <c r="E11" s="5" t="n">
        <v>3150000</v>
      </c>
      <c r="I11" s="5" t="n"/>
    </row>
    <row r="12">
      <c r="A12" t="inlineStr">
        <is>
          <t>Salt Lake</t>
        </is>
      </c>
      <c r="B12" t="inlineStr">
        <is>
          <t>Arindam Ghosh</t>
        </is>
      </c>
      <c r="C12" t="inlineStr">
        <is>
          <t>Kolkata</t>
        </is>
      </c>
      <c r="D12" s="5" t="n">
        <v>2240000</v>
      </c>
      <c r="E12" s="5" t="n">
        <v>2390000</v>
      </c>
      <c r="I12" s="5" t="n"/>
    </row>
    <row r="13">
      <c r="A13" t="inlineStr">
        <is>
          <t>Connaught Place</t>
        </is>
      </c>
      <c r="B13" t="inlineStr">
        <is>
          <t>Neeraj Kapoor</t>
        </is>
      </c>
      <c r="C13" t="inlineStr">
        <is>
          <t>Delhi</t>
        </is>
      </c>
      <c r="D13" s="5" t="n">
        <v>4560000</v>
      </c>
      <c r="E13" s="5" t="n">
        <v>4390000</v>
      </c>
      <c r="I13" s="5" t="n"/>
    </row>
    <row r="14">
      <c r="A14" t="inlineStr">
        <is>
          <t>Hinjewadi</t>
        </is>
      </c>
      <c r="B14" t="inlineStr">
        <is>
          <t>Sneha Patil</t>
        </is>
      </c>
      <c r="C14" t="inlineStr">
        <is>
          <t>Pune</t>
        </is>
      </c>
      <c r="D14" s="5" t="n">
        <v>3120000</v>
      </c>
      <c r="E14" s="5" t="n">
        <v>3470000</v>
      </c>
      <c r="I14" s="5" t="n"/>
    </row>
    <row r="16">
      <c r="A16" s="15" t="inlineStr">
        <is>
          <t>CHOOSEROWS</t>
        </is>
      </c>
      <c r="G16" s="15" t="inlineStr">
        <is>
          <t>Challenge</t>
        </is>
      </c>
    </row>
    <row r="17">
      <c r="A17" cm="1">
        <f t="array" ref="A17:E18">_xlfn.CHOOSEROWS(A8:E14,1,-1)</f>
        <v/>
      </c>
      <c r="G17" cm="1">
        <f t="array" ref="G17:H23">_xlfn.CHOOSECOLS(A8:E14,5,3)</f>
        <v/>
      </c>
    </row>
    <row r="18">
      <c r="D18" s="5" t="n"/>
      <c r="E18" s="5" t="n"/>
      <c r="G18" s="5" t="n"/>
    </row>
    <row r="19">
      <c r="G19" s="5" t="n"/>
    </row>
    <row r="20">
      <c r="G20" s="5" t="n"/>
    </row>
    <row r="21">
      <c r="G21" s="5" t="n"/>
    </row>
    <row r="22">
      <c r="G22" s="5" t="n"/>
    </row>
    <row r="23">
      <c r="G23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" customWidth="1" min="3" max="3"/>
    <col width="8" customWidth="1" min="4" max="4"/>
    <col width="13" customWidth="1" min="5" max="5"/>
    <col width="3" customWidth="1" min="6" max="6"/>
    <col width="36" customWidth="1" min="7" max="7"/>
    <col width="13" customWidth="1" min="8" max="8"/>
  </cols>
  <sheetData>
    <row r="1">
      <c r="A1" s="9" t="inlineStr">
        <is>
          <t>Branch</t>
        </is>
      </c>
      <c r="B1" s="8" t="inlineStr">
        <is>
          <t>Mumbai</t>
        </is>
      </c>
      <c r="D1" s="3" t="inlineStr">
        <is>
          <t>Month</t>
        </is>
      </c>
      <c r="E1" s="3" t="inlineStr">
        <is>
          <t>Sales</t>
        </is>
      </c>
      <c r="G1" s="9" t="inlineStr">
        <is>
          <t>Months with data</t>
        </is>
      </c>
      <c r="H1" s="8" t="n"/>
    </row>
    <row r="2">
      <c r="A2" s="9" t="inlineStr">
        <is>
          <t>Full-year sales</t>
        </is>
      </c>
      <c r="B2" s="4" t="n"/>
      <c r="D2" t="inlineStr">
        <is>
          <t>Apr</t>
        </is>
      </c>
      <c r="E2" s="5" t="n">
        <v>1240000</v>
      </c>
      <c r="G2" s="9" t="inlineStr">
        <is>
          <t>Last 3 months total</t>
        </is>
      </c>
      <c r="H2" s="4" t="n"/>
    </row>
    <row r="3">
      <c r="D3" t="inlineStr">
        <is>
          <t>May</t>
        </is>
      </c>
      <c r="E3" s="5" t="n">
        <v>1315000</v>
      </c>
      <c r="G3" s="9" t="inlineStr">
        <is>
          <t>Address of last month</t>
        </is>
      </c>
      <c r="H3" s="8" t="n"/>
    </row>
    <row r="4">
      <c r="A4" s="14" t="inlineStr">
        <is>
          <t>Branch sheets: Mumbai, Delhi, Bengaluru</t>
        </is>
      </c>
      <c r="D4" t="inlineStr">
        <is>
          <t>Jun</t>
        </is>
      </c>
      <c r="E4" s="5" t="n">
        <v>1190000</v>
      </c>
    </row>
    <row r="5">
      <c r="D5" t="inlineStr">
        <is>
          <t>Jul</t>
        </is>
      </c>
      <c r="E5" s="5" t="n">
        <v>1420000</v>
      </c>
      <c r="G5" s="9" t="inlineStr">
        <is>
          <t>Challenge: last 3 months with INDEX</t>
        </is>
      </c>
      <c r="H5" s="4" t="n"/>
    </row>
    <row r="6">
      <c r="D6" t="inlineStr">
        <is>
          <t>Aug</t>
        </is>
      </c>
      <c r="E6" s="5" t="n">
        <v>1365000</v>
      </c>
    </row>
    <row r="7">
      <c r="D7" t="inlineStr">
        <is>
          <t>Sep</t>
        </is>
      </c>
      <c r="E7" s="5" t="n">
        <v>1510000</v>
      </c>
    </row>
    <row r="8">
      <c r="D8" t="inlineStr">
        <is>
          <t>Oct</t>
        </is>
      </c>
      <c r="E8" s="5" t="n"/>
    </row>
    <row r="9">
      <c r="D9" t="inlineStr">
        <is>
          <t>Nov</t>
        </is>
      </c>
      <c r="E9" s="5" t="n"/>
    </row>
    <row r="10">
      <c r="D10" t="inlineStr">
        <is>
          <t>Dec</t>
        </is>
      </c>
      <c r="E10" s="5" t="n"/>
    </row>
    <row r="11">
      <c r="D11" t="inlineStr">
        <is>
          <t>Jan</t>
        </is>
      </c>
      <c r="E11" s="5" t="n"/>
    </row>
    <row r="12">
      <c r="D12" t="inlineStr">
        <is>
          <t>Feb</t>
        </is>
      </c>
      <c r="E12" s="5" t="n"/>
    </row>
    <row r="13">
      <c r="D13" t="inlineStr">
        <is>
          <t>Mar</t>
        </is>
      </c>
      <c r="E13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" customWidth="1" min="3" max="3"/>
    <col width="8" customWidth="1" min="4" max="4"/>
    <col width="13" customWidth="1" min="5" max="5"/>
    <col width="3" customWidth="1" min="6" max="6"/>
    <col width="36" customWidth="1" min="7" max="7"/>
    <col width="13" customWidth="1" min="8" max="8"/>
  </cols>
  <sheetData>
    <row r="1">
      <c r="A1" s="9" t="inlineStr">
        <is>
          <t>Branch</t>
        </is>
      </c>
      <c r="B1" s="8" t="inlineStr">
        <is>
          <t>Mumbai</t>
        </is>
      </c>
      <c r="D1" s="3" t="inlineStr">
        <is>
          <t>Month</t>
        </is>
      </c>
      <c r="E1" s="3" t="inlineStr">
        <is>
          <t>Sales</t>
        </is>
      </c>
      <c r="G1" s="9" t="inlineStr">
        <is>
          <t>Months with data</t>
        </is>
      </c>
      <c r="H1">
        <f>COUNT(E2:E13)</f>
        <v/>
      </c>
    </row>
    <row r="2">
      <c r="A2" s="9" t="inlineStr">
        <is>
          <t>Full-year sales</t>
        </is>
      </c>
      <c r="B2" s="5">
        <f>SUM(INDIRECT(B1&amp;"!B2:B13"))</f>
        <v/>
      </c>
      <c r="D2" t="inlineStr">
        <is>
          <t>Apr</t>
        </is>
      </c>
      <c r="E2" s="5" t="n">
        <v>1240000</v>
      </c>
      <c r="G2" s="9" t="inlineStr">
        <is>
          <t>Last 3 months total</t>
        </is>
      </c>
      <c r="H2" s="5">
        <f>SUM(OFFSET(E1,H1-2,0,3,1))</f>
        <v/>
      </c>
    </row>
    <row r="3">
      <c r="D3" t="inlineStr">
        <is>
          <t>May</t>
        </is>
      </c>
      <c r="E3" s="5" t="n">
        <v>1315000</v>
      </c>
      <c r="G3" s="9" t="inlineStr">
        <is>
          <t>Address of last month</t>
        </is>
      </c>
      <c r="H3">
        <f>ADDRESS(H1+ROW(E1),COLUMN(E1))</f>
        <v/>
      </c>
    </row>
    <row r="4">
      <c r="A4" s="14" t="inlineStr">
        <is>
          <t>Branch sheets: Mumbai, Delhi, Bengaluru</t>
        </is>
      </c>
      <c r="D4" t="inlineStr">
        <is>
          <t>Jun</t>
        </is>
      </c>
      <c r="E4" s="5" t="n">
        <v>1190000</v>
      </c>
    </row>
    <row r="5">
      <c r="D5" t="inlineStr">
        <is>
          <t>Jul</t>
        </is>
      </c>
      <c r="E5" s="5" t="n">
        <v>1420000</v>
      </c>
      <c r="G5" s="9" t="inlineStr">
        <is>
          <t>Challenge: last 3 months with INDEX</t>
        </is>
      </c>
      <c r="H5" s="5">
        <f>SUM(INDEX(E2:E13,H1-2):INDEX(E2:E13,H1))</f>
        <v/>
      </c>
    </row>
    <row r="6">
      <c r="D6" t="inlineStr">
        <is>
          <t>Aug</t>
        </is>
      </c>
      <c r="E6" s="5" t="n">
        <v>1365000</v>
      </c>
    </row>
    <row r="7">
      <c r="D7" t="inlineStr">
        <is>
          <t>Sep</t>
        </is>
      </c>
      <c r="E7" s="5" t="n">
        <v>1510000</v>
      </c>
    </row>
    <row r="8">
      <c r="D8" t="inlineStr">
        <is>
          <t>Oct</t>
        </is>
      </c>
      <c r="E8" s="5" t="n"/>
    </row>
    <row r="9">
      <c r="D9" t="inlineStr">
        <is>
          <t>Nov</t>
        </is>
      </c>
      <c r="E9" s="5" t="n"/>
    </row>
    <row r="10">
      <c r="D10" t="inlineStr">
        <is>
          <t>Dec</t>
        </is>
      </c>
      <c r="E10" s="5" t="n"/>
    </row>
    <row r="11">
      <c r="D11" t="inlineStr">
        <is>
          <t>Jan</t>
        </is>
      </c>
      <c r="E11" s="5" t="n"/>
    </row>
    <row r="12">
      <c r="D12" t="inlineStr">
        <is>
          <t>Feb</t>
        </is>
      </c>
      <c r="E12" s="5" t="n"/>
    </row>
    <row r="13">
      <c r="D13" t="inlineStr">
        <is>
          <t>Mar</t>
        </is>
      </c>
      <c r="E13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10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6" customWidth="1" min="3" max="3"/>
  </cols>
  <sheetData>
    <row r="1">
      <c r="A1" s="3" t="inlineStr">
        <is>
          <t>Sheet</t>
        </is>
      </c>
      <c r="B1" s="3" t="inlineStr">
        <is>
          <t>Link</t>
        </is>
      </c>
      <c r="C1" s="3" t="inlineStr">
        <is>
          <t>What it covers</t>
        </is>
      </c>
    </row>
    <row r="2">
      <c r="A2" t="inlineStr">
        <is>
          <t>S07-01</t>
        </is>
      </c>
      <c r="B2" s="8" t="n"/>
      <c r="C2" t="inlineStr">
        <is>
          <t>VLOOKUP, exact match</t>
        </is>
      </c>
    </row>
    <row r="3">
      <c r="A3" t="inlineStr">
        <is>
          <t>S07-02</t>
        </is>
      </c>
      <c r="B3" s="8" t="n"/>
      <c r="C3" t="inlineStr">
        <is>
          <t>Commission slabs</t>
        </is>
      </c>
    </row>
    <row r="4">
      <c r="A4" t="inlineStr">
        <is>
          <t>S07-03</t>
        </is>
      </c>
      <c r="B4" s="8" t="n"/>
      <c r="C4" t="inlineStr">
        <is>
          <t>HLOOKUP, INDEX and MATCH</t>
        </is>
      </c>
    </row>
    <row r="5">
      <c r="A5" t="inlineStr">
        <is>
          <t>S07-04</t>
        </is>
      </c>
      <c r="B5" s="8" t="n"/>
      <c r="C5" t="inlineStr">
        <is>
          <t>XLOOKUP basics</t>
        </is>
      </c>
    </row>
    <row r="6">
      <c r="A6" t="inlineStr">
        <is>
          <t>S07-05</t>
        </is>
      </c>
      <c r="B6" s="8" t="n"/>
      <c r="C6" t="inlineStr">
        <is>
          <t>XLOOKUP advanced</t>
        </is>
      </c>
    </row>
    <row r="7">
      <c r="A7" t="inlineStr">
        <is>
          <t>S07-06</t>
        </is>
      </c>
      <c r="B7" s="8" t="n"/>
      <c r="C7" t="inlineStr">
        <is>
          <t>CHOOSE family</t>
        </is>
      </c>
    </row>
    <row r="8">
      <c r="A8" t="inlineStr">
        <is>
          <t>S07-07</t>
        </is>
      </c>
      <c r="B8" s="8" t="n"/>
      <c r="C8" t="inlineStr">
        <is>
          <t>INDIRECT and OFFSET</t>
        </is>
      </c>
    </row>
    <row r="10">
      <c r="A10" s="9" t="inlineStr">
        <is>
          <t>Website</t>
        </is>
      </c>
      <c r="B10" s="8" t="n"/>
      <c r="C10" t="inlineStr">
        <is>
          <t>GST portal</t>
        </is>
      </c>
    </row>
    <row r="11">
      <c r="A11" s="9" t="inlineStr">
        <is>
          <t>Cell</t>
        </is>
      </c>
      <c r="B11" s="8" t="n"/>
      <c r="C11" t="inlineStr">
        <is>
          <t>Rolling 3-month total on S07-07</t>
        </is>
      </c>
    </row>
    <row r="12">
      <c r="A12" s="9" t="n"/>
    </row>
    <row r="13">
      <c r="A13" s="9" t="inlineStr">
        <is>
          <t>Back to top</t>
        </is>
      </c>
      <c r="B13" s="8" t="n"/>
      <c r="C13" t="inlineStr">
        <is>
          <t>Challenge: link to A1 of this sheet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10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6" customWidth="1" min="3" max="3"/>
  </cols>
  <sheetData>
    <row r="1">
      <c r="A1" s="3" t="inlineStr">
        <is>
          <t>Sheet</t>
        </is>
      </c>
      <c r="B1" s="3" t="inlineStr">
        <is>
          <t>Link</t>
        </is>
      </c>
      <c r="C1" s="3" t="inlineStr">
        <is>
          <t>What it covers</t>
        </is>
      </c>
    </row>
    <row r="2">
      <c r="A2" t="inlineStr">
        <is>
          <t>S07-01</t>
        </is>
      </c>
      <c r="B2">
        <f>HYPERLINK("#'"&amp;A2&amp;"'!A1","Go to "&amp;A2)</f>
        <v/>
      </c>
      <c r="C2" t="inlineStr">
        <is>
          <t>VLOOKUP, exact match</t>
        </is>
      </c>
    </row>
    <row r="3">
      <c r="A3" t="inlineStr">
        <is>
          <t>S07-02</t>
        </is>
      </c>
      <c r="B3">
        <f>HYPERLINK("#'"&amp;A3&amp;"'!A1","Go to "&amp;A3)</f>
        <v/>
      </c>
      <c r="C3" t="inlineStr">
        <is>
          <t>Commission slabs</t>
        </is>
      </c>
    </row>
    <row r="4">
      <c r="A4" t="inlineStr">
        <is>
          <t>S07-03</t>
        </is>
      </c>
      <c r="B4">
        <f>HYPERLINK("#'"&amp;A4&amp;"'!A1","Go to "&amp;A4)</f>
        <v/>
      </c>
      <c r="C4" t="inlineStr">
        <is>
          <t>HLOOKUP, INDEX and MATCH</t>
        </is>
      </c>
    </row>
    <row r="5">
      <c r="A5" t="inlineStr">
        <is>
          <t>S07-04</t>
        </is>
      </c>
      <c r="B5">
        <f>HYPERLINK("#'"&amp;A5&amp;"'!A1","Go to "&amp;A5)</f>
        <v/>
      </c>
      <c r="C5" t="inlineStr">
        <is>
          <t>XLOOKUP basics</t>
        </is>
      </c>
    </row>
    <row r="6">
      <c r="A6" t="inlineStr">
        <is>
          <t>S07-05</t>
        </is>
      </c>
      <c r="B6">
        <f>HYPERLINK("#'"&amp;A6&amp;"'!A1","Go to "&amp;A6)</f>
        <v/>
      </c>
      <c r="C6" t="inlineStr">
        <is>
          <t>XLOOKUP advanced</t>
        </is>
      </c>
    </row>
    <row r="7">
      <c r="A7" t="inlineStr">
        <is>
          <t>S07-06</t>
        </is>
      </c>
      <c r="B7">
        <f>HYPERLINK("#'"&amp;A7&amp;"'!A1","Go to "&amp;A7)</f>
        <v/>
      </c>
      <c r="C7" t="inlineStr">
        <is>
          <t>CHOOSE family</t>
        </is>
      </c>
    </row>
    <row r="8">
      <c r="A8" t="inlineStr">
        <is>
          <t>S07-07</t>
        </is>
      </c>
      <c r="B8">
        <f>HYPERLINK("#'"&amp;A8&amp;"'!A1","Go to "&amp;A8)</f>
        <v/>
      </c>
      <c r="C8" t="inlineStr">
        <is>
          <t>INDIRECT and OFFSET</t>
        </is>
      </c>
    </row>
    <row r="10">
      <c r="A10" s="9" t="inlineStr">
        <is>
          <t>Website</t>
        </is>
      </c>
      <c r="B10">
        <f>HYPERLINK("https://www.gst.gov.in","Open GST portal")</f>
        <v/>
      </c>
      <c r="C10" t="inlineStr">
        <is>
          <t>GST portal</t>
        </is>
      </c>
    </row>
    <row r="11">
      <c r="A11" s="9" t="inlineStr">
        <is>
          <t>Cell</t>
        </is>
      </c>
      <c r="B11">
        <f>HYPERLINK("#'S07-07'!H2","Rolling total")</f>
        <v/>
      </c>
      <c r="C11" t="inlineStr">
        <is>
          <t>Rolling 3-month total on S07-07</t>
        </is>
      </c>
    </row>
    <row r="12">
      <c r="A12" s="9" t="n"/>
    </row>
    <row r="13">
      <c r="A13" s="9" t="inlineStr">
        <is>
          <t>Back to top</t>
        </is>
      </c>
      <c r="B13">
        <f>HYPERLINK("#'S07-08 Done'!A1","Back to top")</f>
        <v/>
      </c>
      <c r="C13" t="inlineStr">
        <is>
          <t>Challenge: link to A1 of this sheet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1" customWidth="1" min="3" max="3"/>
    <col width="9" customWidth="1" min="4" max="4"/>
    <col width="8" customWidth="1" min="5" max="5"/>
    <col width="13" customWidth="1" min="6" max="6"/>
    <col width="12" customWidth="1" min="7" max="7"/>
    <col width="12" customWidth="1" min="8" max="8"/>
    <col width="3" customWidth="1" min="9" max="9"/>
    <col width="70" customWidth="1" min="10" max="10"/>
  </cols>
  <sheetData>
    <row r="1">
      <c r="A1" s="16" t="inlineStr">
        <is>
          <t>TAX INVOICE</t>
        </is>
      </c>
      <c r="J1" s="17" t="inlineStr">
        <is>
          <t>Challenge 5: complete the invoice</t>
        </is>
      </c>
    </row>
    <row r="2">
      <c r="A2" s="9" t="inlineStr">
        <is>
          <t>Invoice No</t>
        </is>
      </c>
      <c r="B2" t="inlineStr">
        <is>
          <t>INV/26-27/0148</t>
        </is>
      </c>
      <c r="D2" s="9" t="inlineStr">
        <is>
          <t>Customer</t>
        </is>
      </c>
      <c r="E2" t="inlineStr">
        <is>
          <t>Shree Ganesh Traders, Pune</t>
        </is>
      </c>
      <c r="J2" s="18" t="inlineStr">
        <is>
          <t>1. In C6, use ONE XLOOKUP to return Product, Rate and GST % for the code in A6</t>
        </is>
      </c>
    </row>
    <row r="3">
      <c r="A3" s="9" t="inlineStr">
        <is>
          <t>Date</t>
        </is>
      </c>
      <c r="B3" s="12" t="n">
        <v>46318</v>
      </c>
      <c r="D3" s="9" t="inlineStr">
        <is>
          <t>GSTIN</t>
        </is>
      </c>
      <c r="E3" t="inlineStr">
        <is>
          <t>27ABCDE1234F1Z5</t>
        </is>
      </c>
      <c r="J3" s="18" t="inlineStr">
        <is>
          <t xml:space="preserve">   from the 'Product Master' sheet. It should spill into D6 and E6.</t>
        </is>
      </c>
    </row>
    <row r="4">
      <c r="J4" s="18" t="inlineStr">
        <is>
          <t>2. If the code is not found, show "Check code".</t>
        </is>
      </c>
    </row>
    <row r="5">
      <c r="A5" s="3" t="inlineStr">
        <is>
          <t>Code</t>
        </is>
      </c>
      <c r="B5" s="3" t="inlineStr">
        <is>
          <t>Qty</t>
        </is>
      </c>
      <c r="C5" s="3" t="inlineStr">
        <is>
          <t>Product</t>
        </is>
      </c>
      <c r="D5" s="3" t="inlineStr">
        <is>
          <t>Rate</t>
        </is>
      </c>
      <c r="E5" s="3" t="inlineStr">
        <is>
          <t>GST %</t>
        </is>
      </c>
      <c r="F5" s="3" t="inlineStr">
        <is>
          <t>Taxable Value</t>
        </is>
      </c>
      <c r="G5" s="3" t="inlineStr">
        <is>
          <t>GST Amount</t>
        </is>
      </c>
      <c r="H5" s="3" t="inlineStr">
        <is>
          <t>Line Total</t>
        </is>
      </c>
      <c r="J5" s="18" t="inlineStr">
        <is>
          <t>3. Copy C6 down to C11.</t>
        </is>
      </c>
    </row>
    <row r="6">
      <c r="A6" t="inlineStr">
        <is>
          <t>P103</t>
        </is>
      </c>
      <c r="B6" t="n">
        <v>4</v>
      </c>
      <c r="C6" s="8" t="n"/>
      <c r="D6" s="4" t="n"/>
      <c r="E6" s="6" t="n"/>
      <c r="F6" s="4" t="n"/>
      <c r="G6" s="4" t="n"/>
      <c r="H6" s="4" t="n"/>
      <c r="J6" s="18" t="inlineStr">
        <is>
          <t>4. F6: Taxable Value = Qty × Rate</t>
        </is>
      </c>
    </row>
    <row r="7">
      <c r="A7" t="inlineStr">
        <is>
          <t>P109</t>
        </is>
      </c>
      <c r="B7" t="n">
        <v>2</v>
      </c>
      <c r="C7" s="8" t="n"/>
      <c r="D7" s="4" t="n"/>
      <c r="E7" s="6" t="n"/>
      <c r="F7" s="4" t="n"/>
      <c r="G7" s="4" t="n"/>
      <c r="H7" s="4" t="n"/>
      <c r="J7" s="18" t="inlineStr">
        <is>
          <t>5. G6: GST Amount = Taxable Value × GST %</t>
        </is>
      </c>
    </row>
    <row r="8">
      <c r="A8" t="inlineStr">
        <is>
          <t>P101</t>
        </is>
      </c>
      <c r="B8" t="n">
        <v>10</v>
      </c>
      <c r="C8" s="8" t="n"/>
      <c r="D8" s="4" t="n"/>
      <c r="E8" s="6" t="n"/>
      <c r="F8" s="4" t="n"/>
      <c r="G8" s="4" t="n"/>
      <c r="H8" s="4" t="n"/>
      <c r="J8" s="18" t="inlineStr">
        <is>
          <t>6. H6: Line Total = Taxable Value + GST Amount. Fill F6:H6 down to row 11.</t>
        </is>
      </c>
    </row>
    <row r="9">
      <c r="A9" t="inlineStr">
        <is>
          <t>P108</t>
        </is>
      </c>
      <c r="B9" t="n">
        <v>25</v>
      </c>
      <c r="C9" s="8" t="n"/>
      <c r="D9" s="4" t="n"/>
      <c r="E9" s="6" t="n"/>
      <c r="F9" s="4" t="n"/>
      <c r="G9" s="4" t="n"/>
      <c r="H9" s="4" t="n"/>
      <c r="J9" s="18" t="inlineStr">
        <is>
          <t>7. Row 13: SUM the Taxable Value, GST Amount and Line Total columns.</t>
        </is>
      </c>
    </row>
    <row r="10">
      <c r="A10" t="inlineStr">
        <is>
          <t>P115</t>
        </is>
      </c>
      <c r="B10" t="n">
        <v>3</v>
      </c>
      <c r="C10" s="8" t="n"/>
      <c r="D10" s="4" t="n"/>
      <c r="E10" s="6" t="n"/>
      <c r="F10" s="4" t="n"/>
      <c r="G10" s="4" t="n"/>
      <c r="H10" s="4" t="n"/>
      <c r="J10" s="18" t="inlineStr"/>
    </row>
    <row r="11">
      <c r="A11" t="inlineStr">
        <is>
          <t>P106</t>
        </is>
      </c>
      <c r="B11" t="n">
        <v>8</v>
      </c>
      <c r="C11" s="8" t="n"/>
      <c r="D11" s="4" t="n"/>
      <c r="E11" s="6" t="n"/>
      <c r="F11" s="4" t="n"/>
      <c r="G11" s="4" t="n"/>
      <c r="H11" s="4" t="n"/>
      <c r="J11" s="18" t="inlineStr">
        <is>
          <t>Check: H6 should show ₹2,688.</t>
        </is>
      </c>
    </row>
    <row r="12">
      <c r="F12" s="5" t="n"/>
      <c r="G12" s="5" t="n"/>
      <c r="H12" s="5" t="n"/>
      <c r="J12" s="18" t="inlineStr">
        <is>
          <t>Answers: sheet 'S07-09 Answers'</t>
        </is>
      </c>
    </row>
    <row r="13">
      <c r="E13" s="9" t="inlineStr">
        <is>
          <t>Totals</t>
        </is>
      </c>
      <c r="F13" s="4" t="n"/>
      <c r="G13" s="4" t="n"/>
      <c r="H13" s="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"/>
  <sheetViews>
    <sheetView zoomScale="10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1" customWidth="1" min="3" max="3"/>
    <col width="9" customWidth="1" min="4" max="4"/>
    <col width="8" customWidth="1" min="5" max="5"/>
    <col width="13" customWidth="1" min="6" max="6"/>
    <col width="12" customWidth="1" min="7" max="7"/>
    <col width="12" customWidth="1" min="8" max="8"/>
    <col width="3" customWidth="1" min="9" max="9"/>
    <col width="70" customWidth="1" min="10" max="10"/>
  </cols>
  <sheetData>
    <row r="1">
      <c r="A1" s="16" t="inlineStr">
        <is>
          <t>TAX INVOICE</t>
        </is>
      </c>
      <c r="J1" s="17" t="inlineStr">
        <is>
          <t>Challenge 5: complete the invoice</t>
        </is>
      </c>
    </row>
    <row r="2">
      <c r="A2" s="9" t="inlineStr">
        <is>
          <t>Invoice No</t>
        </is>
      </c>
      <c r="B2" t="inlineStr">
        <is>
          <t>INV/26-27/0148</t>
        </is>
      </c>
      <c r="D2" s="9" t="inlineStr">
        <is>
          <t>Customer</t>
        </is>
      </c>
      <c r="E2" t="inlineStr">
        <is>
          <t>Shree Ganesh Traders, Pune</t>
        </is>
      </c>
      <c r="J2" s="18" t="inlineStr">
        <is>
          <t>1. In C6, use ONE XLOOKUP to return Product, Rate and GST % for the code in A6</t>
        </is>
      </c>
    </row>
    <row r="3">
      <c r="A3" s="9" t="inlineStr">
        <is>
          <t>Date</t>
        </is>
      </c>
      <c r="B3" s="12" t="n">
        <v>46318</v>
      </c>
      <c r="D3" s="9" t="inlineStr">
        <is>
          <t>GSTIN</t>
        </is>
      </c>
      <c r="E3" t="inlineStr">
        <is>
          <t>27ABCDE1234F1Z5</t>
        </is>
      </c>
      <c r="J3" s="18" t="inlineStr">
        <is>
          <t xml:space="preserve">   from the 'Product Master' sheet. It should spill into D6 and E6.</t>
        </is>
      </c>
    </row>
    <row r="4">
      <c r="J4" s="18" t="inlineStr">
        <is>
          <t>2. If the code is not found, show "Check code".</t>
        </is>
      </c>
    </row>
    <row r="5">
      <c r="A5" s="3" t="inlineStr">
        <is>
          <t>Code</t>
        </is>
      </c>
      <c r="B5" s="3" t="inlineStr">
        <is>
          <t>Qty</t>
        </is>
      </c>
      <c r="C5" s="3" t="inlineStr">
        <is>
          <t>Product</t>
        </is>
      </c>
      <c r="D5" s="3" t="inlineStr">
        <is>
          <t>Rate</t>
        </is>
      </c>
      <c r="E5" s="3" t="inlineStr">
        <is>
          <t>GST %</t>
        </is>
      </c>
      <c r="F5" s="3" t="inlineStr">
        <is>
          <t>Taxable Value</t>
        </is>
      </c>
      <c r="G5" s="3" t="inlineStr">
        <is>
          <t>GST Amount</t>
        </is>
      </c>
      <c r="H5" s="3" t="inlineStr">
        <is>
          <t>Line Total</t>
        </is>
      </c>
      <c r="J5" s="18" t="inlineStr">
        <is>
          <t>3. Copy C6 down to C11.</t>
        </is>
      </c>
    </row>
    <row r="6">
      <c r="A6" t="inlineStr">
        <is>
          <t>P103</t>
        </is>
      </c>
      <c r="B6" t="n">
        <v>4</v>
      </c>
      <c r="C6" cm="1">
        <f t="array" ref="C6:E6">_xlfn.XLOOKUP(A6,'Product Master'!$A$2:$A$11,'Product Master'!$B$2:$D$11,"Check code")</f>
        <v/>
      </c>
      <c r="D6" s="5" t="n"/>
      <c r="E6" s="7" t="n"/>
      <c r="F6" s="5">
        <f>B6*D6</f>
        <v/>
      </c>
      <c r="G6" s="5">
        <f>F6*E6</f>
        <v/>
      </c>
      <c r="H6" s="5">
        <f>F6+G6</f>
        <v/>
      </c>
      <c r="J6" s="18" t="inlineStr">
        <is>
          <t>4. F6: Taxable Value = Qty × Rate</t>
        </is>
      </c>
    </row>
    <row r="7">
      <c r="A7" t="inlineStr">
        <is>
          <t>P109</t>
        </is>
      </c>
      <c r="B7" t="n">
        <v>2</v>
      </c>
      <c r="C7" cm="1">
        <f t="array" ref="C7:E7">_xlfn.XLOOKUP(A7,'Product Master'!$A$2:$A$11,'Product Master'!$B$2:$D$11,"Check code")</f>
        <v/>
      </c>
      <c r="D7" s="5" t="n"/>
      <c r="E7" s="7" t="n"/>
      <c r="F7" s="5">
        <f>B7*D7</f>
        <v/>
      </c>
      <c r="G7" s="5">
        <f>F7*E7</f>
        <v/>
      </c>
      <c r="H7" s="5">
        <f>F7+G7</f>
        <v/>
      </c>
      <c r="J7" s="18" t="inlineStr">
        <is>
          <t>5. G6: GST Amount = Taxable Value × GST %</t>
        </is>
      </c>
    </row>
    <row r="8">
      <c r="A8" t="inlineStr">
        <is>
          <t>P101</t>
        </is>
      </c>
      <c r="B8" t="n">
        <v>10</v>
      </c>
      <c r="C8" cm="1">
        <f t="array" ref="C8:E8">_xlfn.XLOOKUP(A8,'Product Master'!$A$2:$A$11,'Product Master'!$B$2:$D$11,"Check code")</f>
        <v/>
      </c>
      <c r="D8" s="5" t="n"/>
      <c r="E8" s="7" t="n"/>
      <c r="F8" s="5">
        <f>B8*D8</f>
        <v/>
      </c>
      <c r="G8" s="5">
        <f>F8*E8</f>
        <v/>
      </c>
      <c r="H8" s="5">
        <f>F8+G8</f>
        <v/>
      </c>
      <c r="J8" s="18" t="inlineStr">
        <is>
          <t>6. H6: Line Total = Taxable Value + GST Amount. Fill F6:H6 down to row 11.</t>
        </is>
      </c>
    </row>
    <row r="9">
      <c r="A9" t="inlineStr">
        <is>
          <t>P108</t>
        </is>
      </c>
      <c r="B9" t="n">
        <v>25</v>
      </c>
      <c r="C9" cm="1">
        <f t="array" ref="C9:E9">_xlfn.XLOOKUP(A9,'Product Master'!$A$2:$A$11,'Product Master'!$B$2:$D$11,"Check code")</f>
        <v/>
      </c>
      <c r="D9" s="5" t="n"/>
      <c r="E9" s="7" t="n"/>
      <c r="F9" s="5">
        <f>B9*D9</f>
        <v/>
      </c>
      <c r="G9" s="5">
        <f>F9*E9</f>
        <v/>
      </c>
      <c r="H9" s="5">
        <f>F9+G9</f>
        <v/>
      </c>
      <c r="J9" s="18" t="inlineStr">
        <is>
          <t>7. Row 13: SUM the Taxable Value, GST Amount and Line Total columns.</t>
        </is>
      </c>
    </row>
    <row r="10">
      <c r="A10" t="inlineStr">
        <is>
          <t>P115</t>
        </is>
      </c>
      <c r="B10" t="n">
        <v>3</v>
      </c>
      <c r="C10" cm="1">
        <f t="array" ref="C10:E10">_xlfn.XLOOKUP(A10,'Product Master'!$A$2:$A$11,'Product Master'!$B$2:$D$11,"Check code")</f>
        <v/>
      </c>
      <c r="D10" s="5" t="n"/>
      <c r="E10" s="7" t="n"/>
      <c r="F10" s="5">
        <f>B10*D10</f>
        <v/>
      </c>
      <c r="G10" s="5">
        <f>F10*E10</f>
        <v/>
      </c>
      <c r="H10" s="5">
        <f>F10+G10</f>
        <v/>
      </c>
      <c r="J10" s="18" t="inlineStr"/>
    </row>
    <row r="11">
      <c r="A11" t="inlineStr">
        <is>
          <t>P106</t>
        </is>
      </c>
      <c r="B11" t="n">
        <v>8</v>
      </c>
      <c r="C11" cm="1">
        <f t="array" ref="C11:E11">_xlfn.XLOOKUP(A11,'Product Master'!$A$2:$A$11,'Product Master'!$B$2:$D$11,"Check code")</f>
        <v/>
      </c>
      <c r="D11" s="5" t="n"/>
      <c r="E11" s="7" t="n"/>
      <c r="F11" s="5">
        <f>B11*D11</f>
        <v/>
      </c>
      <c r="G11" s="5">
        <f>F11*E11</f>
        <v/>
      </c>
      <c r="H11" s="5">
        <f>F11+G11</f>
        <v/>
      </c>
      <c r="J11" s="18" t="inlineStr">
        <is>
          <t>Check: H6 should show ₹2,688.</t>
        </is>
      </c>
    </row>
    <row r="12">
      <c r="F12" s="5" t="n"/>
      <c r="G12" s="5" t="n"/>
      <c r="H12" s="5" t="n"/>
      <c r="J12" s="18" t="inlineStr">
        <is>
          <t>Answers: sheet 'S07-09 Answers'</t>
        </is>
      </c>
    </row>
    <row r="13">
      <c r="E13" s="9" t="inlineStr">
        <is>
          <t>Totals</t>
        </is>
      </c>
      <c r="F13" s="10">
        <f>SUM(F6:F11)</f>
        <v/>
      </c>
      <c r="G13" s="10">
        <f>SUM(G6:G11)</f>
        <v/>
      </c>
      <c r="H13" s="10">
        <f>SUM(H6:H11)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t="inlineStr">
        <is>
          <t>Apr</t>
        </is>
      </c>
      <c r="B2" s="5" t="n">
        <v>1407500</v>
      </c>
    </row>
    <row r="3">
      <c r="A3" t="inlineStr">
        <is>
          <t>May</t>
        </is>
      </c>
      <c r="B3" s="5" t="n">
        <v>1578100</v>
      </c>
    </row>
    <row r="4">
      <c r="A4" t="inlineStr">
        <is>
          <t>Jun</t>
        </is>
      </c>
      <c r="B4" s="5" t="n">
        <v>1272200</v>
      </c>
    </row>
    <row r="5">
      <c r="A5" t="inlineStr">
        <is>
          <t>Jul</t>
        </is>
      </c>
      <c r="B5" s="5" t="n">
        <v>966800</v>
      </c>
    </row>
    <row r="6">
      <c r="A6" t="inlineStr">
        <is>
          <t>Aug</t>
        </is>
      </c>
      <c r="B6" s="5" t="n">
        <v>1278300</v>
      </c>
    </row>
    <row r="7">
      <c r="A7" t="inlineStr">
        <is>
          <t>Sep</t>
        </is>
      </c>
      <c r="B7" s="5" t="n">
        <v>1294500</v>
      </c>
    </row>
    <row r="8">
      <c r="A8" t="inlineStr">
        <is>
          <t>Oct</t>
        </is>
      </c>
      <c r="B8" s="5" t="n">
        <v>1589600</v>
      </c>
    </row>
    <row r="9">
      <c r="A9" t="inlineStr">
        <is>
          <t>Nov</t>
        </is>
      </c>
      <c r="B9" s="5" t="n">
        <v>1216000</v>
      </c>
    </row>
    <row r="10">
      <c r="A10" t="inlineStr">
        <is>
          <t>Dec</t>
        </is>
      </c>
      <c r="B10" s="5" t="n">
        <v>1400900</v>
      </c>
    </row>
    <row r="11">
      <c r="A11" t="inlineStr">
        <is>
          <t>Jan</t>
        </is>
      </c>
      <c r="B11" s="5" t="n">
        <v>1309900</v>
      </c>
    </row>
    <row r="12">
      <c r="A12" t="inlineStr">
        <is>
          <t>Feb</t>
        </is>
      </c>
      <c r="B12" s="5" t="n">
        <v>1046800</v>
      </c>
    </row>
    <row r="13">
      <c r="A13" t="inlineStr">
        <is>
          <t>Mar</t>
        </is>
      </c>
      <c r="B13" s="5" t="n">
        <v>907400</v>
      </c>
    </row>
    <row r="14">
      <c r="A14" s="9" t="inlineStr">
        <is>
          <t>Total</t>
        </is>
      </c>
      <c r="B14" s="10">
        <f>SUM(B2:B13)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t="inlineStr">
        <is>
          <t>Apr</t>
        </is>
      </c>
      <c r="B2" s="5" t="n">
        <v>1271800</v>
      </c>
    </row>
    <row r="3">
      <c r="A3" t="inlineStr">
        <is>
          <t>May</t>
        </is>
      </c>
      <c r="B3" s="5" t="n">
        <v>1414900</v>
      </c>
    </row>
    <row r="4">
      <c r="A4" t="inlineStr">
        <is>
          <t>Jun</t>
        </is>
      </c>
      <c r="B4" s="5" t="n">
        <v>1445800</v>
      </c>
    </row>
    <row r="5">
      <c r="A5" t="inlineStr">
        <is>
          <t>Jul</t>
        </is>
      </c>
      <c r="B5" s="5" t="n">
        <v>1175400</v>
      </c>
    </row>
    <row r="6">
      <c r="A6" t="inlineStr">
        <is>
          <t>Aug</t>
        </is>
      </c>
      <c r="B6" s="5" t="n">
        <v>1148700</v>
      </c>
    </row>
    <row r="7">
      <c r="A7" t="inlineStr">
        <is>
          <t>Sep</t>
        </is>
      </c>
      <c r="B7" s="5" t="n">
        <v>1392700</v>
      </c>
    </row>
    <row r="8">
      <c r="A8" t="inlineStr">
        <is>
          <t>Oct</t>
        </is>
      </c>
      <c r="B8" s="5" t="n">
        <v>1137500</v>
      </c>
    </row>
    <row r="9">
      <c r="A9" t="inlineStr">
        <is>
          <t>Nov</t>
        </is>
      </c>
      <c r="B9" s="5" t="n">
        <v>904800</v>
      </c>
    </row>
    <row r="10">
      <c r="A10" t="inlineStr">
        <is>
          <t>Dec</t>
        </is>
      </c>
      <c r="B10" s="5" t="n">
        <v>1184400</v>
      </c>
    </row>
    <row r="11">
      <c r="A11" t="inlineStr">
        <is>
          <t>Jan</t>
        </is>
      </c>
      <c r="B11" s="5" t="n">
        <v>1329700</v>
      </c>
    </row>
    <row r="12">
      <c r="A12" t="inlineStr">
        <is>
          <t>Feb</t>
        </is>
      </c>
      <c r="B12" s="5" t="n">
        <v>1133500</v>
      </c>
    </row>
    <row r="13">
      <c r="A13" t="inlineStr">
        <is>
          <t>Mar</t>
        </is>
      </c>
      <c r="B13" s="5" t="n">
        <v>1280600</v>
      </c>
    </row>
    <row r="14">
      <c r="A14" s="9" t="inlineStr">
        <is>
          <t>Total</t>
        </is>
      </c>
      <c r="B14" s="10">
        <f>SUM(B2:B13)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t="inlineStr">
        <is>
          <t>Apr</t>
        </is>
      </c>
      <c r="B2" s="5" t="n">
        <v>1563900</v>
      </c>
    </row>
    <row r="3">
      <c r="A3" t="inlineStr">
        <is>
          <t>May</t>
        </is>
      </c>
      <c r="B3" s="5" t="n">
        <v>1565900</v>
      </c>
    </row>
    <row r="4">
      <c r="A4" t="inlineStr">
        <is>
          <t>Jun</t>
        </is>
      </c>
      <c r="B4" s="5" t="n">
        <v>1230600</v>
      </c>
    </row>
    <row r="5">
      <c r="A5" t="inlineStr">
        <is>
          <t>Jul</t>
        </is>
      </c>
      <c r="B5" s="5" t="n">
        <v>947800</v>
      </c>
    </row>
    <row r="6">
      <c r="A6" t="inlineStr">
        <is>
          <t>Aug</t>
        </is>
      </c>
      <c r="B6" s="5" t="n">
        <v>1240300</v>
      </c>
    </row>
    <row r="7">
      <c r="A7" t="inlineStr">
        <is>
          <t>Sep</t>
        </is>
      </c>
      <c r="B7" s="5" t="n">
        <v>1146800</v>
      </c>
    </row>
    <row r="8">
      <c r="A8" t="inlineStr">
        <is>
          <t>Oct</t>
        </is>
      </c>
      <c r="B8" s="5" t="n">
        <v>1003600</v>
      </c>
    </row>
    <row r="9">
      <c r="A9" t="inlineStr">
        <is>
          <t>Nov</t>
        </is>
      </c>
      <c r="B9" s="5" t="n">
        <v>1029900</v>
      </c>
    </row>
    <row r="10">
      <c r="A10" t="inlineStr">
        <is>
          <t>Dec</t>
        </is>
      </c>
      <c r="B10" s="5" t="n">
        <v>1159800</v>
      </c>
    </row>
    <row r="11">
      <c r="A11" t="inlineStr">
        <is>
          <t>Jan</t>
        </is>
      </c>
      <c r="B11" s="5" t="n">
        <v>1339100</v>
      </c>
    </row>
    <row r="12">
      <c r="A12" t="inlineStr">
        <is>
          <t>Feb</t>
        </is>
      </c>
      <c r="B12" s="5" t="n">
        <v>1559100</v>
      </c>
    </row>
    <row r="13">
      <c r="A13" t="inlineStr">
        <is>
          <t>Mar</t>
        </is>
      </c>
      <c r="B13" s="5" t="n">
        <v>1062600</v>
      </c>
    </row>
    <row r="14">
      <c r="A14" s="9" t="inlineStr">
        <is>
          <t>Total</t>
        </is>
      </c>
      <c r="B14" s="10">
        <f>SUM(B2:B13)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10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8" customWidth="1" min="4" max="4"/>
  </cols>
  <sheetData>
    <row r="1">
      <c r="A1" s="3" t="inlineStr">
        <is>
          <t>Code</t>
        </is>
      </c>
      <c r="B1" s="3" t="inlineStr">
        <is>
          <t>Product</t>
        </is>
      </c>
      <c r="C1" s="3" t="inlineStr">
        <is>
          <t>Rate</t>
        </is>
      </c>
      <c r="D1" s="3" t="inlineStr">
        <is>
          <t>GST %</t>
        </is>
      </c>
    </row>
    <row r="2">
      <c r="A2" t="inlineStr">
        <is>
          <t>P101</t>
        </is>
      </c>
      <c r="B2" t="inlineStr">
        <is>
          <t>Assam Tea 1 kg</t>
        </is>
      </c>
      <c r="C2" s="5" t="n">
        <v>420</v>
      </c>
      <c r="D2" s="7" t="n">
        <v>0.05</v>
      </c>
    </row>
    <row r="3">
      <c r="A3" t="inlineStr">
        <is>
          <t>P102</t>
        </is>
      </c>
      <c r="B3" t="inlineStr">
        <is>
          <t>Coorg Coffee 500 g</t>
        </is>
      </c>
      <c r="C3" s="5" t="n">
        <v>380</v>
      </c>
      <c r="D3" s="7" t="n">
        <v>0.05</v>
      </c>
    </row>
    <row r="4">
      <c r="A4" t="inlineStr">
        <is>
          <t>P103</t>
        </is>
      </c>
      <c r="B4" t="inlineStr">
        <is>
          <t>Basmati Rice 5 kg</t>
        </is>
      </c>
      <c r="C4" s="5" t="n">
        <v>640</v>
      </c>
      <c r="D4" s="7" t="n">
        <v>0.05</v>
      </c>
    </row>
    <row r="5">
      <c r="A5" t="inlineStr">
        <is>
          <t>P104</t>
        </is>
      </c>
      <c r="B5" t="inlineStr">
        <is>
          <t>Toor Dal 1 kg</t>
        </is>
      </c>
      <c r="C5" s="5" t="n">
        <v>165</v>
      </c>
      <c r="D5" s="7" t="n">
        <v>0.05</v>
      </c>
    </row>
    <row r="6">
      <c r="A6" t="inlineStr">
        <is>
          <t>P105</t>
        </is>
      </c>
      <c r="B6" t="inlineStr">
        <is>
          <t>Sunflower Oil 1 L</t>
        </is>
      </c>
      <c r="C6" s="5" t="n">
        <v>155</v>
      </c>
      <c r="D6" s="7" t="n">
        <v>0.05</v>
      </c>
    </row>
    <row r="7">
      <c r="A7" t="inlineStr">
        <is>
          <t>P106</t>
        </is>
      </c>
      <c r="B7" t="inlineStr">
        <is>
          <t>Steel Bottle 1 L</t>
        </is>
      </c>
      <c r="C7" s="5" t="n">
        <v>450</v>
      </c>
      <c r="D7" s="7" t="n">
        <v>0.18</v>
      </c>
    </row>
    <row r="8">
      <c r="A8" t="inlineStr">
        <is>
          <t>P107</t>
        </is>
      </c>
      <c r="B8" t="inlineStr">
        <is>
          <t>Pressure Cooker 5 L</t>
        </is>
      </c>
      <c r="C8" s="5" t="n">
        <v>2350</v>
      </c>
      <c r="D8" s="7" t="n">
        <v>0.18</v>
      </c>
    </row>
    <row r="9">
      <c r="A9" t="inlineStr">
        <is>
          <t>P108</t>
        </is>
      </c>
      <c r="B9" t="inlineStr">
        <is>
          <t>LED Bulb 9 W</t>
        </is>
      </c>
      <c r="C9" s="5" t="n">
        <v>99</v>
      </c>
      <c r="D9" s="7" t="n">
        <v>0.18</v>
      </c>
    </row>
    <row r="10">
      <c r="A10" t="inlineStr">
        <is>
          <t>P109</t>
        </is>
      </c>
      <c r="B10" t="inlineStr">
        <is>
          <t>Ceiling Fan 1200 mm</t>
        </is>
      </c>
      <c r="C10" s="5" t="n">
        <v>2890</v>
      </c>
      <c r="D10" s="7" t="n">
        <v>0.18</v>
      </c>
    </row>
    <row r="11">
      <c r="A11" t="inlineStr">
        <is>
          <t>P110</t>
        </is>
      </c>
      <c r="B11" t="inlineStr">
        <is>
          <t>Extension Board</t>
        </is>
      </c>
      <c r="C11" s="5" t="n">
        <v>549</v>
      </c>
      <c r="D11" s="7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2026-10-23T09:59:47Z</dcterms:created>
  <dcterms:modified xmlns:dcterms="http://purl.org/dc/terms/" xmlns:xsi="http://www.w3.org/2001/XMLSchema-instance" xsi:type="dcterms:W3CDTF">2026-10-23T09:59:47Z</dcterms:modified>
</cp:coreProperties>
</file>