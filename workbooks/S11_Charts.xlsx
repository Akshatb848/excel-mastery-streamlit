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drawings/drawing4.xml" ContentType="application/vnd.openxmlformats-officedocument.drawing+xml"/>
  <Override PartName="/xl/tables/table1.xml" ContentType="application/vnd.openxmlformats-officedocument.spreadsheetml.table+xml"/>
  <Override PartName="/xl/worksheets/sheet20.xml" ContentType="application/vnd.openxmlformats-officedocument.spreadsheetml.worksheet+xml"/>
  <Override PartName="/xl/worksheets/sheet21.xml" ContentType="application/vnd.openxmlformats-officedocument.spreadsheetml.worksheet+xml"/>
  <Override PartName="/xl/drawings/drawing5.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S11-02" sheetId="2" state="visible" r:id="rId2"/>
    <sheet xmlns:r="http://schemas.openxmlformats.org/officeDocument/2006/relationships" name="S11-02 Done" sheetId="3" state="visible" r:id="rId3"/>
    <sheet xmlns:r="http://schemas.openxmlformats.org/officeDocument/2006/relationships" name="S11-03" sheetId="4" state="visible" r:id="rId4"/>
    <sheet xmlns:r="http://schemas.openxmlformats.org/officeDocument/2006/relationships" name="S11-03 Done" sheetId="5" state="visible" r:id="rId5"/>
    <sheet xmlns:r="http://schemas.openxmlformats.org/officeDocument/2006/relationships" name="S11-04" sheetId="6" state="visible" r:id="rId6"/>
    <sheet xmlns:r="http://schemas.openxmlformats.org/officeDocument/2006/relationships" name="S11-04 Done" sheetId="7" state="visible" r:id="rId7"/>
    <sheet xmlns:r="http://schemas.openxmlformats.org/officeDocument/2006/relationships" name="S11-05" sheetId="8" state="visible" r:id="rId8"/>
    <sheet xmlns:r="http://schemas.openxmlformats.org/officeDocument/2006/relationships" name="S11-05 Done" sheetId="9" state="visible" r:id="rId9"/>
    <sheet xmlns:r="http://schemas.openxmlformats.org/officeDocument/2006/relationships" name="S11-06" sheetId="10" state="visible" r:id="rId10"/>
    <sheet xmlns:r="http://schemas.openxmlformats.org/officeDocument/2006/relationships" name="S11-06 Done" sheetId="11" state="visible" r:id="rId11"/>
    <sheet xmlns:r="http://schemas.openxmlformats.org/officeDocument/2006/relationships" name="S11-07" sheetId="12" state="visible" r:id="rId12"/>
    <sheet xmlns:r="http://schemas.openxmlformats.org/officeDocument/2006/relationships" name="S11-07 Done" sheetId="13" state="visible" r:id="rId13"/>
    <sheet xmlns:r="http://schemas.openxmlformats.org/officeDocument/2006/relationships" name="S11-08" sheetId="14" state="visible" r:id="rId14"/>
    <sheet xmlns:r="http://schemas.openxmlformats.org/officeDocument/2006/relationships" name="S11-08 Done" sheetId="15" state="visible" r:id="rId15"/>
    <sheet xmlns:r="http://schemas.openxmlformats.org/officeDocument/2006/relationships" name="S11-09" sheetId="16" state="visible" r:id="rId16"/>
    <sheet xmlns:r="http://schemas.openxmlformats.org/officeDocument/2006/relationships" name="S11-09 Done" sheetId="17" state="visible" r:id="rId17"/>
    <sheet xmlns:r="http://schemas.openxmlformats.org/officeDocument/2006/relationships" name="S11-10" sheetId="18" state="visible" r:id="rId18"/>
    <sheet xmlns:r="http://schemas.openxmlformats.org/officeDocument/2006/relationships" name="S11-10 Done" sheetId="19" state="visible" r:id="rId19"/>
    <sheet xmlns:r="http://schemas.openxmlformats.org/officeDocument/2006/relationships" name="S11-11" sheetId="20" state="visible" r:id="rId20"/>
    <sheet xmlns:r="http://schemas.openxmlformats.org/officeDocument/2006/relationships" name="S11-11 Done" sheetId="21" state="visible" r:id="rId21"/>
  </sheets>
  <definedNames/>
  <calcPr calcId="124519" fullCalcOnLoad="1"/>
</workbook>
</file>

<file path=xl/styles.xml><?xml version="1.0" encoding="utf-8"?>
<styleSheet xmlns="http://schemas.openxmlformats.org/spreadsheetml/2006/main">
  <numFmts count="7">
    <numFmt numFmtId="164" formatCode="[&gt;=10000000]&quot;₹&quot;##\,##\,##\,##0;[&gt;=100000]&quot;₹&quot;##\,##\,##0;&quot;₹&quot;##,##0"/>
    <numFmt numFmtId="165" formatCode="0.0%"/>
    <numFmt numFmtId="166" formatCode="#,##0.00;-#,##0.00"/>
    <numFmt numFmtId="167" formatCode="0.0"/>
    <numFmt numFmtId="168" formatCode="DD-MM-YYYY"/>
    <numFmt numFmtId="169" formatCode="yyyy-mm-dd"/>
    <numFmt numFmtId="170" formatCode="DD-MMM"/>
  </numFmts>
  <fonts count="7">
    <font>
      <name val="Calibri"/>
      <family val="2"/>
      <color theme="1"/>
      <sz val="11"/>
      <scheme val="minor"/>
    </font>
    <font>
      <b val="1"/>
      <sz val="14"/>
    </font>
    <font>
      <b val="1"/>
      <color rgb="00FFFFFF"/>
    </font>
    <font>
      <b val="1"/>
    </font>
    <font>
      <sz val="11"/>
    </font>
    <font>
      <i val="1"/>
    </font>
    <font>
      <b val="1"/>
      <color rgb="00C00000"/>
    </font>
  </fonts>
  <fills count="5">
    <fill>
      <patternFill/>
    </fill>
    <fill>
      <patternFill patternType="gray125"/>
    </fill>
    <fill>
      <patternFill patternType="solid">
        <fgColor rgb="001F4E78"/>
      </patternFill>
    </fill>
    <fill>
      <patternFill patternType="solid">
        <fgColor rgb="00FFF2CC"/>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2" borderId="0" applyAlignment="1" pivotButton="0" quotePrefix="0" xfId="0">
      <alignment horizontal="center" vertical="center" wrapText="1"/>
    </xf>
    <xf numFmtId="164" fontId="0" fillId="0" borderId="0" pivotButton="0" quotePrefix="0" xfId="0"/>
    <xf numFmtId="0" fontId="3" fillId="0" borderId="0" pivotButton="0" quotePrefix="0" xfId="0"/>
    <xf numFmtId="164" fontId="3" fillId="0" borderId="0" pivotButton="0" quotePrefix="0" xfId="0"/>
    <xf numFmtId="0" fontId="6" fillId="0" borderId="0" pivotButton="0" quotePrefix="0" xfId="0"/>
    <xf numFmtId="0" fontId="0" fillId="3" borderId="0" pivotButton="0" quotePrefix="0" xfId="0"/>
    <xf numFmtId="164" fontId="0" fillId="3" borderId="0" pivotButton="0" quotePrefix="0" xfId="0"/>
    <xf numFmtId="0" fontId="4" fillId="4" borderId="0" applyAlignment="1" pivotButton="0" quotePrefix="0" xfId="0">
      <alignment vertical="top" wrapText="1"/>
    </xf>
    <xf numFmtId="165" fontId="0" fillId="3" borderId="0" pivotButton="0" quotePrefix="0" xfId="0"/>
    <xf numFmtId="165" fontId="0" fillId="0" borderId="0" pivotButton="0" quotePrefix="0" xfId="0"/>
    <xf numFmtId="0" fontId="5" fillId="0" borderId="0" pivotButton="0" quotePrefix="0" xfId="0"/>
    <xf numFmtId="166" fontId="0" fillId="0" borderId="0" pivotButton="0" quotePrefix="0" xfId="0"/>
    <xf numFmtId="166" fontId="0" fillId="3" borderId="0" pivotButton="0" quotePrefix="0" xfId="0"/>
    <xf numFmtId="3" fontId="0" fillId="0" borderId="0" pivotButton="0" quotePrefix="0" xfId="0"/>
    <xf numFmtId="167" fontId="0" fillId="0" borderId="0" pivotButton="0" quotePrefix="0" xfId="0"/>
    <xf numFmtId="168" fontId="0" fillId="0" borderId="0" pivotButton="0" quotePrefix="0" xfId="0"/>
    <xf numFmtId="1" fontId="0" fillId="0" borderId="0" pivotButton="0" quotePrefix="0" xfId="0"/>
    <xf numFmtId="170" fontId="2" fillId="3" borderId="0" applyAlignment="1" pivotButton="0" quotePrefix="0" xfId="0">
      <alignment horizontal="center" textRotation="90"/>
    </xf>
    <xf numFmtId="170" fontId="2" fillId="2" borderId="0" applyAlignment="1" pivotButton="0" quotePrefix="0" xfId="0">
      <alignment horizontal="center" textRotation="90"/>
    </xf>
    <xf numFmtId="0" fontId="0" fillId="0" borderId="1" pivotButton="0" quotePrefix="0" xfId="0"/>
  </cellXfs>
  <cellStyles count="1">
    <cellStyle name="Normal" xfId="0" builtinId="0" hidden="0"/>
  </cellStyles>
  <dxfs count="1">
    <dxf>
      <fill>
        <patternFill patternType="solid">
          <fgColor rgb="002E75B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Monthly sales by region, FY 2025-26</a:t>
            </a:r>
          </a:p>
        </rich>
      </tx>
    </title>
    <plotArea>
      <barChart>
        <barDir val="col"/>
        <grouping val="clustered"/>
        <ser>
          <idx val="0"/>
          <order val="0"/>
          <tx>
            <strRef>
              <f>'S11-02 Done'!B1</f>
            </strRef>
          </tx>
          <spPr>
            <a:ln xmlns:a="http://schemas.openxmlformats.org/drawingml/2006/main">
              <a:prstDash val="solid"/>
            </a:ln>
          </spPr>
          <cat>
            <numRef>
              <f>'S11-02 Done'!$A$2:$A$13</f>
            </numRef>
          </cat>
          <val>
            <numRef>
              <f>'S11-02 Done'!$B$2:$B$13</f>
            </numRef>
          </val>
        </ser>
        <ser>
          <idx val="1"/>
          <order val="1"/>
          <tx>
            <strRef>
              <f>'S11-02 Done'!C1</f>
            </strRef>
          </tx>
          <spPr>
            <a:ln xmlns:a="http://schemas.openxmlformats.org/drawingml/2006/main">
              <a:prstDash val="solid"/>
            </a:ln>
          </spPr>
          <cat>
            <numRef>
              <f>'S11-02 Done'!$A$2:$A$13</f>
            </numRef>
          </cat>
          <val>
            <numRef>
              <f>'S11-02 Done'!$C$2:$C$13</f>
            </numRef>
          </val>
        </ser>
        <ser>
          <idx val="2"/>
          <order val="2"/>
          <tx>
            <strRef>
              <f>'S11-02 Done'!D1</f>
            </strRef>
          </tx>
          <spPr>
            <a:ln xmlns:a="http://schemas.openxmlformats.org/drawingml/2006/main">
              <a:prstDash val="solid"/>
            </a:ln>
          </spPr>
          <cat>
            <numRef>
              <f>'S11-02 Done'!$A$2:$A$13</f>
            </numRef>
          </cat>
          <val>
            <numRef>
              <f>'S11-02 Done'!$D$2:$D$13</f>
            </numRef>
          </val>
        </ser>
        <ser>
          <idx val="3"/>
          <order val="3"/>
          <tx>
            <strRef>
              <f>'S11-02 Done'!E1</f>
            </strRef>
          </tx>
          <spPr>
            <a:ln xmlns:a="http://schemas.openxmlformats.org/drawingml/2006/main">
              <a:prstDash val="solid"/>
            </a:ln>
          </spPr>
          <cat>
            <numRef>
              <f>'S11-02 Done'!$A$2:$A$13</f>
            </numRef>
          </cat>
          <val>
            <numRef>
              <f>'S11-02 Done'!$E$2:$E$13</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North region: monthly trend</a:t>
            </a:r>
          </a:p>
        </rich>
      </tx>
    </title>
    <plotArea>
      <lineChart>
        <grouping val="standard"/>
        <ser>
          <idx val="0"/>
          <order val="0"/>
          <tx>
            <strRef>
              <f>'S11-02 Done'!B1</f>
            </strRef>
          </tx>
          <spPr>
            <a:ln xmlns:a="http://schemas.openxmlformats.org/drawingml/2006/main">
              <a:prstDash val="solid"/>
            </a:ln>
          </spPr>
          <marker>
            <symbol val="none"/>
            <spPr>
              <a:ln xmlns:a="http://schemas.openxmlformats.org/drawingml/2006/main">
                <a:prstDash val="solid"/>
              </a:ln>
            </spPr>
          </marker>
          <cat>
            <numRef>
              <f>'S11-02 Done'!$A$2:$A$13</f>
            </numRef>
          </cat>
          <val>
            <numRef>
              <f>'S11-02 Done'!$B$2:$B$13</f>
            </numRef>
          </val>
        </ser>
        <axId val="10"/>
        <axId val="100"/>
      </line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Share of FY sales by region</a:t>
            </a:r>
          </a:p>
        </rich>
      </tx>
    </title>
    <plotArea>
      <pieChart>
        <varyColors val="1"/>
        <ser>
          <idx val="0"/>
          <order val="0"/>
          <tx>
            <strRef>
              <f>'S11-02 Done'!H1</f>
            </strRef>
          </tx>
          <spPr>
            <a:ln xmlns:a="http://schemas.openxmlformats.org/drawingml/2006/main">
              <a:prstDash val="solid"/>
            </a:ln>
          </spPr>
          <cat>
            <numRef>
              <f>'S11-02 Done'!$G$2:$G$5</f>
            </numRef>
          </cat>
          <val>
            <numRef>
              <f>'S11-02 Done'!$H$2:$H$5</f>
            </numRef>
          </val>
        </ser>
        <dLbls>
          <showPercent val="1"/>
        </dLbls>
        <firstSliceAng val="0"/>
      </pieChart>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FY sales by region: West leads</a:t>
            </a:r>
          </a:p>
        </rich>
      </tx>
    </title>
    <plotArea>
      <barChart>
        <barDir val="bar"/>
        <grouping val="clustered"/>
        <ser>
          <idx val="0"/>
          <order val="0"/>
          <tx>
            <strRef>
              <f>'S11-02 Done'!H1</f>
            </strRef>
          </tx>
          <spPr>
            <a:ln xmlns:a="http://schemas.openxmlformats.org/drawingml/2006/main">
              <a:prstDash val="solid"/>
            </a:ln>
          </spPr>
          <cat>
            <numRef>
              <f>'S11-02 Done'!$G$2:$G$5</f>
            </numRef>
          </cat>
          <val>
            <numRef>
              <f>'S11-02 Done'!$H$2:$H$5</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Sunflower Oil 1L: our number 2 product, FY 2025-26</a:t>
            </a:r>
          </a:p>
        </rich>
      </tx>
    </title>
    <plotArea>
      <barChart>
        <barDir val="bar"/>
        <grouping val="clustered"/>
        <ser>
          <idx val="0"/>
          <order val="0"/>
          <tx>
            <strRef>
              <f>'S11-03 Done'!B1</f>
            </strRef>
          </tx>
          <spPr>
            <a:solidFill xmlns:a="http://schemas.openxmlformats.org/drawingml/2006/main">
              <a:srgbClr val="BFBFBF"/>
            </a:solidFill>
            <a:ln xmlns:a="http://schemas.openxmlformats.org/drawingml/2006/main">
              <a:prstDash val="solid"/>
            </a:ln>
          </spPr>
          <cat>
            <numRef>
              <f>'S11-03 Done'!$A$2:$A$9</f>
            </numRef>
          </cat>
          <val>
            <numRef>
              <f>'S11-03 Done'!$B$2:$B$9</f>
            </numRef>
          </val>
        </ser>
        <ser>
          <idx val="1"/>
          <order val="1"/>
          <tx>
            <strRef>
              <f>'S11-03 Done'!C1</f>
            </strRef>
          </tx>
          <spPr>
            <a:solidFill xmlns:a="http://schemas.openxmlformats.org/drawingml/2006/main">
              <a:srgbClr val="ED7D31"/>
            </a:solidFill>
            <a:ln xmlns:a="http://schemas.openxmlformats.org/drawingml/2006/main">
              <a:prstDash val="solid"/>
            </a:ln>
          </spPr>
          <cat>
            <numRef>
              <f>'S11-03 Done'!$A$2:$A$9</f>
            </numRef>
          </cat>
          <val>
            <numRef>
              <f>'S11-03 Done'!$C$2:$C$9</f>
            </numRef>
          </val>
        </ser>
        <dLbls>
          <showVal val="1"/>
        </dLbls>
        <gapWidth val="60"/>
        <overlap val="100"/>
        <axId val="10"/>
        <axId val="100"/>
      </barChart>
      <catAx>
        <axId val="10"/>
        <scaling>
          <orientation val="maxMin"/>
        </scaling>
        <delete val="0"/>
        <axPos val="l"/>
        <majorTickMark val="none"/>
        <minorTickMark val="none"/>
        <crossAx val="100"/>
        <lblOffset val="100"/>
      </catAx>
      <valAx>
        <axId val="100"/>
        <scaling>
          <orientation val="minMax"/>
        </scaling>
        <delete val="1"/>
        <axPos val="l"/>
        <majorTickMark val="none"/>
        <minorTickMark val="none"/>
        <crossAx val="10"/>
      </valAx>
    </plotArea>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Sales and margin %, FY 2025-26</a:t>
            </a:r>
          </a:p>
        </rich>
      </tx>
    </title>
    <plotArea>
      <barChart>
        <barDir val="col"/>
        <grouping val="clustered"/>
        <ser>
          <idx val="0"/>
          <order val="0"/>
          <tx>
            <strRef>
              <f>'S11-04 Done'!B1</f>
            </strRef>
          </tx>
          <spPr>
            <a:ln xmlns:a="http://schemas.openxmlformats.org/drawingml/2006/main">
              <a:prstDash val="solid"/>
            </a:ln>
          </spPr>
          <cat>
            <numRef>
              <f>'S11-04 Done'!$A$2:$A$13</f>
            </numRef>
          </cat>
          <val>
            <numRef>
              <f>'S11-04 Done'!$B$2:$B$13</f>
            </numRef>
          </val>
        </ser>
        <gapWidth val="150"/>
        <axId val="10"/>
        <axId val="100"/>
      </barChart>
      <lineChart>
        <grouping val="standard"/>
        <ser>
          <idx val="1"/>
          <order val="1"/>
          <tx>
            <strRef>
              <f>'S11-04 Done'!D1</f>
            </strRef>
          </tx>
          <spPr>
            <a:ln xmlns:a="http://schemas.openxmlformats.org/drawingml/2006/main">
              <a:prstDash val="solid"/>
            </a:ln>
          </spPr>
          <marker>
            <symbol val="none"/>
            <spPr>
              <a:ln xmlns:a="http://schemas.openxmlformats.org/drawingml/2006/main">
                <a:prstDash val="solid"/>
              </a:ln>
            </spPr>
          </marker>
          <val>
            <numRef>
              <f>'S11-04 Done'!$D$2:$D$13</f>
            </numRef>
          </val>
        </ser>
        <axId val="10"/>
        <axId val="200"/>
      </line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valAx>
        <axId val="200"/>
        <scaling>
          <orientation val="minMax"/>
        </scaling>
        <delete val="0"/>
        <axPos val="l"/>
        <title>
          <tx>
            <rich>
              <a:bodyPr xmlns:a="http://schemas.openxmlformats.org/drawingml/2006/main"/>
              <a:p xmlns:a="http://schemas.openxmlformats.org/drawingml/2006/main">
                <a:pPr>
                  <a:defRPr/>
                </a:pPr>
                <a:r>
                  <a:t>Margin %</a:t>
                </a:r>
              </a:p>
            </rich>
          </tx>
        </title>
        <numFmt formatCode="0%" sourceLinked="0"/>
        <majorTickMark val="none"/>
        <minorTickMark val="none"/>
        <crossAx val="10"/>
        <crosses val="max"/>
      </valAx>
    </plotArea>
    <legend>
      <legendPos val="r"/>
    </legend>
    <plotVisOnly val="1"/>
    <dispBlanksAs val="gap"/>
  </chart>
</chartSpace>
</file>

<file path=xl/charts/chart7.xml><?xml version="1.0" encoding="utf-8"?>
<chartSpace xmlns="http://schemas.openxmlformats.org/drawingml/2006/chart">
  <chart>
    <title>
      <tx>
        <rich>
          <a:bodyPr xmlns:a="http://schemas.openxmlformats.org/drawingml/2006/main"/>
          <a:p xmlns:a="http://schemas.openxmlformats.org/drawingml/2006/main">
            <a:pPr>
              <a:defRPr/>
            </a:pPr>
            <a:r>
              <a:t>Sales against the monthly target</a:t>
            </a:r>
          </a:p>
        </rich>
      </tx>
    </title>
    <plotArea>
      <barChart>
        <barDir val="col"/>
        <grouping val="clustered"/>
        <ser>
          <idx val="0"/>
          <order val="0"/>
          <tx>
            <strRef>
              <f>'S11-04 Done'!B1</f>
            </strRef>
          </tx>
          <spPr>
            <a:ln xmlns:a="http://schemas.openxmlformats.org/drawingml/2006/main">
              <a:prstDash val="solid"/>
            </a:ln>
          </spPr>
          <cat>
            <numRef>
              <f>'S11-04 Done'!$A$2:$A$13</f>
            </numRef>
          </cat>
          <val>
            <numRef>
              <f>'S11-04 Done'!$B$2:$B$13</f>
            </numRef>
          </val>
        </ser>
        <gapWidth val="150"/>
        <axId val="10"/>
        <axId val="100"/>
      </barChart>
      <lineChart>
        <grouping val="standard"/>
        <ser>
          <idx val="1"/>
          <order val="1"/>
          <tx>
            <strRef>
              <f>'S11-04 Done'!E1</f>
            </strRef>
          </tx>
          <spPr>
            <a:ln xmlns:a="http://schemas.openxmlformats.org/drawingml/2006/main">
              <a:prstDash val="solid"/>
            </a:ln>
          </spPr>
          <marker>
            <symbol val="none"/>
            <spPr>
              <a:ln xmlns:a="http://schemas.openxmlformats.org/drawingml/2006/main">
                <a:prstDash val="solid"/>
              </a:ln>
            </spPr>
          </marker>
          <val>
            <numRef>
              <f>'S11-04 Done'!$E$2:$E$13</f>
            </numRef>
          </val>
        </ser>
        <axId val="10"/>
        <axId val="100"/>
      </line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legend>
      <legendPos val="r"/>
    </legend>
    <plotVisOnly val="1"/>
    <dispBlanksAs val="gap"/>
  </chart>
</chartSpace>
</file>

<file path=xl/charts/chart8.xml><?xml version="1.0" encoding="utf-8"?>
<chartSpace xmlns="http://schemas.openxmlformats.org/drawingml/2006/chart">
  <chart>
    <title>
      <tx>
        <rich>
          <a:bodyPr xmlns:a="http://schemas.openxmlformats.org/drawingml/2006/main"/>
          <a:p xmlns:a="http://schemas.openxmlformats.org/drawingml/2006/main">
            <a:pPr>
              <a:defRPr/>
            </a:pPr>
            <a:r>
              <a:t>Monthly sales (grows with the table)</a:t>
            </a:r>
          </a:p>
        </rich>
      </tx>
    </title>
    <plotArea>
      <lineChart>
        <grouping val="standard"/>
        <ser>
          <idx val="0"/>
          <order val="0"/>
          <tx>
            <strRef>
              <f>'S11-10 Done'!B1</f>
            </strRef>
          </tx>
          <spPr>
            <a:ln xmlns:a="http://schemas.openxmlformats.org/drawingml/2006/main">
              <a:prstDash val="solid"/>
            </a:ln>
          </spPr>
          <marker>
            <symbol val="none"/>
            <spPr>
              <a:ln xmlns:a="http://schemas.openxmlformats.org/drawingml/2006/main">
                <a:prstDash val="solid"/>
              </a:ln>
            </spPr>
          </marker>
          <cat>
            <numRef>
              <f>'S11-10 Done'!$A$2:$A$13</f>
            </numRef>
          </cat>
          <val>
            <numRef>
              <f>'S11-10 Done'!$B$2:$B$13</f>
            </numRef>
          </val>
        </ser>
        <axId val="10"/>
        <axId val="100"/>
      </line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plotVisOnly val="1"/>
    <dispBlanksAs val="gap"/>
  </chart>
</chartSpace>
</file>

<file path=xl/charts/chart9.xml><?xml version="1.0" encoding="utf-8"?>
<chartSpace xmlns="http://schemas.openxmlformats.org/drawingml/2006/chart">
  <chart>
    <title>
      <tx>
        <rich>
          <a:bodyPr xmlns:a="http://schemas.openxmlformats.org/drawingml/2006/main"/>
          <a:p xmlns:a="http://schemas.openxmlformats.org/drawingml/2006/main">
            <a:pPr>
              <a:defRPr/>
            </a:pPr>
            <a:r>
              <a:t>FY 2025-26 sales: selected region</a:t>
            </a:r>
          </a:p>
        </rich>
      </tx>
    </title>
    <plotArea>
      <barChart>
        <barDir val="col"/>
        <grouping val="clustered"/>
        <ser>
          <idx val="0"/>
          <order val="0"/>
          <tx>
            <strRef>
              <f>'S11-10 Done'!K4</f>
            </strRef>
          </tx>
          <spPr>
            <a:ln xmlns:a="http://schemas.openxmlformats.org/drawingml/2006/main">
              <a:prstDash val="solid"/>
            </a:ln>
          </spPr>
          <cat>
            <numRef>
              <f>'S11-10 Done'!$J$5:$J$16</f>
            </numRef>
          </cat>
          <val>
            <numRef>
              <f>'S11-10 Done'!$K$5:$K$16</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plotVisOnly val="1"/>
    <dispBlanksAs val="gap"/>
  </chart>
</chartSpace>
</file>

<file path=xl/charts/chart10.xml><?xml version="1.0" encoding="utf-8"?>
<chartSpace xmlns="http://schemas.openxmlformats.org/drawingml/2006/chart">
  <chart>
    <title>
      <tx>
        <rich>
          <a:bodyPr xmlns:a="http://schemas.openxmlformats.org/drawingml/2006/main"/>
          <a:p xmlns:a="http://schemas.openxmlformats.org/drawingml/2006/main">
            <a:pPr>
              <a:defRPr/>
            </a:pPr>
            <a:r>
              <a:t>ERP rollout: Gantt chart</a:t>
            </a:r>
          </a:p>
        </rich>
      </tx>
    </title>
    <plotArea>
      <barChart>
        <barDir val="bar"/>
        <grouping val="stacked"/>
        <ser>
          <idx val="0"/>
          <order val="0"/>
          <tx>
            <strRef>
              <f>'S11-11 Done'!C4</f>
            </strRef>
          </tx>
          <spPr>
            <a:noFill xmlns:a="http://schemas.openxmlformats.org/drawingml/2006/main"/>
            <a:ln xmlns:a="http://schemas.openxmlformats.org/drawingml/2006/main">
              <a:noFill/>
              <a:prstDash val="solid"/>
            </a:ln>
          </spPr>
          <cat>
            <numRef>
              <f>'S11-11 Done'!$A$5:$A$14</f>
            </numRef>
          </cat>
          <val>
            <numRef>
              <f>'S11-11 Done'!$C$5:$C$14</f>
            </numRef>
          </val>
        </ser>
        <ser>
          <idx val="1"/>
          <order val="1"/>
          <tx>
            <strRef>
              <f>'S11-11 Done'!E4</f>
            </strRef>
          </tx>
          <spPr>
            <a:solidFill xmlns:a="http://schemas.openxmlformats.org/drawingml/2006/main">
              <a:srgbClr val="2E75B6"/>
            </a:solidFill>
            <a:ln xmlns:a="http://schemas.openxmlformats.org/drawingml/2006/main">
              <a:prstDash val="solid"/>
            </a:ln>
          </spPr>
          <cat>
            <numRef>
              <f>'S11-11 Done'!$A$5:$A$14</f>
            </numRef>
          </cat>
          <val>
            <numRef>
              <f>'S11-11 Done'!$E$5:$E$14</f>
            </numRef>
          </val>
        </ser>
        <gapWidth val="40"/>
        <overlap val="100"/>
        <axId val="10"/>
        <axId val="100"/>
      </barChart>
      <catAx>
        <axId val="10"/>
        <scaling>
          <orientation val="maxMin"/>
        </scaling>
        <delete val="0"/>
        <axPos val="l"/>
        <majorTickMark val="none"/>
        <minorTickMark val="none"/>
        <crossAx val="100"/>
        <lblOffset val="100"/>
      </catAx>
      <valAx>
        <axId val="100"/>
        <scaling>
          <orientation val="minMax"/>
          <min val="46118"/>
        </scaling>
        <delete val="0"/>
        <axPos val="l"/>
        <majorGridlines/>
        <numFmt formatCode="DD-MMM" sourceLinked="0"/>
        <majorTickMark val="none"/>
        <minorTickMark val="none"/>
        <crossAx val="10"/>
        <majorUnit val="14"/>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_rels/drawing2.xml.rels><Relationships xmlns="http://schemas.openxmlformats.org/package/2006/relationships"><Relationship Type="http://schemas.openxmlformats.org/officeDocument/2006/relationships/chart" Target="/xl/charts/chart5.xml" Id="rId1"/></Relationships>
</file>

<file path=xl/drawings/_rels/drawing3.xml.rels><Relationships xmlns="http://schemas.openxmlformats.org/package/2006/relationships"><Relationship Type="http://schemas.openxmlformats.org/officeDocument/2006/relationships/chart" Target="/xl/charts/chart6.xml" Id="rId1"/><Relationship Type="http://schemas.openxmlformats.org/officeDocument/2006/relationships/chart" Target="/xl/charts/chart7.xml" Id="rId2"/></Relationships>
</file>

<file path=xl/drawings/_rels/drawing4.xml.rels><Relationships xmlns="http://schemas.openxmlformats.org/package/2006/relationships"><Relationship Type="http://schemas.openxmlformats.org/officeDocument/2006/relationships/chart" Target="/xl/charts/chart8.xml" Id="rId1"/><Relationship Type="http://schemas.openxmlformats.org/officeDocument/2006/relationships/chart" Target="/xl/charts/chart9.xml" Id="rId2"/></Relationships>
</file>

<file path=xl/drawings/_rels/drawing5.xml.rels><Relationships xmlns="http://schemas.openxmlformats.org/package/2006/relationships"><Relationship Type="http://schemas.openxmlformats.org/officeDocument/2006/relationships/chart" Target="/xl/charts/chart10.xml" Id="rId1"/></Relationships>
</file>

<file path=xl/drawings/drawing1.xml><?xml version="1.0" encoding="utf-8"?>
<wsDr xmlns="http://schemas.openxmlformats.org/drawingml/2006/spreadsheetDrawing">
  <oneCellAnchor>
    <from>
      <col>9</col>
      <colOff>0</colOff>
      <row>0</row>
      <rowOff>0</rowOff>
    </from>
    <ext cx="576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16</row>
      <rowOff>0</rowOff>
    </from>
    <ext cx="5760000" cy="27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16</row>
      <rowOff>0</rowOff>
    </from>
    <ext cx="3600000" cy="270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9</col>
      <colOff>0</colOff>
      <row>32</row>
      <rowOff>0</rowOff>
    </from>
    <ext cx="5040000" cy="252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drawings/drawing2.xml><?xml version="1.0" encoding="utf-8"?>
<wsDr xmlns="http://schemas.openxmlformats.org/drawingml/2006/spreadsheetDrawing">
  <oneCellAnchor>
    <from>
      <col>4</col>
      <colOff>0</colOff>
      <row>2</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6</col>
      <colOff>0</colOff>
      <row>0</row>
      <rowOff>0</rowOff>
    </from>
    <ext cx="576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16</row>
      <rowOff>0</rowOff>
    </from>
    <ext cx="5760000" cy="27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4.xml><?xml version="1.0" encoding="utf-8"?>
<wsDr xmlns="http://schemas.openxmlformats.org/drawingml/2006/spreadsheetDrawing">
  <oneCellAnchor>
    <from>
      <col>0</col>
      <colOff>0</colOff>
      <row>17</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17</row>
      <rowOff>0</rowOff>
    </from>
    <ext cx="504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5.xml><?xml version="1.0" encoding="utf-8"?>
<wsDr xmlns="http://schemas.openxmlformats.org/drawingml/2006/spreadsheetDrawing">
  <oneCellAnchor>
    <from>
      <col>0</col>
      <colOff>0</colOff>
      <row>16</row>
      <rowOff>0</rowOff>
    </from>
    <ext cx="792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SalesTbl" displayName="SalesTbl" ref="A1:B13" headerRowCount="1">
  <autoFilter ref="A1:B13"/>
  <tableColumns count="2">
    <tableColumn id="1" name="Month"/>
    <tableColumn id="2" name="Sale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_rels/sheet19.xml.rels><Relationships xmlns="http://schemas.openxmlformats.org/package/2006/relationships"><Relationship Type="http://schemas.openxmlformats.org/officeDocument/2006/relationships/drawing" Target="/xl/drawings/drawing4.xml" Id="rId1"/><Relationship Type="http://schemas.openxmlformats.org/officeDocument/2006/relationships/table" Target="/xl/tables/table1.xml" Id="rId2"/></Relationships>
</file>

<file path=xl/worksheets/_rels/sheet21.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9" customWidth="1" min="1" max="1"/>
    <col width="44" customWidth="1" min="2" max="2"/>
    <col width="9" customWidth="1" min="3" max="3"/>
    <col width="30" customWidth="1" min="4" max="4"/>
    <col width="14" customWidth="1" min="5" max="5"/>
  </cols>
  <sheetData>
    <row r="1">
      <c r="A1" s="1" t="inlineStr">
        <is>
          <t>S11 Charts and visuals: practice workbook</t>
        </is>
      </c>
    </row>
    <row r="2">
      <c r="A2" t="inlineStr">
        <is>
          <t>Each lesson has a practice sheet (same name as the lesson id) and a 'Done' sheet with the finished result. Yellow cells are for you to fill in.</t>
        </is>
      </c>
    </row>
    <row r="4">
      <c r="A4" s="2" t="inlineStr">
        <is>
          <t>Lesson</t>
        </is>
      </c>
      <c r="B4" s="2" t="inlineStr">
        <is>
          <t>Title</t>
        </is>
      </c>
      <c r="C4" s="2" t="inlineStr">
        <is>
          <t>Type</t>
        </is>
      </c>
      <c r="D4" s="2" t="inlineStr">
        <is>
          <t>Recorded in</t>
        </is>
      </c>
      <c r="E4" s="2" t="inlineStr">
        <is>
          <t>Practice sheet</t>
        </is>
      </c>
    </row>
    <row r="5">
      <c r="A5" t="inlineStr">
        <is>
          <t>S11-01</t>
        </is>
      </c>
      <c r="B5" t="inlineStr">
        <is>
          <t>Choosing the right chart</t>
        </is>
      </c>
      <c r="C5" t="inlineStr">
        <is>
          <t>concept</t>
        </is>
      </c>
      <c r="D5" t="inlineStr">
        <is>
          <t>Whiteboard explainer</t>
        </is>
      </c>
      <c r="E5" t="inlineStr">
        <is>
          <t>-</t>
        </is>
      </c>
    </row>
    <row r="6">
      <c r="A6" t="inlineStr">
        <is>
          <t>S11-02</t>
        </is>
      </c>
      <c r="B6" t="inlineStr">
        <is>
          <t>Column, bar, line and pie charts</t>
        </is>
      </c>
      <c r="C6" t="inlineStr">
        <is>
          <t>demo</t>
        </is>
      </c>
      <c r="D6" t="inlineStr">
        <is>
          <t>Excel for the web</t>
        </is>
      </c>
      <c r="E6" t="inlineStr">
        <is>
          <t>S11-02</t>
        </is>
      </c>
    </row>
    <row r="7">
      <c r="A7" t="inlineStr">
        <is>
          <t>S11-03</t>
        </is>
      </c>
      <c r="B7" t="inlineStr">
        <is>
          <t>Formatting charts that read clearly</t>
        </is>
      </c>
      <c r="C7" t="inlineStr">
        <is>
          <t>demo</t>
        </is>
      </c>
      <c r="D7" t="inlineStr">
        <is>
          <t>Excel desktop (Mac path shown)</t>
        </is>
      </c>
      <c r="E7" t="inlineStr">
        <is>
          <t>S11-03</t>
        </is>
      </c>
    </row>
    <row r="8">
      <c r="A8" t="inlineStr">
        <is>
          <t>S11-04</t>
        </is>
      </c>
      <c r="B8" t="inlineStr">
        <is>
          <t>Combo charts and a secondary axis</t>
        </is>
      </c>
      <c r="C8" t="inlineStr">
        <is>
          <t>demo</t>
        </is>
      </c>
      <c r="D8" t="inlineStr">
        <is>
          <t>Excel desktop (Mac path shown)</t>
        </is>
      </c>
      <c r="E8" t="inlineStr">
        <is>
          <t>S11-04</t>
        </is>
      </c>
    </row>
    <row r="9">
      <c r="A9" t="inlineStr">
        <is>
          <t>S11-05</t>
        </is>
      </c>
      <c r="B9" t="inlineStr">
        <is>
          <t>Waterfall chart for a profit bridge</t>
        </is>
      </c>
      <c r="C9" t="inlineStr">
        <is>
          <t>demo</t>
        </is>
      </c>
      <c r="D9" t="inlineStr">
        <is>
          <t>Excel desktop (Mac path shown)</t>
        </is>
      </c>
      <c r="E9" t="inlineStr">
        <is>
          <t>S11-05</t>
        </is>
      </c>
    </row>
    <row r="10">
      <c r="A10" t="inlineStr">
        <is>
          <t>S11-06</t>
        </is>
      </c>
      <c r="B10" t="inlineStr">
        <is>
          <t>Histogram, Pareto and box-and-whisker</t>
        </is>
      </c>
      <c r="C10" t="inlineStr">
        <is>
          <t>demo</t>
        </is>
      </c>
      <c r="D10" t="inlineStr">
        <is>
          <t>Excel desktop (Mac path shown)</t>
        </is>
      </c>
      <c r="E10" t="inlineStr">
        <is>
          <t>S11-06</t>
        </is>
      </c>
    </row>
    <row r="11">
      <c r="A11" t="inlineStr">
        <is>
          <t>S11-07</t>
        </is>
      </c>
      <c r="B11" t="inlineStr">
        <is>
          <t>Treemap, sunburst and funnel</t>
        </is>
      </c>
      <c r="C11" t="inlineStr">
        <is>
          <t>demo</t>
        </is>
      </c>
      <c r="D11" t="inlineStr">
        <is>
          <t>Excel desktop (Mac path shown)</t>
        </is>
      </c>
      <c r="E11" t="inlineStr">
        <is>
          <t>S11-07</t>
        </is>
      </c>
    </row>
    <row r="12">
      <c r="A12" t="inlineStr">
        <is>
          <t>S11-08</t>
        </is>
      </c>
      <c r="B12" t="inlineStr">
        <is>
          <t>Map chart of Indian states</t>
        </is>
      </c>
      <c r="C12" t="inlineStr">
        <is>
          <t>demo</t>
        </is>
      </c>
      <c r="D12" t="inlineStr">
        <is>
          <t>Excel desktop (Mac path shown)</t>
        </is>
      </c>
      <c r="E12" t="inlineStr">
        <is>
          <t>S11-08</t>
        </is>
      </c>
    </row>
    <row r="13">
      <c r="A13" t="inlineStr">
        <is>
          <t>S11-09</t>
        </is>
      </c>
      <c r="B13" t="inlineStr">
        <is>
          <t>Sparklines</t>
        </is>
      </c>
      <c r="C13" t="inlineStr">
        <is>
          <t>demo</t>
        </is>
      </c>
      <c r="D13" t="inlineStr">
        <is>
          <t>Excel desktop (Mac path shown)</t>
        </is>
      </c>
      <c r="E13" t="inlineStr">
        <is>
          <t>S11-09</t>
        </is>
      </c>
    </row>
    <row r="14">
      <c r="A14" t="inlineStr">
        <is>
          <t>S11-10</t>
        </is>
      </c>
      <c r="B14" t="inlineStr">
        <is>
          <t>Dynamic charts</t>
        </is>
      </c>
      <c r="C14" t="inlineStr">
        <is>
          <t>demo</t>
        </is>
      </c>
      <c r="D14" t="inlineStr">
        <is>
          <t>Excel desktop (Mac path shown)</t>
        </is>
      </c>
      <c r="E14" t="inlineStr">
        <is>
          <t>S11-10</t>
        </is>
      </c>
    </row>
    <row r="15">
      <c r="A15" t="inlineStr">
        <is>
          <t>S11-11</t>
        </is>
      </c>
      <c r="B15" t="inlineStr">
        <is>
          <t>Project: a Gantt chart for a project plan</t>
        </is>
      </c>
      <c r="C15" t="inlineStr">
        <is>
          <t>project</t>
        </is>
      </c>
      <c r="D15" t="inlineStr">
        <is>
          <t>Excel desktop (Mac path shown)</t>
        </is>
      </c>
      <c r="E15" t="inlineStr">
        <is>
          <t>S11-11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9" customWidth="1" min="1" max="1"/>
    <col width="13" customWidth="1" min="2" max="2"/>
    <col width="13" customWidth="1" min="3" max="3"/>
    <col width="13" customWidth="1" min="4" max="4"/>
    <col width="13" customWidth="1" min="5" max="5"/>
    <col width="3" customWidth="1" min="6" max="6"/>
    <col width="10" customWidth="1" min="7" max="7"/>
    <col width="14" customWidth="1" min="8" max="8"/>
  </cols>
  <sheetData>
    <row r="1">
      <c r="A1" s="2" t="inlineStr">
        <is>
          <t>Month</t>
        </is>
      </c>
      <c r="B1" s="2" t="inlineStr">
        <is>
          <t>North</t>
        </is>
      </c>
      <c r="C1" s="2" t="inlineStr">
        <is>
          <t>South</t>
        </is>
      </c>
      <c r="D1" s="2" t="inlineStr">
        <is>
          <t>East</t>
        </is>
      </c>
      <c r="E1" s="2" t="inlineStr">
        <is>
          <t>West</t>
        </is>
      </c>
      <c r="G1" s="2" t="inlineStr">
        <is>
          <t>Region</t>
        </is>
      </c>
      <c r="H1" s="2" t="inlineStr">
        <is>
          <t>FY total</t>
        </is>
      </c>
    </row>
    <row r="2">
      <c r="A2" t="inlineStr">
        <is>
          <t>Apr</t>
        </is>
      </c>
      <c r="B2" s="3" t="n">
        <v>2209000</v>
      </c>
      <c r="C2" s="3" t="n">
        <v>1128000</v>
      </c>
      <c r="D2" s="3" t="n">
        <v>951000</v>
      </c>
      <c r="E2" s="3" t="n">
        <v>1463000</v>
      </c>
      <c r="G2" t="inlineStr">
        <is>
          <t>North</t>
        </is>
      </c>
      <c r="H2" s="3">
        <f>SUM(B2:B13)</f>
        <v/>
      </c>
    </row>
    <row r="3">
      <c r="A3" t="inlineStr">
        <is>
          <t>May</t>
        </is>
      </c>
      <c r="B3" s="3" t="n">
        <v>1401000</v>
      </c>
      <c r="C3" s="3" t="n">
        <v>1357000</v>
      </c>
      <c r="D3" s="3" t="n">
        <v>1185000</v>
      </c>
      <c r="E3" s="3" t="n">
        <v>1109000</v>
      </c>
      <c r="G3" t="inlineStr">
        <is>
          <t>South</t>
        </is>
      </c>
      <c r="H3" s="3">
        <f>SUM(C2:C13)</f>
        <v/>
      </c>
    </row>
    <row r="4">
      <c r="A4" t="inlineStr">
        <is>
          <t>Jun</t>
        </is>
      </c>
      <c r="B4" s="3" t="n">
        <v>2285000</v>
      </c>
      <c r="C4" s="3" t="n">
        <v>2016000</v>
      </c>
      <c r="D4" s="3" t="n">
        <v>1078000</v>
      </c>
      <c r="E4" s="3" t="n">
        <v>2109000</v>
      </c>
      <c r="G4" t="inlineStr">
        <is>
          <t>East</t>
        </is>
      </c>
      <c r="H4" s="3">
        <f>SUM(D2:D13)</f>
        <v/>
      </c>
    </row>
    <row r="5">
      <c r="A5" t="inlineStr">
        <is>
          <t>Jul</t>
        </is>
      </c>
      <c r="B5" s="3" t="n">
        <v>1764000</v>
      </c>
      <c r="C5" s="3" t="n">
        <v>965000</v>
      </c>
      <c r="D5" s="3" t="n">
        <v>961000</v>
      </c>
      <c r="E5" s="3" t="n">
        <v>1091000</v>
      </c>
      <c r="G5" t="inlineStr">
        <is>
          <t>West</t>
        </is>
      </c>
      <c r="H5" s="3">
        <f>SUM(E2:E13)</f>
        <v/>
      </c>
    </row>
    <row r="6">
      <c r="A6" t="inlineStr">
        <is>
          <t>Aug</t>
        </is>
      </c>
      <c r="B6" s="3" t="n">
        <v>1347000</v>
      </c>
      <c r="C6" s="3" t="n">
        <v>1376000</v>
      </c>
      <c r="D6" s="3" t="n">
        <v>1934000</v>
      </c>
      <c r="E6" s="3" t="n">
        <v>2132000</v>
      </c>
    </row>
    <row r="7">
      <c r="A7" t="inlineStr">
        <is>
          <t>Sep</t>
        </is>
      </c>
      <c r="B7" s="3" t="n">
        <v>954000</v>
      </c>
      <c r="C7" s="3" t="n">
        <v>2049000</v>
      </c>
      <c r="D7" s="3" t="n">
        <v>1307000</v>
      </c>
      <c r="E7" s="3" t="n">
        <v>2366000</v>
      </c>
    </row>
    <row r="8">
      <c r="A8" t="inlineStr">
        <is>
          <t>Oct</t>
        </is>
      </c>
      <c r="B8" s="3" t="n">
        <v>2230000</v>
      </c>
      <c r="C8" s="3" t="n">
        <v>2336000</v>
      </c>
      <c r="D8" s="3" t="n">
        <v>2016000</v>
      </c>
      <c r="E8" s="3" t="n">
        <v>1759000</v>
      </c>
    </row>
    <row r="9">
      <c r="A9" t="inlineStr">
        <is>
          <t>Nov</t>
        </is>
      </c>
      <c r="B9" s="3" t="n">
        <v>1351000</v>
      </c>
      <c r="C9" s="3" t="n">
        <v>1819000</v>
      </c>
      <c r="D9" s="3" t="n">
        <v>2106000</v>
      </c>
      <c r="E9" s="3" t="n">
        <v>1469000</v>
      </c>
    </row>
    <row r="10">
      <c r="A10" t="inlineStr">
        <is>
          <t>Dec</t>
        </is>
      </c>
      <c r="B10" s="3" t="n">
        <v>913000</v>
      </c>
      <c r="C10" s="3" t="n">
        <v>1226000</v>
      </c>
      <c r="D10" s="3" t="n">
        <v>2329000</v>
      </c>
      <c r="E10" s="3" t="n">
        <v>1765000</v>
      </c>
    </row>
    <row r="11">
      <c r="A11" t="inlineStr">
        <is>
          <t>Jan</t>
        </is>
      </c>
      <c r="B11" s="3" t="n">
        <v>1596000</v>
      </c>
      <c r="C11" s="3" t="n">
        <v>1469000</v>
      </c>
      <c r="D11" s="3" t="n">
        <v>1218000</v>
      </c>
      <c r="E11" s="3" t="n">
        <v>1340000</v>
      </c>
    </row>
    <row r="12">
      <c r="A12" t="inlineStr">
        <is>
          <t>Feb</t>
        </is>
      </c>
      <c r="B12" s="3" t="n">
        <v>1589000</v>
      </c>
      <c r="C12" s="3" t="n">
        <v>1109000</v>
      </c>
      <c r="D12" s="3" t="n">
        <v>1089000</v>
      </c>
      <c r="E12" s="3" t="n">
        <v>1678000</v>
      </c>
    </row>
    <row r="13">
      <c r="A13" t="inlineStr">
        <is>
          <t>Mar</t>
        </is>
      </c>
      <c r="B13" s="3" t="n">
        <v>1098000</v>
      </c>
      <c r="C13" s="3" t="n">
        <v>1635000</v>
      </c>
      <c r="D13" s="3" t="n">
        <v>1604000</v>
      </c>
      <c r="E13" s="3" t="n">
        <v>2136000</v>
      </c>
    </row>
    <row r="14">
      <c r="A14" s="4" t="inlineStr">
        <is>
          <t>Total</t>
        </is>
      </c>
      <c r="B14" s="5">
        <f>SUM(B2:B13)</f>
        <v/>
      </c>
      <c r="C14" s="5">
        <f>SUM(C2:C13)</f>
        <v/>
      </c>
      <c r="D14" s="5">
        <f>SUM(D2:D13)</f>
        <v/>
      </c>
      <c r="E14" s="5">
        <f>SUM(E2:E13)</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3"/>
  <sheetViews>
    <sheetView workbookViewId="0">
      <selection activeCell="A1" sqref="A1"/>
    </sheetView>
  </sheetViews>
  <sheetFormatPr baseColWidth="8" defaultRowHeight="15"/>
  <cols>
    <col width="9" customWidth="1" min="1" max="1"/>
    <col width="13" customWidth="1" min="2" max="2"/>
    <col width="13" customWidth="1" min="3" max="3"/>
    <col width="13" customWidth="1" min="4" max="4"/>
    <col width="13" customWidth="1" min="5" max="5"/>
    <col width="3" customWidth="1" min="6" max="6"/>
    <col width="10" customWidth="1" min="7" max="7"/>
    <col width="14" customWidth="1" min="8" max="8"/>
  </cols>
  <sheetData>
    <row r="1">
      <c r="A1" s="2" t="inlineStr">
        <is>
          <t>Month</t>
        </is>
      </c>
      <c r="B1" s="2" t="inlineStr">
        <is>
          <t>North</t>
        </is>
      </c>
      <c r="C1" s="2" t="inlineStr">
        <is>
          <t>South</t>
        </is>
      </c>
      <c r="D1" s="2" t="inlineStr">
        <is>
          <t>East</t>
        </is>
      </c>
      <c r="E1" s="2" t="inlineStr">
        <is>
          <t>West</t>
        </is>
      </c>
      <c r="G1" s="2" t="inlineStr">
        <is>
          <t>Region</t>
        </is>
      </c>
      <c r="H1" s="2" t="inlineStr">
        <is>
          <t>FY total</t>
        </is>
      </c>
    </row>
    <row r="2">
      <c r="A2" t="inlineStr">
        <is>
          <t>Apr</t>
        </is>
      </c>
      <c r="B2" s="3" t="n">
        <v>2209000</v>
      </c>
      <c r="C2" s="3" t="n">
        <v>1128000</v>
      </c>
      <c r="D2" s="3" t="n">
        <v>951000</v>
      </c>
      <c r="E2" s="3" t="n">
        <v>1463000</v>
      </c>
      <c r="G2" t="inlineStr">
        <is>
          <t>North</t>
        </is>
      </c>
      <c r="H2" s="3">
        <f>SUM(B2:B13)</f>
        <v/>
      </c>
    </row>
    <row r="3">
      <c r="A3" t="inlineStr">
        <is>
          <t>May</t>
        </is>
      </c>
      <c r="B3" s="3" t="n">
        <v>1401000</v>
      </c>
      <c r="C3" s="3" t="n">
        <v>1357000</v>
      </c>
      <c r="D3" s="3" t="n">
        <v>1185000</v>
      </c>
      <c r="E3" s="3" t="n">
        <v>1109000</v>
      </c>
      <c r="G3" t="inlineStr">
        <is>
          <t>South</t>
        </is>
      </c>
      <c r="H3" s="3">
        <f>SUM(C2:C13)</f>
        <v/>
      </c>
    </row>
    <row r="4">
      <c r="A4" t="inlineStr">
        <is>
          <t>Jun</t>
        </is>
      </c>
      <c r="B4" s="3" t="n">
        <v>2285000</v>
      </c>
      <c r="C4" s="3" t="n">
        <v>2016000</v>
      </c>
      <c r="D4" s="3" t="n">
        <v>1078000</v>
      </c>
      <c r="E4" s="3" t="n">
        <v>2109000</v>
      </c>
      <c r="G4" t="inlineStr">
        <is>
          <t>East</t>
        </is>
      </c>
      <c r="H4" s="3">
        <f>SUM(D2:D13)</f>
        <v/>
      </c>
    </row>
    <row r="5">
      <c r="A5" t="inlineStr">
        <is>
          <t>Jul</t>
        </is>
      </c>
      <c r="B5" s="3" t="n">
        <v>1764000</v>
      </c>
      <c r="C5" s="3" t="n">
        <v>965000</v>
      </c>
      <c r="D5" s="3" t="n">
        <v>961000</v>
      </c>
      <c r="E5" s="3" t="n">
        <v>1091000</v>
      </c>
      <c r="G5" t="inlineStr">
        <is>
          <t>West</t>
        </is>
      </c>
      <c r="H5" s="3">
        <f>SUM(E2:E13)</f>
        <v/>
      </c>
    </row>
    <row r="6">
      <c r="A6" t="inlineStr">
        <is>
          <t>Aug</t>
        </is>
      </c>
      <c r="B6" s="3" t="n">
        <v>1347000</v>
      </c>
      <c r="C6" s="3" t="n">
        <v>1376000</v>
      </c>
      <c r="D6" s="3" t="n">
        <v>1934000</v>
      </c>
      <c r="E6" s="3" t="n">
        <v>2132000</v>
      </c>
    </row>
    <row r="7">
      <c r="A7" t="inlineStr">
        <is>
          <t>Sep</t>
        </is>
      </c>
      <c r="B7" s="3" t="n">
        <v>954000</v>
      </c>
      <c r="C7" s="3" t="n">
        <v>2049000</v>
      </c>
      <c r="D7" s="3" t="n">
        <v>1307000</v>
      </c>
      <c r="E7" s="3" t="n">
        <v>2366000</v>
      </c>
    </row>
    <row r="8">
      <c r="A8" t="inlineStr">
        <is>
          <t>Oct</t>
        </is>
      </c>
      <c r="B8" s="3" t="n">
        <v>2230000</v>
      </c>
      <c r="C8" s="3" t="n">
        <v>2336000</v>
      </c>
      <c r="D8" s="3" t="n">
        <v>2016000</v>
      </c>
      <c r="E8" s="3" t="n">
        <v>1759000</v>
      </c>
    </row>
    <row r="9">
      <c r="A9" t="inlineStr">
        <is>
          <t>Nov</t>
        </is>
      </c>
      <c r="B9" s="3" t="n">
        <v>1351000</v>
      </c>
      <c r="C9" s="3" t="n">
        <v>1819000</v>
      </c>
      <c r="D9" s="3" t="n">
        <v>2106000</v>
      </c>
      <c r="E9" s="3" t="n">
        <v>1469000</v>
      </c>
    </row>
    <row r="10">
      <c r="A10" t="inlineStr">
        <is>
          <t>Dec</t>
        </is>
      </c>
      <c r="B10" s="3" t="n">
        <v>913000</v>
      </c>
      <c r="C10" s="3" t="n">
        <v>1226000</v>
      </c>
      <c r="D10" s="3" t="n">
        <v>2329000</v>
      </c>
      <c r="E10" s="3" t="n">
        <v>1765000</v>
      </c>
    </row>
    <row r="11">
      <c r="A11" t="inlineStr">
        <is>
          <t>Jan</t>
        </is>
      </c>
      <c r="B11" s="3" t="n">
        <v>1596000</v>
      </c>
      <c r="C11" s="3" t="n">
        <v>1469000</v>
      </c>
      <c r="D11" s="3" t="n">
        <v>1218000</v>
      </c>
      <c r="E11" s="3" t="n">
        <v>1340000</v>
      </c>
    </row>
    <row r="12">
      <c r="A12" t="inlineStr">
        <is>
          <t>Feb</t>
        </is>
      </c>
      <c r="B12" s="3" t="n">
        <v>1589000</v>
      </c>
      <c r="C12" s="3" t="n">
        <v>1109000</v>
      </c>
      <c r="D12" s="3" t="n">
        <v>1089000</v>
      </c>
      <c r="E12" s="3" t="n">
        <v>1678000</v>
      </c>
    </row>
    <row r="13">
      <c r="A13" t="inlineStr">
        <is>
          <t>Mar</t>
        </is>
      </c>
      <c r="B13" s="3" t="n">
        <v>1098000</v>
      </c>
      <c r="C13" s="3" t="n">
        <v>1635000</v>
      </c>
      <c r="D13" s="3" t="n">
        <v>1604000</v>
      </c>
      <c r="E13" s="3" t="n">
        <v>2136000</v>
      </c>
    </row>
    <row r="14">
      <c r="A14" s="4" t="inlineStr">
        <is>
          <t>Total</t>
        </is>
      </c>
      <c r="B14" s="5">
        <f>SUM(B2:B13)</f>
        <v/>
      </c>
      <c r="C14" s="5">
        <f>SUM(C2:C13)</f>
        <v/>
      </c>
      <c r="D14" s="5">
        <f>SUM(D2:D13)</f>
        <v/>
      </c>
      <c r="E14" s="5">
        <f>SUM(E2:E13)</f>
        <v/>
      </c>
    </row>
    <row r="33">
      <c r="A33" s="6" t="inlineStr">
        <is>
          <t>CHALLENGE ANSWER: select G1:H5, Insert &gt; Bar &gt; Clustered Bar, title 'FY sales by region: West leads'. The finished bar chart is at J33.</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22" customWidth="1" min="1" max="1"/>
    <col width="13" customWidth="1" min="2" max="2"/>
    <col width="13" customWidth="1" min="3" max="3"/>
    <col width="3" customWidth="1" min="4" max="4"/>
    <col width="18" customWidth="1" min="5" max="5"/>
    <col width="20" customWidth="1" min="6" max="6"/>
  </cols>
  <sheetData>
    <row r="1">
      <c r="A1" s="2" t="inlineStr">
        <is>
          <t>Product</t>
        </is>
      </c>
      <c r="B1" s="2" t="inlineStr">
        <is>
          <t>Sales</t>
        </is>
      </c>
      <c r="C1" s="2" t="inlineStr">
        <is>
          <t>Highlight</t>
        </is>
      </c>
      <c r="E1" s="4" t="inlineStr">
        <is>
          <t>Highlight product</t>
        </is>
      </c>
      <c r="F1" s="7" t="inlineStr">
        <is>
          <t>Sunflower Oil 1L</t>
        </is>
      </c>
    </row>
    <row r="2">
      <c r="A2" t="inlineStr">
        <is>
          <t>Basmati Rice 5kg</t>
        </is>
      </c>
      <c r="B2" s="3" t="n">
        <v>3966000</v>
      </c>
      <c r="C2" s="8" t="n"/>
    </row>
    <row r="3">
      <c r="A3" t="inlineStr">
        <is>
          <t>Sunflower Oil 1L</t>
        </is>
      </c>
      <c r="B3" s="3" t="n">
        <v>8411000</v>
      </c>
      <c r="C3" s="8" t="n"/>
    </row>
    <row r="4">
      <c r="A4" t="inlineStr">
        <is>
          <t>Toor Dal 1kg</t>
        </is>
      </c>
      <c r="B4" s="3" t="n">
        <v>2155000</v>
      </c>
      <c r="C4" s="8" t="n"/>
    </row>
    <row r="5">
      <c r="A5" t="inlineStr">
        <is>
          <t>Masala Tea 500g</t>
        </is>
      </c>
      <c r="B5" s="3" t="n">
        <v>7777000</v>
      </c>
      <c r="C5" s="8" t="n"/>
    </row>
    <row r="6">
      <c r="A6" t="inlineStr">
        <is>
          <t>Atta 10kg</t>
        </is>
      </c>
      <c r="B6" s="3" t="n">
        <v>5563000</v>
      </c>
      <c r="C6" s="8" t="n"/>
    </row>
    <row r="7">
      <c r="A7" t="inlineStr">
        <is>
          <t>Ghee 1L</t>
        </is>
      </c>
      <c r="B7" s="3" t="n">
        <v>6192000</v>
      </c>
      <c r="C7" s="8" t="n"/>
    </row>
    <row r="8">
      <c r="A8" t="inlineStr">
        <is>
          <t>Sugar 5kg</t>
        </is>
      </c>
      <c r="B8" s="3" t="n">
        <v>2822000</v>
      </c>
      <c r="C8" s="8" t="n"/>
    </row>
    <row r="9">
      <c r="A9" t="inlineStr">
        <is>
          <t>Instant Coffee 200g</t>
        </is>
      </c>
      <c r="B9" s="3" t="n">
        <v>9355000</v>
      </c>
      <c r="C9" s="8"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6"/>
  <sheetViews>
    <sheetView workbookViewId="0">
      <selection activeCell="A1" sqref="A1"/>
    </sheetView>
  </sheetViews>
  <sheetFormatPr baseColWidth="8" defaultRowHeight="15"/>
  <cols>
    <col width="22" customWidth="1" min="1" max="1"/>
    <col width="13" customWidth="1" min="2" max="2"/>
    <col width="13" customWidth="1" min="3" max="3"/>
    <col width="3" customWidth="1" min="4" max="4"/>
    <col width="18" customWidth="1" min="5" max="5"/>
    <col width="20" customWidth="1" min="6" max="6"/>
  </cols>
  <sheetData>
    <row r="1">
      <c r="A1" s="2" t="inlineStr">
        <is>
          <t>Product</t>
        </is>
      </c>
      <c r="B1" s="2" t="inlineStr">
        <is>
          <t>Sales</t>
        </is>
      </c>
      <c r="C1" s="2" t="inlineStr">
        <is>
          <t>Highlight</t>
        </is>
      </c>
      <c r="E1" s="4" t="inlineStr">
        <is>
          <t>Highlight product</t>
        </is>
      </c>
      <c r="F1" s="7" t="inlineStr">
        <is>
          <t>Sunflower Oil 1L</t>
        </is>
      </c>
    </row>
    <row r="2">
      <c r="A2" t="inlineStr">
        <is>
          <t>Instant Coffee 200g</t>
        </is>
      </c>
      <c r="B2" s="3" t="n">
        <v>9355000</v>
      </c>
      <c r="C2" s="3">
        <f>IF(A2=$F$1,B2,NA())</f>
        <v/>
      </c>
    </row>
    <row r="3">
      <c r="A3" t="inlineStr">
        <is>
          <t>Sunflower Oil 1L</t>
        </is>
      </c>
      <c r="B3" s="3" t="n">
        <v>8411000</v>
      </c>
      <c r="C3" s="3">
        <f>IF(A3=$F$1,B3,NA())</f>
        <v/>
      </c>
    </row>
    <row r="4">
      <c r="A4" t="inlineStr">
        <is>
          <t>Masala Tea 500g</t>
        </is>
      </c>
      <c r="B4" s="3" t="n">
        <v>7777000</v>
      </c>
      <c r="C4" s="3">
        <f>IF(A4=$F$1,B4,NA())</f>
        <v/>
      </c>
    </row>
    <row r="5">
      <c r="A5" t="inlineStr">
        <is>
          <t>Ghee 1L</t>
        </is>
      </c>
      <c r="B5" s="3" t="n">
        <v>6192000</v>
      </c>
      <c r="C5" s="3">
        <f>IF(A5=$F$1,B5,NA())</f>
        <v/>
      </c>
    </row>
    <row r="6">
      <c r="A6" t="inlineStr">
        <is>
          <t>Atta 10kg</t>
        </is>
      </c>
      <c r="B6" s="3" t="n">
        <v>5563000</v>
      </c>
      <c r="C6" s="3">
        <f>IF(A6=$F$1,B6,NA())</f>
        <v/>
      </c>
    </row>
    <row r="7">
      <c r="A7" t="inlineStr">
        <is>
          <t>Basmati Rice 5kg</t>
        </is>
      </c>
      <c r="B7" s="3" t="n">
        <v>3966000</v>
      </c>
      <c r="C7" s="3">
        <f>IF(A7=$F$1,B7,NA())</f>
        <v/>
      </c>
    </row>
    <row r="8">
      <c r="A8" t="inlineStr">
        <is>
          <t>Sugar 5kg</t>
        </is>
      </c>
      <c r="B8" s="3" t="n">
        <v>2822000</v>
      </c>
      <c r="C8" s="3">
        <f>IF(A8=$F$1,B8,NA())</f>
        <v/>
      </c>
    </row>
    <row r="9">
      <c r="A9" t="inlineStr">
        <is>
          <t>Toor Dal 1kg</t>
        </is>
      </c>
      <c r="B9" s="3" t="n">
        <v>2155000</v>
      </c>
      <c r="C9" s="3">
        <f>IF(A9=$F$1,B9,NA())</f>
        <v/>
      </c>
    </row>
    <row r="20">
      <c r="E20" s="9" t="inlineStr">
        <is>
          <t>FINISHED STATE: sorted bar chart, other products grey, the product in F1 in orange (Highlight series, Series Overlap 100%, Gap Width 60%), no gridlines, no legend, value axis removed, data labels on, categories in reverse order so the biggest bar is on top. Change F1 to move the highlight. Saved as a chart template (.crtx) from the right-click menu: Save as Template.</t>
        </is>
      </c>
    </row>
    <row r="21"/>
    <row r="22"/>
    <row r="23"/>
    <row r="24"/>
    <row r="26">
      <c r="E26" s="6" t="inlineStr">
        <is>
          <t>CHALLENGE ANSWER: in F1 type =INDEX(A2:A9,MATCH(MAX(B2:B9),B2:B9,0)). The highlight now always follows the top seller (Instant Coffee 200g).</t>
        </is>
      </c>
    </row>
  </sheetData>
  <mergeCells count="1">
    <mergeCell ref="E20:L24"/>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9" customWidth="1" min="1" max="1"/>
    <col width="13" customWidth="1" min="2" max="2"/>
    <col width="13" customWidth="1" min="3" max="3"/>
    <col width="11" customWidth="1" min="4" max="4"/>
    <col width="13" customWidth="1" min="5" max="5"/>
  </cols>
  <sheetData>
    <row r="1">
      <c r="A1" s="2" t="inlineStr">
        <is>
          <t>Month</t>
        </is>
      </c>
      <c r="B1" s="2" t="inlineStr">
        <is>
          <t>Sales</t>
        </is>
      </c>
      <c r="C1" s="2" t="inlineStr">
        <is>
          <t>Gross profit</t>
        </is>
      </c>
      <c r="D1" s="2" t="inlineStr">
        <is>
          <t>Margin %</t>
        </is>
      </c>
      <c r="E1" s="2" t="inlineStr">
        <is>
          <t>Target</t>
        </is>
      </c>
    </row>
    <row r="2">
      <c r="A2" t="inlineStr">
        <is>
          <t>Apr</t>
        </is>
      </c>
      <c r="B2" s="3" t="n">
        <v>2575000</v>
      </c>
      <c r="C2" s="3" t="n">
        <v>591000</v>
      </c>
      <c r="D2" s="10" t="n"/>
      <c r="E2" s="3" t="n">
        <v>2500000</v>
      </c>
    </row>
    <row r="3">
      <c r="A3" t="inlineStr">
        <is>
          <t>May</t>
        </is>
      </c>
      <c r="B3" s="3" t="n">
        <v>2400000</v>
      </c>
      <c r="C3" s="3" t="n">
        <v>767000</v>
      </c>
      <c r="D3" s="10" t="n"/>
      <c r="E3" s="3" t="n">
        <v>2500000</v>
      </c>
    </row>
    <row r="4">
      <c r="A4" t="inlineStr">
        <is>
          <t>Jun</t>
        </is>
      </c>
      <c r="B4" s="3" t="n">
        <v>2540000</v>
      </c>
      <c r="C4" s="3" t="n">
        <v>735000</v>
      </c>
      <c r="D4" s="10" t="n"/>
      <c r="E4" s="3" t="n">
        <v>2500000</v>
      </c>
    </row>
    <row r="5">
      <c r="A5" t="inlineStr">
        <is>
          <t>Jul</t>
        </is>
      </c>
      <c r="B5" s="3" t="n">
        <v>1942000</v>
      </c>
      <c r="C5" s="3" t="n">
        <v>438000</v>
      </c>
      <c r="D5" s="10" t="n"/>
      <c r="E5" s="3" t="n">
        <v>2500000</v>
      </c>
    </row>
    <row r="6">
      <c r="A6" t="inlineStr">
        <is>
          <t>Aug</t>
        </is>
      </c>
      <c r="B6" s="3" t="n">
        <v>2266000</v>
      </c>
      <c r="C6" s="3" t="n">
        <v>709000</v>
      </c>
      <c r="D6" s="10" t="n"/>
      <c r="E6" s="3" t="n">
        <v>2500000</v>
      </c>
    </row>
    <row r="7">
      <c r="A7" t="inlineStr">
        <is>
          <t>Sep</t>
        </is>
      </c>
      <c r="B7" s="3" t="n">
        <v>1963000</v>
      </c>
      <c r="C7" s="3" t="n">
        <v>633000</v>
      </c>
      <c r="D7" s="10" t="n"/>
      <c r="E7" s="3" t="n">
        <v>2500000</v>
      </c>
    </row>
    <row r="8">
      <c r="A8" t="inlineStr">
        <is>
          <t>Oct</t>
        </is>
      </c>
      <c r="B8" s="3" t="n">
        <v>2006000</v>
      </c>
      <c r="C8" s="3" t="n">
        <v>533000</v>
      </c>
      <c r="D8" s="10" t="n"/>
      <c r="E8" s="3" t="n">
        <v>2500000</v>
      </c>
    </row>
    <row r="9">
      <c r="A9" t="inlineStr">
        <is>
          <t>Nov</t>
        </is>
      </c>
      <c r="B9" s="3" t="n">
        <v>2728000</v>
      </c>
      <c r="C9" s="3" t="n">
        <v>808000</v>
      </c>
      <c r="D9" s="10" t="n"/>
      <c r="E9" s="3" t="n">
        <v>2500000</v>
      </c>
    </row>
    <row r="10">
      <c r="A10" t="inlineStr">
        <is>
          <t>Dec</t>
        </is>
      </c>
      <c r="B10" s="3" t="n">
        <v>2547000</v>
      </c>
      <c r="C10" s="3" t="n">
        <v>610000</v>
      </c>
      <c r="D10" s="10" t="n"/>
      <c r="E10" s="3" t="n">
        <v>2500000</v>
      </c>
    </row>
    <row r="11">
      <c r="A11" t="inlineStr">
        <is>
          <t>Jan</t>
        </is>
      </c>
      <c r="B11" s="3" t="n">
        <v>2527000</v>
      </c>
      <c r="C11" s="3" t="n">
        <v>619000</v>
      </c>
      <c r="D11" s="10" t="n"/>
      <c r="E11" s="3" t="n">
        <v>2500000</v>
      </c>
    </row>
    <row r="12">
      <c r="A12" t="inlineStr">
        <is>
          <t>Feb</t>
        </is>
      </c>
      <c r="B12" s="3" t="n">
        <v>2346000</v>
      </c>
      <c r="C12" s="3" t="n">
        <v>714000</v>
      </c>
      <c r="D12" s="10" t="n"/>
      <c r="E12" s="3" t="n">
        <v>2500000</v>
      </c>
    </row>
    <row r="13">
      <c r="A13" t="inlineStr">
        <is>
          <t>Mar</t>
        </is>
      </c>
      <c r="B13" s="3" t="n">
        <v>1946000</v>
      </c>
      <c r="C13" s="3" t="n">
        <v>570000</v>
      </c>
      <c r="D13" s="10" t="n"/>
      <c r="E13" s="3" t="n">
        <v>2500000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9" customWidth="1" min="1" max="1"/>
    <col width="13" customWidth="1" min="2" max="2"/>
    <col width="13" customWidth="1" min="3" max="3"/>
    <col width="11" customWidth="1" min="4" max="4"/>
    <col width="13" customWidth="1" min="5" max="5"/>
  </cols>
  <sheetData>
    <row r="1">
      <c r="A1" s="2" t="inlineStr">
        <is>
          <t>Month</t>
        </is>
      </c>
      <c r="B1" s="2" t="inlineStr">
        <is>
          <t>Sales</t>
        </is>
      </c>
      <c r="C1" s="2" t="inlineStr">
        <is>
          <t>Gross profit</t>
        </is>
      </c>
      <c r="D1" s="2" t="inlineStr">
        <is>
          <t>Margin %</t>
        </is>
      </c>
      <c r="E1" s="2" t="inlineStr">
        <is>
          <t>Target</t>
        </is>
      </c>
    </row>
    <row r="2">
      <c r="A2" t="inlineStr">
        <is>
          <t>Apr</t>
        </is>
      </c>
      <c r="B2" s="3" t="n">
        <v>2575000</v>
      </c>
      <c r="C2" s="3" t="n">
        <v>591000</v>
      </c>
      <c r="D2" s="11">
        <f>C2/B2</f>
        <v/>
      </c>
      <c r="E2" s="3" t="n">
        <v>2500000</v>
      </c>
    </row>
    <row r="3">
      <c r="A3" t="inlineStr">
        <is>
          <t>May</t>
        </is>
      </c>
      <c r="B3" s="3" t="n">
        <v>2400000</v>
      </c>
      <c r="C3" s="3" t="n">
        <v>767000</v>
      </c>
      <c r="D3" s="11">
        <f>C3/B3</f>
        <v/>
      </c>
      <c r="E3" s="3" t="n">
        <v>2500000</v>
      </c>
    </row>
    <row r="4">
      <c r="A4" t="inlineStr">
        <is>
          <t>Jun</t>
        </is>
      </c>
      <c r="B4" s="3" t="n">
        <v>2540000</v>
      </c>
      <c r="C4" s="3" t="n">
        <v>735000</v>
      </c>
      <c r="D4" s="11">
        <f>C4/B4</f>
        <v/>
      </c>
      <c r="E4" s="3" t="n">
        <v>2500000</v>
      </c>
    </row>
    <row r="5">
      <c r="A5" t="inlineStr">
        <is>
          <t>Jul</t>
        </is>
      </c>
      <c r="B5" s="3" t="n">
        <v>1942000</v>
      </c>
      <c r="C5" s="3" t="n">
        <v>438000</v>
      </c>
      <c r="D5" s="11">
        <f>C5/B5</f>
        <v/>
      </c>
      <c r="E5" s="3" t="n">
        <v>2500000</v>
      </c>
    </row>
    <row r="6">
      <c r="A6" t="inlineStr">
        <is>
          <t>Aug</t>
        </is>
      </c>
      <c r="B6" s="3" t="n">
        <v>2266000</v>
      </c>
      <c r="C6" s="3" t="n">
        <v>709000</v>
      </c>
      <c r="D6" s="11">
        <f>C6/B6</f>
        <v/>
      </c>
      <c r="E6" s="3" t="n">
        <v>2500000</v>
      </c>
    </row>
    <row r="7">
      <c r="A7" t="inlineStr">
        <is>
          <t>Sep</t>
        </is>
      </c>
      <c r="B7" s="3" t="n">
        <v>1963000</v>
      </c>
      <c r="C7" s="3" t="n">
        <v>633000</v>
      </c>
      <c r="D7" s="11">
        <f>C7/B7</f>
        <v/>
      </c>
      <c r="E7" s="3" t="n">
        <v>2500000</v>
      </c>
    </row>
    <row r="8">
      <c r="A8" t="inlineStr">
        <is>
          <t>Oct</t>
        </is>
      </c>
      <c r="B8" s="3" t="n">
        <v>2006000</v>
      </c>
      <c r="C8" s="3" t="n">
        <v>533000</v>
      </c>
      <c r="D8" s="11">
        <f>C8/B8</f>
        <v/>
      </c>
      <c r="E8" s="3" t="n">
        <v>2500000</v>
      </c>
    </row>
    <row r="9">
      <c r="A9" t="inlineStr">
        <is>
          <t>Nov</t>
        </is>
      </c>
      <c r="B9" s="3" t="n">
        <v>2728000</v>
      </c>
      <c r="C9" s="3" t="n">
        <v>808000</v>
      </c>
      <c r="D9" s="11">
        <f>C9/B9</f>
        <v/>
      </c>
      <c r="E9" s="3" t="n">
        <v>2500000</v>
      </c>
    </row>
    <row r="10">
      <c r="A10" t="inlineStr">
        <is>
          <t>Dec</t>
        </is>
      </c>
      <c r="B10" s="3" t="n">
        <v>2547000</v>
      </c>
      <c r="C10" s="3" t="n">
        <v>610000</v>
      </c>
      <c r="D10" s="11">
        <f>C10/B10</f>
        <v/>
      </c>
      <c r="E10" s="3" t="n">
        <v>2500000</v>
      </c>
    </row>
    <row r="11">
      <c r="A11" t="inlineStr">
        <is>
          <t>Jan</t>
        </is>
      </c>
      <c r="B11" s="3" t="n">
        <v>2527000</v>
      </c>
      <c r="C11" s="3" t="n">
        <v>619000</v>
      </c>
      <c r="D11" s="11">
        <f>C11/B11</f>
        <v/>
      </c>
      <c r="E11" s="3" t="n">
        <v>2500000</v>
      </c>
    </row>
    <row r="12">
      <c r="A12" t="inlineStr">
        <is>
          <t>Feb</t>
        </is>
      </c>
      <c r="B12" s="3" t="n">
        <v>2346000</v>
      </c>
      <c r="C12" s="3" t="n">
        <v>714000</v>
      </c>
      <c r="D12" s="11">
        <f>C12/B12</f>
        <v/>
      </c>
      <c r="E12" s="3" t="n">
        <v>2500000</v>
      </c>
    </row>
    <row r="13">
      <c r="A13" t="inlineStr">
        <is>
          <t>Mar</t>
        </is>
      </c>
      <c r="B13" s="3" t="n">
        <v>1946000</v>
      </c>
      <c r="C13" s="3" t="n">
        <v>570000</v>
      </c>
      <c r="D13" s="11">
        <f>C13/B13</f>
        <v/>
      </c>
      <c r="E13" s="3" t="n">
        <v>2500000</v>
      </c>
    </row>
    <row r="16">
      <c r="A16" s="6" t="inlineStr">
        <is>
          <t>CHALLENGE ANSWER: in G1 type =COUNTIF(B2:B13,"&lt;"&amp;E2). It returns 7 with the ₹25 lakh target and 12 after the target is changed to ₹28 lakh.</t>
        </is>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22" customWidth="1" min="1" max="1"/>
    <col width="12" customWidth="1" min="2" max="2"/>
    <col width="3" customWidth="1" min="3" max="3"/>
    <col width="12" customWidth="1" min="4" max="4"/>
  </cols>
  <sheetData>
    <row r="1">
      <c r="A1" s="2" t="inlineStr">
        <is>
          <t>Item</t>
        </is>
      </c>
      <c r="B1" s="2" t="inlineStr">
        <is>
          <t>Amount</t>
        </is>
      </c>
      <c r="D1" s="12" t="inlineStr">
        <is>
          <t>All amounts in ₹ lakh, FY 2025-26, Shree Ganesh Foods Pvt Ltd</t>
        </is>
      </c>
    </row>
    <row r="2">
      <c r="A2" t="inlineStr">
        <is>
          <t>Revenue</t>
        </is>
      </c>
      <c r="B2" s="13" t="n">
        <v>485</v>
      </c>
    </row>
    <row r="3">
      <c r="A3" t="inlineStr">
        <is>
          <t>Cost of goods sold</t>
        </is>
      </c>
      <c r="B3" s="13" t="n">
        <v>-261</v>
      </c>
    </row>
    <row r="4">
      <c r="A4" s="4" t="inlineStr">
        <is>
          <t>Gross profit</t>
        </is>
      </c>
      <c r="B4" s="14" t="n"/>
    </row>
    <row r="5">
      <c r="A5" t="inlineStr">
        <is>
          <t>Employee costs</t>
        </is>
      </c>
      <c r="B5" s="13" t="n">
        <v>-62</v>
      </c>
    </row>
    <row r="6">
      <c r="A6" t="inlineStr">
        <is>
          <t>Rent</t>
        </is>
      </c>
      <c r="B6" s="13" t="n">
        <v>-18</v>
      </c>
    </row>
    <row r="7">
      <c r="A7" t="inlineStr">
        <is>
          <t>Marketing</t>
        </is>
      </c>
      <c r="B7" s="13" t="n">
        <v>-24</v>
      </c>
    </row>
    <row r="8">
      <c r="A8" t="inlineStr">
        <is>
          <t>Other expenses</t>
        </is>
      </c>
      <c r="B8" s="13" t="n">
        <v>-11.5</v>
      </c>
    </row>
    <row r="9">
      <c r="A9" s="4" t="inlineStr">
        <is>
          <t>EBITDA</t>
        </is>
      </c>
      <c r="B9" s="14" t="n"/>
    </row>
    <row r="10">
      <c r="A10" t="inlineStr">
        <is>
          <t>Depreciation</t>
        </is>
      </c>
      <c r="B10" s="13" t="n">
        <v>-14</v>
      </c>
    </row>
    <row r="11">
      <c r="A11" t="inlineStr">
        <is>
          <t>Interest</t>
        </is>
      </c>
      <c r="B11" s="13" t="n">
        <v>-9</v>
      </c>
    </row>
    <row r="12">
      <c r="A12" t="inlineStr">
        <is>
          <t>Tax</t>
        </is>
      </c>
      <c r="B12" s="13" t="n">
        <v>-21.5</v>
      </c>
    </row>
    <row r="13">
      <c r="A13" s="4" t="inlineStr">
        <is>
          <t>Net profit</t>
        </is>
      </c>
      <c r="B13" s="14"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cols>
    <col width="22" customWidth="1" min="1" max="1"/>
    <col width="12" customWidth="1" min="2" max="2"/>
    <col width="3" customWidth="1" min="3" max="3"/>
    <col width="12" customWidth="1" min="4" max="4"/>
  </cols>
  <sheetData>
    <row r="1">
      <c r="A1" s="2" t="inlineStr">
        <is>
          <t>Item</t>
        </is>
      </c>
      <c r="B1" s="2" t="inlineStr">
        <is>
          <t>Amount</t>
        </is>
      </c>
      <c r="D1" s="12" t="inlineStr">
        <is>
          <t>All amounts in ₹ lakh, FY 2025-26, Shree Ganesh Foods Pvt Ltd</t>
        </is>
      </c>
    </row>
    <row r="2">
      <c r="A2" t="inlineStr">
        <is>
          <t>Revenue</t>
        </is>
      </c>
      <c r="B2" s="13" t="n">
        <v>485</v>
      </c>
    </row>
    <row r="3">
      <c r="A3" t="inlineStr">
        <is>
          <t>Cost of goods sold</t>
        </is>
      </c>
      <c r="B3" s="13" t="n">
        <v>-261</v>
      </c>
      <c r="D3" s="9" t="inlineStr">
        <is>
          <t>FINISHED STATE (build this in the lesson; openpyxl cannot draw waterfalls): a Waterfall chart of A1:B13 titled 'Profit bridge FY 2025-26 (₹ lakh)'. Revenue rises to 485, cost bars step down in red, and Gross profit (224), EBITDA (108.5) and Net profit (64) are set as totals so they stand on the axis. Legend removed, data labels on.</t>
        </is>
      </c>
    </row>
    <row r="4">
      <c r="A4" s="4" t="inlineStr">
        <is>
          <t>Gross profit</t>
        </is>
      </c>
      <c r="B4" s="13">
        <f>SUM(B2:B3)</f>
        <v/>
      </c>
    </row>
    <row r="5">
      <c r="A5" t="inlineStr">
        <is>
          <t>Employee costs</t>
        </is>
      </c>
      <c r="B5" s="13" t="n">
        <v>-62</v>
      </c>
    </row>
    <row r="6">
      <c r="A6" t="inlineStr">
        <is>
          <t>Rent</t>
        </is>
      </c>
      <c r="B6" s="13" t="n">
        <v>-18</v>
      </c>
    </row>
    <row r="7">
      <c r="A7" t="inlineStr">
        <is>
          <t>Marketing</t>
        </is>
      </c>
      <c r="B7" s="13" t="n">
        <v>-24</v>
      </c>
    </row>
    <row r="8">
      <c r="A8" t="inlineStr">
        <is>
          <t>Other expenses</t>
        </is>
      </c>
      <c r="B8" s="13" t="n">
        <v>-11.5</v>
      </c>
    </row>
    <row r="9">
      <c r="A9" s="4" t="inlineStr">
        <is>
          <t>EBITDA</t>
        </is>
      </c>
      <c r="B9" s="13">
        <f>SUM(B4:B8)</f>
        <v/>
      </c>
    </row>
    <row r="10">
      <c r="A10" t="inlineStr">
        <is>
          <t>Depreciation</t>
        </is>
      </c>
      <c r="B10" s="13" t="n">
        <v>-14</v>
      </c>
    </row>
    <row r="11">
      <c r="A11" t="inlineStr">
        <is>
          <t>Interest</t>
        </is>
      </c>
      <c r="B11" s="13" t="n">
        <v>-9</v>
      </c>
    </row>
    <row r="12">
      <c r="A12" t="inlineStr">
        <is>
          <t>Tax</t>
        </is>
      </c>
      <c r="B12" s="13" t="n">
        <v>-21.5</v>
      </c>
    </row>
    <row r="13">
      <c r="A13" s="4" t="inlineStr">
        <is>
          <t>Net profit</t>
        </is>
      </c>
      <c r="B13" s="13">
        <f>SUM(B9:B12)</f>
        <v/>
      </c>
    </row>
    <row r="14"/>
    <row r="16">
      <c r="A16" s="6" t="inlineStr">
        <is>
          <t>CHALLENGE ANSWER: in B12 type =-ROUND((B9+B10+B11)*25.17%,2). It gives -21.52 with revenue of 485, or -27.81 after revenue is changed to 510.</t>
        </is>
      </c>
    </row>
  </sheetData>
  <mergeCells count="1">
    <mergeCell ref="D3:K14"/>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61"/>
  <sheetViews>
    <sheetView workbookViewId="0">
      <selection activeCell="A1" sqref="A1"/>
    </sheetView>
  </sheetViews>
  <sheetFormatPr baseColWidth="8" defaultRowHeight="15"/>
  <cols>
    <col width="11" customWidth="1" min="1" max="1"/>
    <col width="9" customWidth="1" min="2" max="2"/>
    <col width="13" customWidth="1" min="3" max="3"/>
    <col width="3" customWidth="1" min="4" max="4"/>
    <col width="20" customWidth="1" min="5" max="5"/>
    <col width="8" customWidth="1" min="6" max="6"/>
    <col width="3" customWidth="1" min="7" max="7"/>
    <col width="12" customWidth="1" min="8" max="8"/>
    <col width="12" customWidth="1" min="9" max="9"/>
  </cols>
  <sheetData>
    <row r="1">
      <c r="A1" s="2" t="inlineStr">
        <is>
          <t>Order ID</t>
        </is>
      </c>
      <c r="B1" s="2" t="inlineStr">
        <is>
          <t>Region</t>
        </is>
      </c>
      <c r="C1" s="2" t="inlineStr">
        <is>
          <t>Order value</t>
        </is>
      </c>
      <c r="E1" s="2" t="inlineStr">
        <is>
          <t>Complaint type</t>
        </is>
      </c>
      <c r="F1" s="2" t="inlineStr">
        <is>
          <t>Count</t>
        </is>
      </c>
      <c r="H1" s="2" t="inlineStr">
        <is>
          <t>Statistic</t>
        </is>
      </c>
      <c r="I1" s="2" t="inlineStr">
        <is>
          <t>Value</t>
        </is>
      </c>
    </row>
    <row r="2">
      <c r="A2" t="inlineStr">
        <is>
          <t>ORD-2601</t>
        </is>
      </c>
      <c r="B2" t="inlineStr">
        <is>
          <t>South</t>
        </is>
      </c>
      <c r="C2" s="3" t="n">
        <v>3130</v>
      </c>
      <c r="E2" t="inlineStr">
        <is>
          <t>Late delivery</t>
        </is>
      </c>
      <c r="F2" t="n">
        <v>142</v>
      </c>
      <c r="H2" t="inlineStr">
        <is>
          <t>Orders</t>
        </is>
      </c>
      <c r="I2">
        <f>COUNT(C2:C61)</f>
        <v/>
      </c>
    </row>
    <row r="3">
      <c r="A3" t="inlineStr">
        <is>
          <t>ORD-2602</t>
        </is>
      </c>
      <c r="B3" t="inlineStr">
        <is>
          <t>South</t>
        </is>
      </c>
      <c r="C3" s="3" t="n">
        <v>10370</v>
      </c>
      <c r="E3" t="inlineStr">
        <is>
          <t>Damaged packaging</t>
        </is>
      </c>
      <c r="F3" t="n">
        <v>38</v>
      </c>
      <c r="H3" t="inlineStr">
        <is>
          <t>Median</t>
        </is>
      </c>
      <c r="I3" s="8" t="n"/>
    </row>
    <row r="4">
      <c r="A4" t="inlineStr">
        <is>
          <t>ORD-2603</t>
        </is>
      </c>
      <c r="B4" t="inlineStr">
        <is>
          <t>North</t>
        </is>
      </c>
      <c r="C4" s="3" t="n">
        <v>36650</v>
      </c>
      <c r="E4" t="inlineStr">
        <is>
          <t>Wrong item</t>
        </is>
      </c>
      <c r="F4" t="n">
        <v>61</v>
      </c>
      <c r="H4" t="inlineStr">
        <is>
          <t>Quartile 1</t>
        </is>
      </c>
      <c r="I4" s="8" t="n"/>
    </row>
    <row r="5">
      <c r="A5" t="inlineStr">
        <is>
          <t>ORD-2604</t>
        </is>
      </c>
      <c r="B5" t="inlineStr">
        <is>
          <t>South</t>
        </is>
      </c>
      <c r="C5" s="3" t="n">
        <v>8440</v>
      </c>
      <c r="E5" t="inlineStr">
        <is>
          <t>Refund delay</t>
        </is>
      </c>
      <c r="F5" t="n">
        <v>97</v>
      </c>
      <c r="H5" t="inlineStr">
        <is>
          <t>Quartile 3</t>
        </is>
      </c>
      <c r="I5" s="8" t="n"/>
    </row>
    <row r="6">
      <c r="A6" t="inlineStr">
        <is>
          <t>ORD-2605</t>
        </is>
      </c>
      <c r="B6" t="inlineStr">
        <is>
          <t>East</t>
        </is>
      </c>
      <c r="C6" s="3" t="n">
        <v>29220</v>
      </c>
      <c r="E6" t="inlineStr">
        <is>
          <t>Payment failed</t>
        </is>
      </c>
      <c r="F6" t="n">
        <v>24</v>
      </c>
      <c r="H6" t="inlineStr">
        <is>
          <t>Highest</t>
        </is>
      </c>
      <c r="I6" s="3">
        <f>MAX(C2:C61)</f>
        <v/>
      </c>
    </row>
    <row r="7">
      <c r="A7" t="inlineStr">
        <is>
          <t>ORD-2606</t>
        </is>
      </c>
      <c r="B7" t="inlineStr">
        <is>
          <t>West</t>
        </is>
      </c>
      <c r="C7" s="3" t="n">
        <v>6060</v>
      </c>
      <c r="E7" t="inlineStr">
        <is>
          <t>App crash</t>
        </is>
      </c>
      <c r="F7" t="n">
        <v>15</v>
      </c>
    </row>
    <row r="8">
      <c r="A8" t="inlineStr">
        <is>
          <t>ORD-2607</t>
        </is>
      </c>
      <c r="B8" t="inlineStr">
        <is>
          <t>East</t>
        </is>
      </c>
      <c r="C8" s="3" t="n">
        <v>7130</v>
      </c>
      <c r="E8" t="inlineStr">
        <is>
          <t>Rude delivery staff</t>
        </is>
      </c>
      <c r="F8" t="n">
        <v>11</v>
      </c>
    </row>
    <row r="9">
      <c r="A9" t="inlineStr">
        <is>
          <t>ORD-2608</t>
        </is>
      </c>
      <c r="B9" t="inlineStr">
        <is>
          <t>West</t>
        </is>
      </c>
      <c r="C9" s="3" t="n">
        <v>17070</v>
      </c>
      <c r="E9" t="inlineStr">
        <is>
          <t>Missing invoice</t>
        </is>
      </c>
      <c r="F9" t="n">
        <v>8</v>
      </c>
    </row>
    <row r="10">
      <c r="A10" t="inlineStr">
        <is>
          <t>ORD-2609</t>
        </is>
      </c>
      <c r="B10" t="inlineStr">
        <is>
          <t>North</t>
        </is>
      </c>
      <c r="C10" s="3" t="n">
        <v>5240</v>
      </c>
    </row>
    <row r="11">
      <c r="A11" t="inlineStr">
        <is>
          <t>ORD-2610</t>
        </is>
      </c>
      <c r="B11" t="inlineStr">
        <is>
          <t>South</t>
        </is>
      </c>
      <c r="C11" s="3" t="n">
        <v>16960</v>
      </c>
    </row>
    <row r="12">
      <c r="A12" t="inlineStr">
        <is>
          <t>ORD-2611</t>
        </is>
      </c>
      <c r="B12" t="inlineStr">
        <is>
          <t>North</t>
        </is>
      </c>
      <c r="C12" s="3" t="n">
        <v>18400</v>
      </c>
    </row>
    <row r="13">
      <c r="A13" t="inlineStr">
        <is>
          <t>ORD-2612</t>
        </is>
      </c>
      <c r="B13" t="inlineStr">
        <is>
          <t>West</t>
        </is>
      </c>
      <c r="C13" s="3" t="n">
        <v>8160</v>
      </c>
    </row>
    <row r="14">
      <c r="A14" t="inlineStr">
        <is>
          <t>ORD-2613</t>
        </is>
      </c>
      <c r="B14" t="inlineStr">
        <is>
          <t>North</t>
        </is>
      </c>
      <c r="C14" s="3" t="n">
        <v>30830</v>
      </c>
    </row>
    <row r="15">
      <c r="A15" t="inlineStr">
        <is>
          <t>ORD-2614</t>
        </is>
      </c>
      <c r="B15" t="inlineStr">
        <is>
          <t>East</t>
        </is>
      </c>
      <c r="C15" s="3" t="n">
        <v>13490</v>
      </c>
    </row>
    <row r="16">
      <c r="A16" t="inlineStr">
        <is>
          <t>ORD-2615</t>
        </is>
      </c>
      <c r="B16" t="inlineStr">
        <is>
          <t>East</t>
        </is>
      </c>
      <c r="C16" s="3" t="n">
        <v>16630</v>
      </c>
    </row>
    <row r="17">
      <c r="A17" t="inlineStr">
        <is>
          <t>ORD-2616</t>
        </is>
      </c>
      <c r="B17" t="inlineStr">
        <is>
          <t>East</t>
        </is>
      </c>
      <c r="C17" s="3" t="n">
        <v>9670</v>
      </c>
    </row>
    <row r="18">
      <c r="A18" t="inlineStr">
        <is>
          <t>ORD-2617</t>
        </is>
      </c>
      <c r="B18" t="inlineStr">
        <is>
          <t>East</t>
        </is>
      </c>
      <c r="C18" s="3" t="n">
        <v>11040</v>
      </c>
    </row>
    <row r="19">
      <c r="A19" t="inlineStr">
        <is>
          <t>ORD-2618</t>
        </is>
      </c>
      <c r="B19" t="inlineStr">
        <is>
          <t>South</t>
        </is>
      </c>
      <c r="C19" s="3" t="n">
        <v>22340</v>
      </c>
    </row>
    <row r="20">
      <c r="A20" t="inlineStr">
        <is>
          <t>ORD-2619</t>
        </is>
      </c>
      <c r="B20" t="inlineStr">
        <is>
          <t>North</t>
        </is>
      </c>
      <c r="C20" s="3" t="n">
        <v>13140</v>
      </c>
    </row>
    <row r="21">
      <c r="A21" t="inlineStr">
        <is>
          <t>ORD-2620</t>
        </is>
      </c>
      <c r="B21" t="inlineStr">
        <is>
          <t>North</t>
        </is>
      </c>
      <c r="C21" s="3" t="n">
        <v>13350</v>
      </c>
    </row>
    <row r="22">
      <c r="A22" t="inlineStr">
        <is>
          <t>ORD-2621</t>
        </is>
      </c>
      <c r="B22" t="inlineStr">
        <is>
          <t>North</t>
        </is>
      </c>
      <c r="C22" s="3" t="n">
        <v>17910</v>
      </c>
    </row>
    <row r="23">
      <c r="A23" t="inlineStr">
        <is>
          <t>ORD-2622</t>
        </is>
      </c>
      <c r="B23" t="inlineStr">
        <is>
          <t>North</t>
        </is>
      </c>
      <c r="C23" s="3" t="n">
        <v>5900</v>
      </c>
    </row>
    <row r="24">
      <c r="A24" t="inlineStr">
        <is>
          <t>ORD-2623</t>
        </is>
      </c>
      <c r="B24" t="inlineStr">
        <is>
          <t>North</t>
        </is>
      </c>
      <c r="C24" s="3" t="n">
        <v>4770</v>
      </c>
    </row>
    <row r="25">
      <c r="A25" t="inlineStr">
        <is>
          <t>ORD-2624</t>
        </is>
      </c>
      <c r="B25" t="inlineStr">
        <is>
          <t>South</t>
        </is>
      </c>
      <c r="C25" s="3" t="n">
        <v>3530</v>
      </c>
    </row>
    <row r="26">
      <c r="A26" t="inlineStr">
        <is>
          <t>ORD-2625</t>
        </is>
      </c>
      <c r="B26" t="inlineStr">
        <is>
          <t>South</t>
        </is>
      </c>
      <c r="C26" s="3" t="n">
        <v>9890</v>
      </c>
    </row>
    <row r="27">
      <c r="A27" t="inlineStr">
        <is>
          <t>ORD-2626</t>
        </is>
      </c>
      <c r="B27" t="inlineStr">
        <is>
          <t>East</t>
        </is>
      </c>
      <c r="C27" s="3" t="n">
        <v>15750</v>
      </c>
    </row>
    <row r="28">
      <c r="A28" t="inlineStr">
        <is>
          <t>ORD-2627</t>
        </is>
      </c>
      <c r="B28" t="inlineStr">
        <is>
          <t>North</t>
        </is>
      </c>
      <c r="C28" s="3" t="n">
        <v>9580</v>
      </c>
    </row>
    <row r="29">
      <c r="A29" t="inlineStr">
        <is>
          <t>ORD-2628</t>
        </is>
      </c>
      <c r="B29" t="inlineStr">
        <is>
          <t>North</t>
        </is>
      </c>
      <c r="C29" s="3" t="n">
        <v>8290</v>
      </c>
    </row>
    <row r="30">
      <c r="A30" t="inlineStr">
        <is>
          <t>ORD-2629</t>
        </is>
      </c>
      <c r="B30" t="inlineStr">
        <is>
          <t>South</t>
        </is>
      </c>
      <c r="C30" s="3" t="n">
        <v>12310</v>
      </c>
    </row>
    <row r="31">
      <c r="A31" t="inlineStr">
        <is>
          <t>ORD-2630</t>
        </is>
      </c>
      <c r="B31" t="inlineStr">
        <is>
          <t>South</t>
        </is>
      </c>
      <c r="C31" s="3" t="n">
        <v>5320</v>
      </c>
    </row>
    <row r="32">
      <c r="A32" t="inlineStr">
        <is>
          <t>ORD-2631</t>
        </is>
      </c>
      <c r="B32" t="inlineStr">
        <is>
          <t>South</t>
        </is>
      </c>
      <c r="C32" s="3" t="n">
        <v>7020</v>
      </c>
    </row>
    <row r="33">
      <c r="A33" t="inlineStr">
        <is>
          <t>ORD-2632</t>
        </is>
      </c>
      <c r="B33" t="inlineStr">
        <is>
          <t>West</t>
        </is>
      </c>
      <c r="C33" s="3" t="n">
        <v>12130</v>
      </c>
    </row>
    <row r="34">
      <c r="A34" t="inlineStr">
        <is>
          <t>ORD-2633</t>
        </is>
      </c>
      <c r="B34" t="inlineStr">
        <is>
          <t>North</t>
        </is>
      </c>
      <c r="C34" s="3" t="n">
        <v>16170</v>
      </c>
    </row>
    <row r="35">
      <c r="A35" t="inlineStr">
        <is>
          <t>ORD-2634</t>
        </is>
      </c>
      <c r="B35" t="inlineStr">
        <is>
          <t>West</t>
        </is>
      </c>
      <c r="C35" s="3" t="n">
        <v>14090</v>
      </c>
    </row>
    <row r="36">
      <c r="A36" t="inlineStr">
        <is>
          <t>ORD-2635</t>
        </is>
      </c>
      <c r="B36" t="inlineStr">
        <is>
          <t>North</t>
        </is>
      </c>
      <c r="C36" s="3" t="n">
        <v>9650</v>
      </c>
    </row>
    <row r="37">
      <c r="A37" t="inlineStr">
        <is>
          <t>ORD-2636</t>
        </is>
      </c>
      <c r="B37" t="inlineStr">
        <is>
          <t>South</t>
        </is>
      </c>
      <c r="C37" s="3" t="n">
        <v>15480</v>
      </c>
    </row>
    <row r="38">
      <c r="A38" t="inlineStr">
        <is>
          <t>ORD-2637</t>
        </is>
      </c>
      <c r="B38" t="inlineStr">
        <is>
          <t>West</t>
        </is>
      </c>
      <c r="C38" s="3" t="n">
        <v>6130</v>
      </c>
    </row>
    <row r="39">
      <c r="A39" t="inlineStr">
        <is>
          <t>ORD-2638</t>
        </is>
      </c>
      <c r="B39" t="inlineStr">
        <is>
          <t>North</t>
        </is>
      </c>
      <c r="C39" s="3" t="n">
        <v>5970</v>
      </c>
    </row>
    <row r="40">
      <c r="A40" t="inlineStr">
        <is>
          <t>ORD-2639</t>
        </is>
      </c>
      <c r="B40" t="inlineStr">
        <is>
          <t>North</t>
        </is>
      </c>
      <c r="C40" s="3" t="n">
        <v>7170</v>
      </c>
    </row>
    <row r="41">
      <c r="A41" t="inlineStr">
        <is>
          <t>ORD-2640</t>
        </is>
      </c>
      <c r="B41" t="inlineStr">
        <is>
          <t>South</t>
        </is>
      </c>
      <c r="C41" s="3" t="n">
        <v>5610</v>
      </c>
    </row>
    <row r="42">
      <c r="A42" t="inlineStr">
        <is>
          <t>ORD-2641</t>
        </is>
      </c>
      <c r="B42" t="inlineStr">
        <is>
          <t>West</t>
        </is>
      </c>
      <c r="C42" s="3" t="n">
        <v>2360</v>
      </c>
    </row>
    <row r="43">
      <c r="A43" t="inlineStr">
        <is>
          <t>ORD-2642</t>
        </is>
      </c>
      <c r="B43" t="inlineStr">
        <is>
          <t>West</t>
        </is>
      </c>
      <c r="C43" s="3" t="n">
        <v>5280</v>
      </c>
    </row>
    <row r="44">
      <c r="A44" t="inlineStr">
        <is>
          <t>ORD-2643</t>
        </is>
      </c>
      <c r="B44" t="inlineStr">
        <is>
          <t>North</t>
        </is>
      </c>
      <c r="C44" s="3" t="n">
        <v>6600</v>
      </c>
    </row>
    <row r="45">
      <c r="A45" t="inlineStr">
        <is>
          <t>ORD-2644</t>
        </is>
      </c>
      <c r="B45" t="inlineStr">
        <is>
          <t>East</t>
        </is>
      </c>
      <c r="C45" s="3" t="n">
        <v>13070</v>
      </c>
    </row>
    <row r="46">
      <c r="A46" t="inlineStr">
        <is>
          <t>ORD-2645</t>
        </is>
      </c>
      <c r="B46" t="inlineStr">
        <is>
          <t>South</t>
        </is>
      </c>
      <c r="C46" s="3" t="n">
        <v>3650</v>
      </c>
    </row>
    <row r="47">
      <c r="A47" t="inlineStr">
        <is>
          <t>ORD-2646</t>
        </is>
      </c>
      <c r="B47" t="inlineStr">
        <is>
          <t>South</t>
        </is>
      </c>
      <c r="C47" s="3" t="n">
        <v>4330</v>
      </c>
    </row>
    <row r="48">
      <c r="A48" t="inlineStr">
        <is>
          <t>ORD-2647</t>
        </is>
      </c>
      <c r="B48" t="inlineStr">
        <is>
          <t>South</t>
        </is>
      </c>
      <c r="C48" s="3" t="n">
        <v>20430</v>
      </c>
    </row>
    <row r="49">
      <c r="A49" t="inlineStr">
        <is>
          <t>ORD-2648</t>
        </is>
      </c>
      <c r="B49" t="inlineStr">
        <is>
          <t>North</t>
        </is>
      </c>
      <c r="C49" s="3" t="n">
        <v>11900</v>
      </c>
    </row>
    <row r="50">
      <c r="A50" t="inlineStr">
        <is>
          <t>ORD-2649</t>
        </is>
      </c>
      <c r="B50" t="inlineStr">
        <is>
          <t>East</t>
        </is>
      </c>
      <c r="C50" s="3" t="n">
        <v>8960</v>
      </c>
    </row>
    <row r="51">
      <c r="A51" t="inlineStr">
        <is>
          <t>ORD-2650</t>
        </is>
      </c>
      <c r="B51" t="inlineStr">
        <is>
          <t>East</t>
        </is>
      </c>
      <c r="C51" s="3" t="n">
        <v>19190</v>
      </c>
    </row>
    <row r="52">
      <c r="A52" t="inlineStr">
        <is>
          <t>ORD-2651</t>
        </is>
      </c>
      <c r="B52" t="inlineStr">
        <is>
          <t>East</t>
        </is>
      </c>
      <c r="C52" s="3" t="n">
        <v>7010</v>
      </c>
    </row>
    <row r="53">
      <c r="A53" t="inlineStr">
        <is>
          <t>ORD-2652</t>
        </is>
      </c>
      <c r="B53" t="inlineStr">
        <is>
          <t>North</t>
        </is>
      </c>
      <c r="C53" s="3" t="n">
        <v>5880</v>
      </c>
    </row>
    <row r="54">
      <c r="A54" t="inlineStr">
        <is>
          <t>ORD-2653</t>
        </is>
      </c>
      <c r="B54" t="inlineStr">
        <is>
          <t>South</t>
        </is>
      </c>
      <c r="C54" s="3" t="n">
        <v>11760</v>
      </c>
    </row>
    <row r="55">
      <c r="A55" t="inlineStr">
        <is>
          <t>ORD-2654</t>
        </is>
      </c>
      <c r="B55" t="inlineStr">
        <is>
          <t>East</t>
        </is>
      </c>
      <c r="C55" s="3" t="n">
        <v>11010</v>
      </c>
    </row>
    <row r="56">
      <c r="A56" t="inlineStr">
        <is>
          <t>ORD-2655</t>
        </is>
      </c>
      <c r="B56" t="inlineStr">
        <is>
          <t>East</t>
        </is>
      </c>
      <c r="C56" s="3" t="n">
        <v>9330</v>
      </c>
    </row>
    <row r="57">
      <c r="A57" t="inlineStr">
        <is>
          <t>ORD-2656</t>
        </is>
      </c>
      <c r="B57" t="inlineStr">
        <is>
          <t>North</t>
        </is>
      </c>
      <c r="C57" s="3" t="n">
        <v>17430</v>
      </c>
    </row>
    <row r="58">
      <c r="A58" t="inlineStr">
        <is>
          <t>ORD-2657</t>
        </is>
      </c>
      <c r="B58" t="inlineStr">
        <is>
          <t>South</t>
        </is>
      </c>
      <c r="C58" s="3" t="n">
        <v>11790</v>
      </c>
    </row>
    <row r="59">
      <c r="A59" t="inlineStr">
        <is>
          <t>ORD-2658</t>
        </is>
      </c>
      <c r="B59" t="inlineStr">
        <is>
          <t>East</t>
        </is>
      </c>
      <c r="C59" s="3" t="n">
        <v>14490</v>
      </c>
    </row>
    <row r="60">
      <c r="A60" t="inlineStr">
        <is>
          <t>ORD-2659</t>
        </is>
      </c>
      <c r="B60" t="inlineStr">
        <is>
          <t>North</t>
        </is>
      </c>
      <c r="C60" s="3" t="n">
        <v>11020</v>
      </c>
    </row>
    <row r="61">
      <c r="A61" t="inlineStr">
        <is>
          <t>ORD-2660</t>
        </is>
      </c>
      <c r="B61" t="inlineStr">
        <is>
          <t>East</t>
        </is>
      </c>
      <c r="C61" s="3" t="n">
        <v>5280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64"/>
  <sheetViews>
    <sheetView workbookViewId="0">
      <selection activeCell="A1" sqref="A1"/>
    </sheetView>
  </sheetViews>
  <sheetFormatPr baseColWidth="8" defaultRowHeight="15"/>
  <cols>
    <col width="11" customWidth="1" min="1" max="1"/>
    <col width="9" customWidth="1" min="2" max="2"/>
    <col width="13" customWidth="1" min="3" max="3"/>
    <col width="3" customWidth="1" min="4" max="4"/>
    <col width="20" customWidth="1" min="5" max="5"/>
    <col width="8" customWidth="1" min="6" max="6"/>
    <col width="3" customWidth="1" min="7" max="7"/>
    <col width="12" customWidth="1" min="8" max="8"/>
    <col width="12" customWidth="1" min="9" max="9"/>
  </cols>
  <sheetData>
    <row r="1">
      <c r="A1" s="2" t="inlineStr">
        <is>
          <t>Order ID</t>
        </is>
      </c>
      <c r="B1" s="2" t="inlineStr">
        <is>
          <t>Region</t>
        </is>
      </c>
      <c r="C1" s="2" t="inlineStr">
        <is>
          <t>Order value</t>
        </is>
      </c>
      <c r="E1" s="2" t="inlineStr">
        <is>
          <t>Complaint type</t>
        </is>
      </c>
      <c r="F1" s="2" t="inlineStr">
        <is>
          <t>Count</t>
        </is>
      </c>
      <c r="H1" s="2" t="inlineStr">
        <is>
          <t>Statistic</t>
        </is>
      </c>
      <c r="I1" s="2" t="inlineStr">
        <is>
          <t>Value</t>
        </is>
      </c>
    </row>
    <row r="2">
      <c r="A2" t="inlineStr">
        <is>
          <t>ORD-2601</t>
        </is>
      </c>
      <c r="B2" t="inlineStr">
        <is>
          <t>South</t>
        </is>
      </c>
      <c r="C2" s="3" t="n">
        <v>3130</v>
      </c>
      <c r="E2" t="inlineStr">
        <is>
          <t>Late delivery</t>
        </is>
      </c>
      <c r="F2" t="n">
        <v>142</v>
      </c>
      <c r="H2" t="inlineStr">
        <is>
          <t>Orders</t>
        </is>
      </c>
      <c r="I2">
        <f>COUNT(C2:C61)</f>
        <v/>
      </c>
    </row>
    <row r="3">
      <c r="A3" t="inlineStr">
        <is>
          <t>ORD-2602</t>
        </is>
      </c>
      <c r="B3" t="inlineStr">
        <is>
          <t>South</t>
        </is>
      </c>
      <c r="C3" s="3" t="n">
        <v>10370</v>
      </c>
      <c r="E3" t="inlineStr">
        <is>
          <t>Damaged packaging</t>
        </is>
      </c>
      <c r="F3" t="n">
        <v>38</v>
      </c>
      <c r="H3" t="inlineStr">
        <is>
          <t>Median</t>
        </is>
      </c>
      <c r="I3" s="3">
        <f>MEDIAN(C2:C61)</f>
        <v/>
      </c>
    </row>
    <row r="4">
      <c r="A4" t="inlineStr">
        <is>
          <t>ORD-2603</t>
        </is>
      </c>
      <c r="B4" t="inlineStr">
        <is>
          <t>North</t>
        </is>
      </c>
      <c r="C4" s="3" t="n">
        <v>36650</v>
      </c>
      <c r="E4" t="inlineStr">
        <is>
          <t>Wrong item</t>
        </is>
      </c>
      <c r="F4" t="n">
        <v>61</v>
      </c>
      <c r="H4" t="inlineStr">
        <is>
          <t>Quartile 1</t>
        </is>
      </c>
      <c r="I4" s="3">
        <f>_xlfn.QUARTILE.INC(C2:C61,1)</f>
        <v/>
      </c>
    </row>
    <row r="5">
      <c r="A5" t="inlineStr">
        <is>
          <t>ORD-2604</t>
        </is>
      </c>
      <c r="B5" t="inlineStr">
        <is>
          <t>South</t>
        </is>
      </c>
      <c r="C5" s="3" t="n">
        <v>8440</v>
      </c>
      <c r="E5" t="inlineStr">
        <is>
          <t>Refund delay</t>
        </is>
      </c>
      <c r="F5" t="n">
        <v>97</v>
      </c>
      <c r="H5" t="inlineStr">
        <is>
          <t>Quartile 3</t>
        </is>
      </c>
      <c r="I5" s="3">
        <f>_xlfn.QUARTILE.INC(C2:C61,3)</f>
        <v/>
      </c>
    </row>
    <row r="6">
      <c r="A6" t="inlineStr">
        <is>
          <t>ORD-2605</t>
        </is>
      </c>
      <c r="B6" t="inlineStr">
        <is>
          <t>East</t>
        </is>
      </c>
      <c r="C6" s="3" t="n">
        <v>29220</v>
      </c>
      <c r="E6" t="inlineStr">
        <is>
          <t>Payment failed</t>
        </is>
      </c>
      <c r="F6" t="n">
        <v>24</v>
      </c>
      <c r="H6" t="inlineStr">
        <is>
          <t>Highest</t>
        </is>
      </c>
      <c r="I6" s="3">
        <f>MAX(C2:C61)</f>
        <v/>
      </c>
    </row>
    <row r="7">
      <c r="A7" t="inlineStr">
        <is>
          <t>ORD-2606</t>
        </is>
      </c>
      <c r="B7" t="inlineStr">
        <is>
          <t>West</t>
        </is>
      </c>
      <c r="C7" s="3" t="n">
        <v>6060</v>
      </c>
      <c r="E7" t="inlineStr">
        <is>
          <t>App crash</t>
        </is>
      </c>
      <c r="F7" t="n">
        <v>15</v>
      </c>
    </row>
    <row r="8">
      <c r="A8" t="inlineStr">
        <is>
          <t>ORD-2607</t>
        </is>
      </c>
      <c r="B8" t="inlineStr">
        <is>
          <t>East</t>
        </is>
      </c>
      <c r="C8" s="3" t="n">
        <v>7130</v>
      </c>
      <c r="E8" t="inlineStr">
        <is>
          <t>Rude delivery staff</t>
        </is>
      </c>
      <c r="F8" t="n">
        <v>11</v>
      </c>
    </row>
    <row r="9">
      <c r="A9" t="inlineStr">
        <is>
          <t>ORD-2608</t>
        </is>
      </c>
      <c r="B9" t="inlineStr">
        <is>
          <t>West</t>
        </is>
      </c>
      <c r="C9" s="3" t="n">
        <v>17070</v>
      </c>
      <c r="E9" t="inlineStr">
        <is>
          <t>Missing invoice</t>
        </is>
      </c>
      <c r="F9" t="n">
        <v>8</v>
      </c>
      <c r="H9" s="9" t="inlineStr">
        <is>
          <t>FINISHED STATE (built in the lesson; openpyxl cannot draw these chart types): 1) Histogram of C1:C61, bin width ₹5,000, overflow bin at ₹30,000, title 'Order values, FY 2025-26'. 2) Pareto of E1:F9: bars sorted from Late delivery down, with the cumulative % line on the right axis; the first three types make up about 75% of complaints. 3) Box and whisker of B1:C61: one box per region, showing median, quartiles and outliers. I2:I6 hold the statistics that match the box plot.</t>
        </is>
      </c>
    </row>
    <row r="10">
      <c r="A10" t="inlineStr">
        <is>
          <t>ORD-2609</t>
        </is>
      </c>
      <c r="B10" t="inlineStr">
        <is>
          <t>North</t>
        </is>
      </c>
      <c r="C10" s="3" t="n">
        <v>5240</v>
      </c>
    </row>
    <row r="11">
      <c r="A11" t="inlineStr">
        <is>
          <t>ORD-2610</t>
        </is>
      </c>
      <c r="B11" t="inlineStr">
        <is>
          <t>South</t>
        </is>
      </c>
      <c r="C11" s="3" t="n">
        <v>16960</v>
      </c>
    </row>
    <row r="12">
      <c r="A12" t="inlineStr">
        <is>
          <t>ORD-2611</t>
        </is>
      </c>
      <c r="B12" t="inlineStr">
        <is>
          <t>North</t>
        </is>
      </c>
      <c r="C12" s="3" t="n">
        <v>18400</v>
      </c>
    </row>
    <row r="13">
      <c r="A13" t="inlineStr">
        <is>
          <t>ORD-2612</t>
        </is>
      </c>
      <c r="B13" t="inlineStr">
        <is>
          <t>West</t>
        </is>
      </c>
      <c r="C13" s="3" t="n">
        <v>8160</v>
      </c>
    </row>
    <row r="14">
      <c r="A14" t="inlineStr">
        <is>
          <t>ORD-2613</t>
        </is>
      </c>
      <c r="B14" t="inlineStr">
        <is>
          <t>North</t>
        </is>
      </c>
      <c r="C14" s="3" t="n">
        <v>30830</v>
      </c>
    </row>
    <row r="15">
      <c r="A15" t="inlineStr">
        <is>
          <t>ORD-2614</t>
        </is>
      </c>
      <c r="B15" t="inlineStr">
        <is>
          <t>East</t>
        </is>
      </c>
      <c r="C15" s="3" t="n">
        <v>13490</v>
      </c>
    </row>
    <row r="16">
      <c r="A16" t="inlineStr">
        <is>
          <t>ORD-2615</t>
        </is>
      </c>
      <c r="B16" t="inlineStr">
        <is>
          <t>East</t>
        </is>
      </c>
      <c r="C16" s="3" t="n">
        <v>16630</v>
      </c>
    </row>
    <row r="17">
      <c r="A17" t="inlineStr">
        <is>
          <t>ORD-2616</t>
        </is>
      </c>
      <c r="B17" t="inlineStr">
        <is>
          <t>East</t>
        </is>
      </c>
      <c r="C17" s="3" t="n">
        <v>9670</v>
      </c>
    </row>
    <row r="18">
      <c r="A18" t="inlineStr">
        <is>
          <t>ORD-2617</t>
        </is>
      </c>
      <c r="B18" t="inlineStr">
        <is>
          <t>East</t>
        </is>
      </c>
      <c r="C18" s="3" t="n">
        <v>11040</v>
      </c>
    </row>
    <row r="19">
      <c r="A19" t="inlineStr">
        <is>
          <t>ORD-2618</t>
        </is>
      </c>
      <c r="B19" t="inlineStr">
        <is>
          <t>South</t>
        </is>
      </c>
      <c r="C19" s="3" t="n">
        <v>22340</v>
      </c>
    </row>
    <row r="20">
      <c r="A20" t="inlineStr">
        <is>
          <t>ORD-2619</t>
        </is>
      </c>
      <c r="B20" t="inlineStr">
        <is>
          <t>North</t>
        </is>
      </c>
      <c r="C20" s="3" t="n">
        <v>13140</v>
      </c>
    </row>
    <row r="21">
      <c r="A21" t="inlineStr">
        <is>
          <t>ORD-2620</t>
        </is>
      </c>
      <c r="B21" t="inlineStr">
        <is>
          <t>North</t>
        </is>
      </c>
      <c r="C21" s="3" t="n">
        <v>13350</v>
      </c>
    </row>
    <row r="22">
      <c r="A22" t="inlineStr">
        <is>
          <t>ORD-2621</t>
        </is>
      </c>
      <c r="B22" t="inlineStr">
        <is>
          <t>North</t>
        </is>
      </c>
      <c r="C22" s="3" t="n">
        <v>17910</v>
      </c>
    </row>
    <row r="23">
      <c r="A23" t="inlineStr">
        <is>
          <t>ORD-2622</t>
        </is>
      </c>
      <c r="B23" t="inlineStr">
        <is>
          <t>North</t>
        </is>
      </c>
      <c r="C23" s="3" t="n">
        <v>5900</v>
      </c>
    </row>
    <row r="24">
      <c r="A24" t="inlineStr">
        <is>
          <t>ORD-2623</t>
        </is>
      </c>
      <c r="B24" t="inlineStr">
        <is>
          <t>North</t>
        </is>
      </c>
      <c r="C24" s="3" t="n">
        <v>4770</v>
      </c>
    </row>
    <row r="25">
      <c r="A25" t="inlineStr">
        <is>
          <t>ORD-2624</t>
        </is>
      </c>
      <c r="B25" t="inlineStr">
        <is>
          <t>South</t>
        </is>
      </c>
      <c r="C25" s="3" t="n">
        <v>3530</v>
      </c>
    </row>
    <row r="26">
      <c r="A26" t="inlineStr">
        <is>
          <t>ORD-2625</t>
        </is>
      </c>
      <c r="B26" t="inlineStr">
        <is>
          <t>South</t>
        </is>
      </c>
      <c r="C26" s="3" t="n">
        <v>9890</v>
      </c>
    </row>
    <row r="27">
      <c r="A27" t="inlineStr">
        <is>
          <t>ORD-2626</t>
        </is>
      </c>
      <c r="B27" t="inlineStr">
        <is>
          <t>East</t>
        </is>
      </c>
      <c r="C27" s="3" t="n">
        <v>15750</v>
      </c>
    </row>
    <row r="28">
      <c r="A28" t="inlineStr">
        <is>
          <t>ORD-2627</t>
        </is>
      </c>
      <c r="B28" t="inlineStr">
        <is>
          <t>North</t>
        </is>
      </c>
      <c r="C28" s="3" t="n">
        <v>9580</v>
      </c>
    </row>
    <row r="29">
      <c r="A29" t="inlineStr">
        <is>
          <t>ORD-2628</t>
        </is>
      </c>
      <c r="B29" t="inlineStr">
        <is>
          <t>North</t>
        </is>
      </c>
      <c r="C29" s="3" t="n">
        <v>8290</v>
      </c>
    </row>
    <row r="30">
      <c r="A30" t="inlineStr">
        <is>
          <t>ORD-2629</t>
        </is>
      </c>
      <c r="B30" t="inlineStr">
        <is>
          <t>South</t>
        </is>
      </c>
      <c r="C30" s="3" t="n">
        <v>12310</v>
      </c>
    </row>
    <row r="31">
      <c r="A31" t="inlineStr">
        <is>
          <t>ORD-2630</t>
        </is>
      </c>
      <c r="B31" t="inlineStr">
        <is>
          <t>South</t>
        </is>
      </c>
      <c r="C31" s="3" t="n">
        <v>5320</v>
      </c>
    </row>
    <row r="32">
      <c r="A32" t="inlineStr">
        <is>
          <t>ORD-2631</t>
        </is>
      </c>
      <c r="B32" t="inlineStr">
        <is>
          <t>South</t>
        </is>
      </c>
      <c r="C32" s="3" t="n">
        <v>7020</v>
      </c>
    </row>
    <row r="33">
      <c r="A33" t="inlineStr">
        <is>
          <t>ORD-2632</t>
        </is>
      </c>
      <c r="B33" t="inlineStr">
        <is>
          <t>West</t>
        </is>
      </c>
      <c r="C33" s="3" t="n">
        <v>12130</v>
      </c>
    </row>
    <row r="34">
      <c r="A34" t="inlineStr">
        <is>
          <t>ORD-2633</t>
        </is>
      </c>
      <c r="B34" t="inlineStr">
        <is>
          <t>North</t>
        </is>
      </c>
      <c r="C34" s="3" t="n">
        <v>16170</v>
      </c>
    </row>
    <row r="35">
      <c r="A35" t="inlineStr">
        <is>
          <t>ORD-2634</t>
        </is>
      </c>
      <c r="B35" t="inlineStr">
        <is>
          <t>West</t>
        </is>
      </c>
      <c r="C35" s="3" t="n">
        <v>14090</v>
      </c>
    </row>
    <row r="36">
      <c r="A36" t="inlineStr">
        <is>
          <t>ORD-2635</t>
        </is>
      </c>
      <c r="B36" t="inlineStr">
        <is>
          <t>North</t>
        </is>
      </c>
      <c r="C36" s="3" t="n">
        <v>9650</v>
      </c>
    </row>
    <row r="37">
      <c r="A37" t="inlineStr">
        <is>
          <t>ORD-2636</t>
        </is>
      </c>
      <c r="B37" t="inlineStr">
        <is>
          <t>South</t>
        </is>
      </c>
      <c r="C37" s="3" t="n">
        <v>15480</v>
      </c>
    </row>
    <row r="38">
      <c r="A38" t="inlineStr">
        <is>
          <t>ORD-2637</t>
        </is>
      </c>
      <c r="B38" t="inlineStr">
        <is>
          <t>West</t>
        </is>
      </c>
      <c r="C38" s="3" t="n">
        <v>6130</v>
      </c>
    </row>
    <row r="39">
      <c r="A39" t="inlineStr">
        <is>
          <t>ORD-2638</t>
        </is>
      </c>
      <c r="B39" t="inlineStr">
        <is>
          <t>North</t>
        </is>
      </c>
      <c r="C39" s="3" t="n">
        <v>5970</v>
      </c>
    </row>
    <row r="40">
      <c r="A40" t="inlineStr">
        <is>
          <t>ORD-2639</t>
        </is>
      </c>
      <c r="B40" t="inlineStr">
        <is>
          <t>North</t>
        </is>
      </c>
      <c r="C40" s="3" t="n">
        <v>7170</v>
      </c>
    </row>
    <row r="41">
      <c r="A41" t="inlineStr">
        <is>
          <t>ORD-2640</t>
        </is>
      </c>
      <c r="B41" t="inlineStr">
        <is>
          <t>South</t>
        </is>
      </c>
      <c r="C41" s="3" t="n">
        <v>5610</v>
      </c>
    </row>
    <row r="42">
      <c r="A42" t="inlineStr">
        <is>
          <t>ORD-2641</t>
        </is>
      </c>
      <c r="B42" t="inlineStr">
        <is>
          <t>West</t>
        </is>
      </c>
      <c r="C42" s="3" t="n">
        <v>2360</v>
      </c>
    </row>
    <row r="43">
      <c r="A43" t="inlineStr">
        <is>
          <t>ORD-2642</t>
        </is>
      </c>
      <c r="B43" t="inlineStr">
        <is>
          <t>West</t>
        </is>
      </c>
      <c r="C43" s="3" t="n">
        <v>5280</v>
      </c>
    </row>
    <row r="44">
      <c r="A44" t="inlineStr">
        <is>
          <t>ORD-2643</t>
        </is>
      </c>
      <c r="B44" t="inlineStr">
        <is>
          <t>North</t>
        </is>
      </c>
      <c r="C44" s="3" t="n">
        <v>6600</v>
      </c>
    </row>
    <row r="45">
      <c r="A45" t="inlineStr">
        <is>
          <t>ORD-2644</t>
        </is>
      </c>
      <c r="B45" t="inlineStr">
        <is>
          <t>East</t>
        </is>
      </c>
      <c r="C45" s="3" t="n">
        <v>13070</v>
      </c>
    </row>
    <row r="46">
      <c r="A46" t="inlineStr">
        <is>
          <t>ORD-2645</t>
        </is>
      </c>
      <c r="B46" t="inlineStr">
        <is>
          <t>South</t>
        </is>
      </c>
      <c r="C46" s="3" t="n">
        <v>3650</v>
      </c>
    </row>
    <row r="47">
      <c r="A47" t="inlineStr">
        <is>
          <t>ORD-2646</t>
        </is>
      </c>
      <c r="B47" t="inlineStr">
        <is>
          <t>South</t>
        </is>
      </c>
      <c r="C47" s="3" t="n">
        <v>4330</v>
      </c>
    </row>
    <row r="48">
      <c r="A48" t="inlineStr">
        <is>
          <t>ORD-2647</t>
        </is>
      </c>
      <c r="B48" t="inlineStr">
        <is>
          <t>South</t>
        </is>
      </c>
      <c r="C48" s="3" t="n">
        <v>20430</v>
      </c>
    </row>
    <row r="49">
      <c r="A49" t="inlineStr">
        <is>
          <t>ORD-2648</t>
        </is>
      </c>
      <c r="B49" t="inlineStr">
        <is>
          <t>North</t>
        </is>
      </c>
      <c r="C49" s="3" t="n">
        <v>11900</v>
      </c>
    </row>
    <row r="50">
      <c r="A50" t="inlineStr">
        <is>
          <t>ORD-2649</t>
        </is>
      </c>
      <c r="B50" t="inlineStr">
        <is>
          <t>East</t>
        </is>
      </c>
      <c r="C50" s="3" t="n">
        <v>8960</v>
      </c>
    </row>
    <row r="51">
      <c r="A51" t="inlineStr">
        <is>
          <t>ORD-2650</t>
        </is>
      </c>
      <c r="B51" t="inlineStr">
        <is>
          <t>East</t>
        </is>
      </c>
      <c r="C51" s="3" t="n">
        <v>19190</v>
      </c>
    </row>
    <row r="52">
      <c r="A52" t="inlineStr">
        <is>
          <t>ORD-2651</t>
        </is>
      </c>
      <c r="B52" t="inlineStr">
        <is>
          <t>East</t>
        </is>
      </c>
      <c r="C52" s="3" t="n">
        <v>7010</v>
      </c>
    </row>
    <row r="53">
      <c r="A53" t="inlineStr">
        <is>
          <t>ORD-2652</t>
        </is>
      </c>
      <c r="B53" t="inlineStr">
        <is>
          <t>North</t>
        </is>
      </c>
      <c r="C53" s="3" t="n">
        <v>5880</v>
      </c>
    </row>
    <row r="54">
      <c r="A54" t="inlineStr">
        <is>
          <t>ORD-2653</t>
        </is>
      </c>
      <c r="B54" t="inlineStr">
        <is>
          <t>South</t>
        </is>
      </c>
      <c r="C54" s="3" t="n">
        <v>11760</v>
      </c>
    </row>
    <row r="55">
      <c r="A55" t="inlineStr">
        <is>
          <t>ORD-2654</t>
        </is>
      </c>
      <c r="B55" t="inlineStr">
        <is>
          <t>East</t>
        </is>
      </c>
      <c r="C55" s="3" t="n">
        <v>11010</v>
      </c>
    </row>
    <row r="56">
      <c r="A56" t="inlineStr">
        <is>
          <t>ORD-2655</t>
        </is>
      </c>
      <c r="B56" t="inlineStr">
        <is>
          <t>East</t>
        </is>
      </c>
      <c r="C56" s="3" t="n">
        <v>9330</v>
      </c>
    </row>
    <row r="57">
      <c r="A57" t="inlineStr">
        <is>
          <t>ORD-2656</t>
        </is>
      </c>
      <c r="B57" t="inlineStr">
        <is>
          <t>North</t>
        </is>
      </c>
      <c r="C57" s="3" t="n">
        <v>17430</v>
      </c>
    </row>
    <row r="58">
      <c r="A58" t="inlineStr">
        <is>
          <t>ORD-2657</t>
        </is>
      </c>
      <c r="B58" t="inlineStr">
        <is>
          <t>South</t>
        </is>
      </c>
      <c r="C58" s="3" t="n">
        <v>11790</v>
      </c>
    </row>
    <row r="59">
      <c r="A59" t="inlineStr">
        <is>
          <t>ORD-2658</t>
        </is>
      </c>
      <c r="B59" t="inlineStr">
        <is>
          <t>East</t>
        </is>
      </c>
      <c r="C59" s="3" t="n">
        <v>14490</v>
      </c>
    </row>
    <row r="60">
      <c r="A60" t="inlineStr">
        <is>
          <t>ORD-2659</t>
        </is>
      </c>
      <c r="B60" t="inlineStr">
        <is>
          <t>North</t>
        </is>
      </c>
      <c r="C60" s="3" t="n">
        <v>11020</v>
      </c>
    </row>
    <row r="61">
      <c r="A61" t="inlineStr">
        <is>
          <t>ORD-2660</t>
        </is>
      </c>
      <c r="B61" t="inlineStr">
        <is>
          <t>East</t>
        </is>
      </c>
      <c r="C61" s="3" t="n">
        <v>5280</v>
      </c>
    </row>
    <row r="64">
      <c r="A64" s="6" t="inlineStr">
        <is>
          <t>CHALLENGE ANSWER: in I7 type =COUNTIF(C2:C61,"&gt;20000"). It returns 5: these are the orders in the top bars of the histogram and the dots in the box plot.</t>
        </is>
      </c>
    </row>
  </sheetData>
  <mergeCells count="1">
    <mergeCell ref="H9:O24"/>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13" customWidth="1" min="1" max="1"/>
    <col width="14" customWidth="1" min="2" max="2"/>
    <col width="13" customWidth="1" min="3" max="3"/>
    <col width="3" customWidth="1" min="4" max="4"/>
    <col width="17" customWidth="1" min="5" max="5"/>
    <col width="9" customWidth="1" min="6" max="6"/>
    <col width="13" customWidth="1" min="7" max="7"/>
  </cols>
  <sheetData>
    <row r="1">
      <c r="A1" s="2" t="inlineStr">
        <is>
          <t>Category</t>
        </is>
      </c>
      <c r="B1" s="2" t="inlineStr">
        <is>
          <t>Sub-category</t>
        </is>
      </c>
      <c r="C1" s="2" t="inlineStr">
        <is>
          <t>Sales</t>
        </is>
      </c>
      <c r="E1" s="2" t="inlineStr">
        <is>
          <t>Stage</t>
        </is>
      </c>
      <c r="F1" s="2" t="inlineStr">
        <is>
          <t>Count</t>
        </is>
      </c>
      <c r="G1" s="2" t="inlineStr">
        <is>
          <t>% of previous</t>
        </is>
      </c>
    </row>
    <row r="2">
      <c r="A2" t="inlineStr">
        <is>
          <t>Electronics</t>
        </is>
      </c>
      <c r="B2" t="inlineStr">
        <is>
          <t>Mobiles</t>
        </is>
      </c>
      <c r="C2" s="3" t="n">
        <v>4850000</v>
      </c>
      <c r="E2" t="inlineStr">
        <is>
          <t>Website visits</t>
        </is>
      </c>
      <c r="F2" s="15" t="n">
        <v>48000</v>
      </c>
    </row>
    <row r="3">
      <c r="A3" t="inlineStr">
        <is>
          <t>Electronics</t>
        </is>
      </c>
      <c r="B3" t="inlineStr">
        <is>
          <t>Laptops</t>
        </is>
      </c>
      <c r="C3" s="3" t="n">
        <v>3620000</v>
      </c>
      <c r="E3" t="inlineStr">
        <is>
          <t>Leads</t>
        </is>
      </c>
      <c r="F3" s="15" t="n">
        <v>9600</v>
      </c>
      <c r="G3" s="10" t="n"/>
    </row>
    <row r="4">
      <c r="A4" t="inlineStr">
        <is>
          <t>Electronics</t>
        </is>
      </c>
      <c r="B4" t="inlineStr">
        <is>
          <t>Televisions</t>
        </is>
      </c>
      <c r="C4" s="3" t="n">
        <v>2140000</v>
      </c>
      <c r="E4" t="inlineStr">
        <is>
          <t>Qualified leads</t>
        </is>
      </c>
      <c r="F4" s="15" t="n">
        <v>3120</v>
      </c>
      <c r="G4" s="10" t="n"/>
    </row>
    <row r="5">
      <c r="A5" t="inlineStr">
        <is>
          <t>Apparel</t>
        </is>
      </c>
      <c r="B5" t="inlineStr">
        <is>
          <t>Men</t>
        </is>
      </c>
      <c r="C5" s="3" t="n">
        <v>1980000</v>
      </c>
      <c r="E5" t="inlineStr">
        <is>
          <t>Proposals sent</t>
        </is>
      </c>
      <c r="F5" s="15" t="n">
        <v>860</v>
      </c>
      <c r="G5" s="10" t="n"/>
    </row>
    <row r="6">
      <c r="A6" t="inlineStr">
        <is>
          <t>Apparel</t>
        </is>
      </c>
      <c r="B6" t="inlineStr">
        <is>
          <t>Women</t>
        </is>
      </c>
      <c r="C6" s="3" t="n">
        <v>2760000</v>
      </c>
      <c r="E6" t="inlineStr">
        <is>
          <t>Deals won</t>
        </is>
      </c>
      <c r="F6" s="15" t="n">
        <v>245</v>
      </c>
      <c r="G6" s="10" t="n"/>
    </row>
    <row r="7">
      <c r="A7" t="inlineStr">
        <is>
          <t>Apparel</t>
        </is>
      </c>
      <c r="B7" t="inlineStr">
        <is>
          <t>Kids</t>
        </is>
      </c>
      <c r="C7" s="3" t="n">
        <v>940000</v>
      </c>
    </row>
    <row r="8">
      <c r="A8" t="inlineStr">
        <is>
          <t>Home</t>
        </is>
      </c>
      <c r="B8" t="inlineStr">
        <is>
          <t>Kitchen</t>
        </is>
      </c>
      <c r="C8" s="3" t="n">
        <v>1720000</v>
      </c>
    </row>
    <row r="9">
      <c r="A9" t="inlineStr">
        <is>
          <t>Home</t>
        </is>
      </c>
      <c r="B9" t="inlineStr">
        <is>
          <t>Furniture</t>
        </is>
      </c>
      <c r="C9" s="3" t="n">
        <v>1460000</v>
      </c>
    </row>
    <row r="10">
      <c r="A10" t="inlineStr">
        <is>
          <t>Home</t>
        </is>
      </c>
      <c r="B10" t="inlineStr">
        <is>
          <t>Decor</t>
        </is>
      </c>
      <c r="C10" s="3" t="n">
        <v>610000</v>
      </c>
    </row>
    <row r="11">
      <c r="A11" t="inlineStr">
        <is>
          <t>Grocery</t>
        </is>
      </c>
      <c r="B11" t="inlineStr">
        <is>
          <t>Staples</t>
        </is>
      </c>
      <c r="C11" s="3" t="n">
        <v>2230000</v>
      </c>
    </row>
    <row r="12">
      <c r="A12" t="inlineStr">
        <is>
          <t>Grocery</t>
        </is>
      </c>
      <c r="B12" t="inlineStr">
        <is>
          <t>Snacks</t>
        </is>
      </c>
      <c r="C12" s="3" t="n">
        <v>880000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22"/>
  <sheetViews>
    <sheetView workbookViewId="0">
      <selection activeCell="A1" sqref="A1"/>
    </sheetView>
  </sheetViews>
  <sheetFormatPr baseColWidth="8" defaultRowHeight="15"/>
  <cols>
    <col width="13" customWidth="1" min="1" max="1"/>
    <col width="14" customWidth="1" min="2" max="2"/>
    <col width="13" customWidth="1" min="3" max="3"/>
    <col width="3" customWidth="1" min="4" max="4"/>
    <col width="17" customWidth="1" min="5" max="5"/>
    <col width="9" customWidth="1" min="6" max="6"/>
    <col width="13" customWidth="1" min="7" max="7"/>
  </cols>
  <sheetData>
    <row r="1">
      <c r="A1" s="2" t="inlineStr">
        <is>
          <t>Category</t>
        </is>
      </c>
      <c r="B1" s="2" t="inlineStr">
        <is>
          <t>Sub-category</t>
        </is>
      </c>
      <c r="C1" s="2" t="inlineStr">
        <is>
          <t>Sales</t>
        </is>
      </c>
      <c r="E1" s="2" t="inlineStr">
        <is>
          <t>Stage</t>
        </is>
      </c>
      <c r="F1" s="2" t="inlineStr">
        <is>
          <t>Count</t>
        </is>
      </c>
      <c r="G1" s="2" t="inlineStr">
        <is>
          <t>% of previous</t>
        </is>
      </c>
    </row>
    <row r="2">
      <c r="A2" t="inlineStr">
        <is>
          <t>Electronics</t>
        </is>
      </c>
      <c r="B2" t="inlineStr">
        <is>
          <t>Mobiles</t>
        </is>
      </c>
      <c r="C2" s="3" t="n">
        <v>4850000</v>
      </c>
      <c r="E2" t="inlineStr">
        <is>
          <t>Website visits</t>
        </is>
      </c>
      <c r="F2" s="15" t="n">
        <v>48000</v>
      </c>
    </row>
    <row r="3">
      <c r="A3" t="inlineStr">
        <is>
          <t>Electronics</t>
        </is>
      </c>
      <c r="B3" t="inlineStr">
        <is>
          <t>Laptops</t>
        </is>
      </c>
      <c r="C3" s="3" t="n">
        <v>3620000</v>
      </c>
      <c r="E3" t="inlineStr">
        <is>
          <t>Leads</t>
        </is>
      </c>
      <c r="F3" s="15" t="n">
        <v>9600</v>
      </c>
      <c r="G3" s="11">
        <f>F3/F2</f>
        <v/>
      </c>
    </row>
    <row r="4">
      <c r="A4" t="inlineStr">
        <is>
          <t>Electronics</t>
        </is>
      </c>
      <c r="B4" t="inlineStr">
        <is>
          <t>Televisions</t>
        </is>
      </c>
      <c r="C4" s="3" t="n">
        <v>2140000</v>
      </c>
      <c r="E4" t="inlineStr">
        <is>
          <t>Qualified leads</t>
        </is>
      </c>
      <c r="F4" s="15" t="n">
        <v>3120</v>
      </c>
      <c r="G4" s="11">
        <f>F4/F3</f>
        <v/>
      </c>
    </row>
    <row r="5">
      <c r="A5" t="inlineStr">
        <is>
          <t>Apparel</t>
        </is>
      </c>
      <c r="B5" t="inlineStr">
        <is>
          <t>Men</t>
        </is>
      </c>
      <c r="C5" s="3" t="n">
        <v>1980000</v>
      </c>
      <c r="E5" t="inlineStr">
        <is>
          <t>Proposals sent</t>
        </is>
      </c>
      <c r="F5" s="15" t="n">
        <v>860</v>
      </c>
      <c r="G5" s="11">
        <f>F5/F4</f>
        <v/>
      </c>
    </row>
    <row r="6">
      <c r="A6" t="inlineStr">
        <is>
          <t>Apparel</t>
        </is>
      </c>
      <c r="B6" t="inlineStr">
        <is>
          <t>Women</t>
        </is>
      </c>
      <c r="C6" s="3" t="n">
        <v>2760000</v>
      </c>
      <c r="E6" t="inlineStr">
        <is>
          <t>Deals won</t>
        </is>
      </c>
      <c r="F6" s="15" t="n">
        <v>245</v>
      </c>
      <c r="G6" s="11">
        <f>F6/F5</f>
        <v/>
      </c>
    </row>
    <row r="7">
      <c r="A7" t="inlineStr">
        <is>
          <t>Apparel</t>
        </is>
      </c>
      <c r="B7" t="inlineStr">
        <is>
          <t>Kids</t>
        </is>
      </c>
      <c r="C7" s="3" t="n">
        <v>940000</v>
      </c>
    </row>
    <row r="8">
      <c r="A8" t="inlineStr">
        <is>
          <t>Home</t>
        </is>
      </c>
      <c r="B8" t="inlineStr">
        <is>
          <t>Kitchen</t>
        </is>
      </c>
      <c r="C8" s="3" t="n">
        <v>1720000</v>
      </c>
    </row>
    <row r="9">
      <c r="A9" t="inlineStr">
        <is>
          <t>Home</t>
        </is>
      </c>
      <c r="B9" t="inlineStr">
        <is>
          <t>Furniture</t>
        </is>
      </c>
      <c r="C9" s="3" t="n">
        <v>1460000</v>
      </c>
      <c r="E9" s="9" t="inlineStr">
        <is>
          <t>FINISHED STATE (built in the lesson; openpyxl cannot draw these chart types): 1) Treemap of A1:C12: four coloured blocks (Electronics biggest), each split into sub-categories. 2) Sunburst of the same data: categories in the inner ring, sub-categories in the outer ring. 3) Funnel of E1:F6 from 48,000 website visits down to 245 deals won, data labels on. G3:G6 show the conversion from each stage to the next.</t>
        </is>
      </c>
    </row>
    <row r="10">
      <c r="A10" t="inlineStr">
        <is>
          <t>Home</t>
        </is>
      </c>
      <c r="B10" t="inlineStr">
        <is>
          <t>Decor</t>
        </is>
      </c>
      <c r="C10" s="3" t="n">
        <v>610000</v>
      </c>
    </row>
    <row r="11">
      <c r="A11" t="inlineStr">
        <is>
          <t>Grocery</t>
        </is>
      </c>
      <c r="B11" t="inlineStr">
        <is>
          <t>Staples</t>
        </is>
      </c>
      <c r="C11" s="3" t="n">
        <v>2230000</v>
      </c>
    </row>
    <row r="12">
      <c r="A12" t="inlineStr">
        <is>
          <t>Grocery</t>
        </is>
      </c>
      <c r="B12" t="inlineStr">
        <is>
          <t>Snacks</t>
        </is>
      </c>
      <c r="C12" s="3" t="n">
        <v>880000</v>
      </c>
    </row>
    <row r="13"/>
    <row r="14"/>
    <row r="15">
      <c r="A15" s="6" t="inlineStr">
        <is>
          <t>CHALLENGE ANSWER: in H2 type =F6/F2 and format as 0.00%. It shows 0.51% with 245 deals won, or 0.63% after Deals won is changed to 300.</t>
        </is>
      </c>
    </row>
    <row r="16"/>
    <row r="17"/>
    <row r="18"/>
    <row r="19"/>
    <row r="20"/>
    <row r="21"/>
    <row r="22"/>
  </sheetData>
  <mergeCells count="1">
    <mergeCell ref="E9:L2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9" customWidth="1" min="1" max="1"/>
    <col width="20" customWidth="1" min="2" max="2"/>
    <col width="13" customWidth="1" min="3" max="3"/>
    <col width="3" customWidth="1" min="4" max="4"/>
    <col width="12" customWidth="1" min="5" max="5"/>
    <col width="14" customWidth="1" min="6" max="6"/>
  </cols>
  <sheetData>
    <row r="1">
      <c r="A1" s="2" t="inlineStr">
        <is>
          <t>Country</t>
        </is>
      </c>
      <c r="B1" s="2" t="inlineStr">
        <is>
          <t>State</t>
        </is>
      </c>
      <c r="C1" s="2" t="inlineStr">
        <is>
          <t>Sales</t>
        </is>
      </c>
      <c r="E1" s="4" t="inlineStr">
        <is>
          <t>Total sales</t>
        </is>
      </c>
      <c r="F1" s="3">
        <f>SUM(C2:C21)</f>
        <v/>
      </c>
    </row>
    <row r="2">
      <c r="A2" t="inlineStr">
        <is>
          <t>India</t>
        </is>
      </c>
      <c r="B2" t="inlineStr">
        <is>
          <t>Maharashtra</t>
        </is>
      </c>
      <c r="C2" s="3" t="n">
        <v>24800000</v>
      </c>
    </row>
    <row r="3">
      <c r="A3" t="inlineStr">
        <is>
          <t>India</t>
        </is>
      </c>
      <c r="B3" t="inlineStr">
        <is>
          <t>Karnataka</t>
        </is>
      </c>
      <c r="C3" s="3" t="n">
        <v>18600000</v>
      </c>
    </row>
    <row r="4">
      <c r="A4" t="inlineStr">
        <is>
          <t>India</t>
        </is>
      </c>
      <c r="B4" t="inlineStr">
        <is>
          <t>Tamil Nadu</t>
        </is>
      </c>
      <c r="C4" s="3" t="n">
        <v>17200000</v>
      </c>
    </row>
    <row r="5">
      <c r="A5" t="inlineStr">
        <is>
          <t>India</t>
        </is>
      </c>
      <c r="B5" t="inlineStr">
        <is>
          <t>Gujarat</t>
        </is>
      </c>
      <c r="C5" s="3" t="n">
        <v>15400000</v>
      </c>
    </row>
    <row r="6">
      <c r="A6" t="inlineStr">
        <is>
          <t>India</t>
        </is>
      </c>
      <c r="B6" t="inlineStr">
        <is>
          <t>Uttar Pradesh</t>
        </is>
      </c>
      <c r="C6" s="3" t="n">
        <v>14100000</v>
      </c>
    </row>
    <row r="7">
      <c r="A7" t="inlineStr">
        <is>
          <t>India</t>
        </is>
      </c>
      <c r="B7" t="inlineStr">
        <is>
          <t>Delhi</t>
        </is>
      </c>
      <c r="C7" s="3" t="n">
        <v>13800000</v>
      </c>
    </row>
    <row r="8">
      <c r="A8" t="inlineStr">
        <is>
          <t>India</t>
        </is>
      </c>
      <c r="B8" t="inlineStr">
        <is>
          <t>Telangana</t>
        </is>
      </c>
      <c r="C8" s="3" t="n">
        <v>11200000</v>
      </c>
    </row>
    <row r="9">
      <c r="A9" t="inlineStr">
        <is>
          <t>India</t>
        </is>
      </c>
      <c r="B9" t="inlineStr">
        <is>
          <t>West Bengal</t>
        </is>
      </c>
      <c r="C9" s="3" t="n">
        <v>9600000</v>
      </c>
    </row>
    <row r="10">
      <c r="A10" t="inlineStr">
        <is>
          <t>India</t>
        </is>
      </c>
      <c r="B10" t="inlineStr">
        <is>
          <t>Rajasthan</t>
        </is>
      </c>
      <c r="C10" s="3" t="n">
        <v>7800000</v>
      </c>
    </row>
    <row r="11">
      <c r="A11" t="inlineStr">
        <is>
          <t>India</t>
        </is>
      </c>
      <c r="B11" t="inlineStr">
        <is>
          <t>Kerala</t>
        </is>
      </c>
      <c r="C11" s="3" t="n">
        <v>7400000</v>
      </c>
    </row>
    <row r="12">
      <c r="A12" t="inlineStr">
        <is>
          <t>India</t>
        </is>
      </c>
      <c r="B12" t="inlineStr">
        <is>
          <t>Madhya Pradesh</t>
        </is>
      </c>
      <c r="C12" s="3" t="n">
        <v>6600000</v>
      </c>
    </row>
    <row r="13">
      <c r="A13" t="inlineStr">
        <is>
          <t>India</t>
        </is>
      </c>
      <c r="B13" t="inlineStr">
        <is>
          <t>Punjab</t>
        </is>
      </c>
      <c r="C13" s="3" t="n">
        <v>5200000</v>
      </c>
    </row>
    <row r="14">
      <c r="A14" t="inlineStr">
        <is>
          <t>India</t>
        </is>
      </c>
      <c r="B14" t="inlineStr">
        <is>
          <t>Haryana</t>
        </is>
      </c>
      <c r="C14" s="3" t="n">
        <v>6100000</v>
      </c>
    </row>
    <row r="15">
      <c r="A15" t="inlineStr">
        <is>
          <t>India</t>
        </is>
      </c>
      <c r="B15" t="inlineStr">
        <is>
          <t>Orissa</t>
        </is>
      </c>
      <c r="C15" s="3" t="n">
        <v>4300000</v>
      </c>
    </row>
    <row r="16">
      <c r="A16" t="inlineStr">
        <is>
          <t>India</t>
        </is>
      </c>
      <c r="B16" t="inlineStr">
        <is>
          <t>Bihar</t>
        </is>
      </c>
      <c r="C16" s="3" t="n">
        <v>3800000</v>
      </c>
    </row>
    <row r="17">
      <c r="A17" t="inlineStr">
        <is>
          <t>India</t>
        </is>
      </c>
      <c r="B17" t="inlineStr">
        <is>
          <t>Assam</t>
        </is>
      </c>
      <c r="C17" s="3" t="n">
        <v>2100000</v>
      </c>
    </row>
    <row r="18">
      <c r="A18" t="inlineStr">
        <is>
          <t>India</t>
        </is>
      </c>
      <c r="B18" t="inlineStr">
        <is>
          <t>Andhra Pradesh</t>
        </is>
      </c>
      <c r="C18" s="3" t="n">
        <v>8300000</v>
      </c>
    </row>
    <row r="19">
      <c r="A19" t="inlineStr">
        <is>
          <t>India</t>
        </is>
      </c>
      <c r="B19" t="inlineStr">
        <is>
          <t>J&amp;K</t>
        </is>
      </c>
      <c r="C19" s="3" t="n">
        <v>1700000</v>
      </c>
    </row>
    <row r="20">
      <c r="A20" t="inlineStr">
        <is>
          <t>India</t>
        </is>
      </c>
      <c r="B20" t="inlineStr">
        <is>
          <t>Goa</t>
        </is>
      </c>
      <c r="C20" s="3" t="n">
        <v>2600000</v>
      </c>
    </row>
    <row r="21">
      <c r="A21" t="inlineStr">
        <is>
          <t>India</t>
        </is>
      </c>
      <c r="B21" t="inlineStr">
        <is>
          <t>Uttarakhand</t>
        </is>
      </c>
      <c r="C21" s="3" t="n">
        <v>1900000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24"/>
  <sheetViews>
    <sheetView workbookViewId="0">
      <selection activeCell="A1" sqref="A1"/>
    </sheetView>
  </sheetViews>
  <sheetFormatPr baseColWidth="8" defaultRowHeight="15"/>
  <cols>
    <col width="9" customWidth="1" min="1" max="1"/>
    <col width="20" customWidth="1" min="2" max="2"/>
    <col width="13" customWidth="1" min="3" max="3"/>
    <col width="3" customWidth="1" min="4" max="4"/>
    <col width="12" customWidth="1" min="5" max="5"/>
    <col width="14" customWidth="1" min="6" max="6"/>
  </cols>
  <sheetData>
    <row r="1">
      <c r="A1" s="2" t="inlineStr">
        <is>
          <t>Country</t>
        </is>
      </c>
      <c r="B1" s="2" t="inlineStr">
        <is>
          <t>State</t>
        </is>
      </c>
      <c r="C1" s="2" t="inlineStr">
        <is>
          <t>Sales</t>
        </is>
      </c>
      <c r="E1" s="4" t="inlineStr">
        <is>
          <t>Total sales</t>
        </is>
      </c>
      <c r="F1" s="3">
        <f>SUM(C2:C21)</f>
        <v/>
      </c>
    </row>
    <row r="2">
      <c r="A2" t="inlineStr">
        <is>
          <t>India</t>
        </is>
      </c>
      <c r="B2" t="inlineStr">
        <is>
          <t>Maharashtra</t>
        </is>
      </c>
      <c r="C2" s="3" t="n">
        <v>24800000</v>
      </c>
    </row>
    <row r="3">
      <c r="A3" t="inlineStr">
        <is>
          <t>India</t>
        </is>
      </c>
      <c r="B3" t="inlineStr">
        <is>
          <t>Karnataka</t>
        </is>
      </c>
      <c r="C3" s="3" t="n">
        <v>18600000</v>
      </c>
      <c r="E3" s="9" t="inlineStr">
        <is>
          <t>FINISHED STATE (built in the lesson; map charts need Excel desktop or Excel for Mac): a filled Map chart of A1:C21 showing India only, states shaded light to dark by sales, Map area 'Only regions with data', Map labels 'Show all', title 'Sales by state, FY 2025-26'. Orissa was renamed Odisha and J&amp;K renamed Jammu and Kashmir so Excel could place them.</t>
        </is>
      </c>
    </row>
    <row r="4">
      <c r="A4" t="inlineStr">
        <is>
          <t>India</t>
        </is>
      </c>
      <c r="B4" t="inlineStr">
        <is>
          <t>Tamil Nadu</t>
        </is>
      </c>
      <c r="C4" s="3" t="n">
        <v>17200000</v>
      </c>
    </row>
    <row r="5">
      <c r="A5" t="inlineStr">
        <is>
          <t>India</t>
        </is>
      </c>
      <c r="B5" t="inlineStr">
        <is>
          <t>Gujarat</t>
        </is>
      </c>
      <c r="C5" s="3" t="n">
        <v>15400000</v>
      </c>
    </row>
    <row r="6">
      <c r="A6" t="inlineStr">
        <is>
          <t>India</t>
        </is>
      </c>
      <c r="B6" t="inlineStr">
        <is>
          <t>Uttar Pradesh</t>
        </is>
      </c>
      <c r="C6" s="3" t="n">
        <v>14100000</v>
      </c>
    </row>
    <row r="7">
      <c r="A7" t="inlineStr">
        <is>
          <t>India</t>
        </is>
      </c>
      <c r="B7" t="inlineStr">
        <is>
          <t>Delhi</t>
        </is>
      </c>
      <c r="C7" s="3" t="n">
        <v>13800000</v>
      </c>
    </row>
    <row r="8">
      <c r="A8" t="inlineStr">
        <is>
          <t>India</t>
        </is>
      </c>
      <c r="B8" t="inlineStr">
        <is>
          <t>Telangana</t>
        </is>
      </c>
      <c r="C8" s="3" t="n">
        <v>11200000</v>
      </c>
    </row>
    <row r="9">
      <c r="A9" t="inlineStr">
        <is>
          <t>India</t>
        </is>
      </c>
      <c r="B9" t="inlineStr">
        <is>
          <t>West Bengal</t>
        </is>
      </c>
      <c r="C9" s="3" t="n">
        <v>9600000</v>
      </c>
    </row>
    <row r="10">
      <c r="A10" t="inlineStr">
        <is>
          <t>India</t>
        </is>
      </c>
      <c r="B10" t="inlineStr">
        <is>
          <t>Rajasthan</t>
        </is>
      </c>
      <c r="C10" s="3" t="n">
        <v>7800000</v>
      </c>
    </row>
    <row r="11">
      <c r="A11" t="inlineStr">
        <is>
          <t>India</t>
        </is>
      </c>
      <c r="B11" t="inlineStr">
        <is>
          <t>Kerala</t>
        </is>
      </c>
      <c r="C11" s="3" t="n">
        <v>7400000</v>
      </c>
    </row>
    <row r="12">
      <c r="A12" t="inlineStr">
        <is>
          <t>India</t>
        </is>
      </c>
      <c r="B12" t="inlineStr">
        <is>
          <t>Madhya Pradesh</t>
        </is>
      </c>
      <c r="C12" s="3" t="n">
        <v>6600000</v>
      </c>
    </row>
    <row r="13">
      <c r="A13" t="inlineStr">
        <is>
          <t>India</t>
        </is>
      </c>
      <c r="B13" t="inlineStr">
        <is>
          <t>Punjab</t>
        </is>
      </c>
      <c r="C13" s="3" t="n">
        <v>5200000</v>
      </c>
    </row>
    <row r="14">
      <c r="A14" t="inlineStr">
        <is>
          <t>India</t>
        </is>
      </c>
      <c r="B14" t="inlineStr">
        <is>
          <t>Haryana</t>
        </is>
      </c>
      <c r="C14" s="3" t="n">
        <v>6100000</v>
      </c>
    </row>
    <row r="15">
      <c r="A15" t="inlineStr">
        <is>
          <t>India</t>
        </is>
      </c>
      <c r="B15" t="inlineStr">
        <is>
          <t>Odisha</t>
        </is>
      </c>
      <c r="C15" s="3" t="n">
        <v>4300000</v>
      </c>
    </row>
    <row r="16">
      <c r="A16" t="inlineStr">
        <is>
          <t>India</t>
        </is>
      </c>
      <c r="B16" t="inlineStr">
        <is>
          <t>Bihar</t>
        </is>
      </c>
      <c r="C16" s="3" t="n">
        <v>3800000</v>
      </c>
    </row>
    <row r="17">
      <c r="A17" t="inlineStr">
        <is>
          <t>India</t>
        </is>
      </c>
      <c r="B17" t="inlineStr">
        <is>
          <t>Assam</t>
        </is>
      </c>
      <c r="C17" s="3" t="n">
        <v>2100000</v>
      </c>
    </row>
    <row r="18">
      <c r="A18" t="inlineStr">
        <is>
          <t>India</t>
        </is>
      </c>
      <c r="B18" t="inlineStr">
        <is>
          <t>Andhra Pradesh</t>
        </is>
      </c>
      <c r="C18" s="3" t="n">
        <v>8300000</v>
      </c>
    </row>
    <row r="19">
      <c r="A19" t="inlineStr">
        <is>
          <t>India</t>
        </is>
      </c>
      <c r="B19" t="inlineStr">
        <is>
          <t>Jammu and Kashmir</t>
        </is>
      </c>
      <c r="C19" s="3" t="n">
        <v>1700000</v>
      </c>
    </row>
    <row r="20">
      <c r="A20" t="inlineStr">
        <is>
          <t>India</t>
        </is>
      </c>
      <c r="B20" t="inlineStr">
        <is>
          <t>Goa</t>
        </is>
      </c>
      <c r="C20" s="3" t="n">
        <v>2600000</v>
      </c>
    </row>
    <row r="21">
      <c r="A21" t="inlineStr">
        <is>
          <t>India</t>
        </is>
      </c>
      <c r="B21" t="inlineStr">
        <is>
          <t>Uttarakhand</t>
        </is>
      </c>
      <c r="C21" s="3" t="n">
        <v>1900000</v>
      </c>
    </row>
    <row r="24">
      <c r="A24" s="6" t="inlineStr">
        <is>
          <t>CHALLENGE ANSWER: in row 22 type India, Chhattisgarh, 3400000. Then select the chart, Chart Design &gt; Select Data, and change the range to A1:C22. Chhattisgarh is shaded.</t>
        </is>
      </c>
    </row>
  </sheetData>
  <mergeCells count="1">
    <mergeCell ref="E3:L18"/>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cols>
    <col width="11" customWidth="1" min="1" max="1"/>
    <col width="6"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16" customWidth="1" min="14" max="14"/>
    <col width="11" customWidth="1" min="15" max="15"/>
  </cols>
  <sheetData>
    <row r="1">
      <c r="A1" s="2" t="inlineStr">
        <is>
          <t>Branch</t>
        </is>
      </c>
      <c r="B1" s="2" t="inlineStr">
        <is>
          <t>Apr</t>
        </is>
      </c>
      <c r="C1" s="2" t="inlineStr">
        <is>
          <t>May</t>
        </is>
      </c>
      <c r="D1" s="2" t="inlineStr">
        <is>
          <t>Jun</t>
        </is>
      </c>
      <c r="E1" s="2" t="inlineStr">
        <is>
          <t>Jul</t>
        </is>
      </c>
      <c r="F1" s="2" t="inlineStr">
        <is>
          <t>Aug</t>
        </is>
      </c>
      <c r="G1" s="2" t="inlineStr">
        <is>
          <t>Sep</t>
        </is>
      </c>
      <c r="H1" s="2" t="inlineStr">
        <is>
          <t>Oct</t>
        </is>
      </c>
      <c r="I1" s="2" t="inlineStr">
        <is>
          <t>Nov</t>
        </is>
      </c>
      <c r="J1" s="2" t="inlineStr">
        <is>
          <t>Dec</t>
        </is>
      </c>
      <c r="K1" s="2" t="inlineStr">
        <is>
          <t>Jan</t>
        </is>
      </c>
      <c r="L1" s="2" t="inlineStr">
        <is>
          <t>Feb</t>
        </is>
      </c>
      <c r="M1" s="2" t="inlineStr">
        <is>
          <t>Mar</t>
        </is>
      </c>
      <c r="N1" s="2" t="inlineStr">
        <is>
          <t>Trend</t>
        </is>
      </c>
      <c r="O1" s="2" t="inlineStr">
        <is>
          <t>Best month</t>
        </is>
      </c>
    </row>
    <row r="2" ht="22" customHeight="1">
      <c r="A2" t="inlineStr">
        <is>
          <t>Mumbai</t>
        </is>
      </c>
      <c r="B2" s="16" t="n">
        <v>17.9</v>
      </c>
      <c r="C2" s="16" t="n">
        <v>15.8</v>
      </c>
      <c r="D2" s="16" t="n">
        <v>24.7</v>
      </c>
      <c r="E2" s="16" t="n">
        <v>16.1</v>
      </c>
      <c r="F2" s="16" t="n">
        <v>19.1</v>
      </c>
      <c r="G2" s="16" t="n">
        <v>21.8</v>
      </c>
      <c r="H2" s="16" t="n">
        <v>20.3</v>
      </c>
      <c r="I2" s="16" t="n">
        <v>15.6</v>
      </c>
      <c r="J2" s="16" t="n">
        <v>24.4</v>
      </c>
      <c r="K2" s="16" t="n">
        <v>21.7</v>
      </c>
      <c r="L2" s="16" t="n">
        <v>16</v>
      </c>
      <c r="M2" s="16" t="n">
        <v>14.8</v>
      </c>
      <c r="N2" s="7" t="n"/>
      <c r="O2" s="7" t="n"/>
    </row>
    <row r="3" ht="22" customHeight="1">
      <c r="A3" t="inlineStr">
        <is>
          <t>Pune</t>
        </is>
      </c>
      <c r="B3" s="16" t="n">
        <v>29.5</v>
      </c>
      <c r="C3" s="16" t="n">
        <v>27.6</v>
      </c>
      <c r="D3" s="16" t="n">
        <v>21.6</v>
      </c>
      <c r="E3" s="16" t="n">
        <v>26.6</v>
      </c>
      <c r="F3" s="16" t="n">
        <v>35.3</v>
      </c>
      <c r="G3" s="16" t="n">
        <v>35.9</v>
      </c>
      <c r="H3" s="16" t="n">
        <v>21.6</v>
      </c>
      <c r="I3" s="16" t="n">
        <v>26.5</v>
      </c>
      <c r="J3" s="16" t="n">
        <v>31.5</v>
      </c>
      <c r="K3" s="16" t="n">
        <v>31.2</v>
      </c>
      <c r="L3" s="16" t="n">
        <v>26.4</v>
      </c>
      <c r="M3" s="16" t="n">
        <v>29.6</v>
      </c>
      <c r="N3" s="7" t="n"/>
      <c r="O3" s="7" t="n"/>
    </row>
    <row r="4" ht="22" customHeight="1">
      <c r="A4" t="inlineStr">
        <is>
          <t>Delhi</t>
        </is>
      </c>
      <c r="B4" s="16" t="n">
        <v>53.5</v>
      </c>
      <c r="C4" s="16" t="n">
        <v>48.4</v>
      </c>
      <c r="D4" s="16" t="n">
        <v>52.4</v>
      </c>
      <c r="E4" s="16" t="n">
        <v>36.6</v>
      </c>
      <c r="F4" s="16" t="n">
        <v>34.9</v>
      </c>
      <c r="G4" s="16" t="n">
        <v>49.5</v>
      </c>
      <c r="H4" s="16" t="n">
        <v>35.3</v>
      </c>
      <c r="I4" s="16" t="n">
        <v>40.7</v>
      </c>
      <c r="J4" s="16" t="n">
        <v>35.3</v>
      </c>
      <c r="K4" s="16" t="n">
        <v>52.4</v>
      </c>
      <c r="L4" s="16" t="n">
        <v>49.1</v>
      </c>
      <c r="M4" s="16" t="n">
        <v>40.6</v>
      </c>
      <c r="N4" s="7" t="n"/>
      <c r="O4" s="7" t="n"/>
    </row>
    <row r="5" ht="22" customHeight="1">
      <c r="A5" t="inlineStr">
        <is>
          <t>Gurugram</t>
        </is>
      </c>
      <c r="B5" s="16" t="n">
        <v>41.7</v>
      </c>
      <c r="C5" s="16" t="n">
        <v>32</v>
      </c>
      <c r="D5" s="16" t="n">
        <v>30.2</v>
      </c>
      <c r="E5" s="16" t="n">
        <v>41</v>
      </c>
      <c r="F5" s="16" t="n">
        <v>34.7</v>
      </c>
      <c r="G5" s="16" t="n">
        <v>27.8</v>
      </c>
      <c r="H5" s="16" t="n">
        <v>36.4</v>
      </c>
      <c r="I5" s="16" t="n">
        <v>31</v>
      </c>
      <c r="J5" s="16" t="n">
        <v>45.3</v>
      </c>
      <c r="K5" s="16" t="n">
        <v>34</v>
      </c>
      <c r="L5" s="16" t="n">
        <v>43.4</v>
      </c>
      <c r="M5" s="16" t="n">
        <v>44.4</v>
      </c>
      <c r="N5" s="7" t="n"/>
      <c r="O5" s="7" t="n"/>
    </row>
    <row r="6" ht="22" customHeight="1">
      <c r="A6" t="inlineStr">
        <is>
          <t>Bengaluru</t>
        </is>
      </c>
      <c r="B6" s="16" t="n">
        <v>26.7</v>
      </c>
      <c r="C6" s="16" t="n">
        <v>23.3</v>
      </c>
      <c r="D6" s="16" t="n">
        <v>21.7</v>
      </c>
      <c r="E6" s="16" t="n">
        <v>18.9</v>
      </c>
      <c r="F6" s="16" t="n">
        <v>28.2</v>
      </c>
      <c r="G6" s="16" t="n">
        <v>22.7</v>
      </c>
      <c r="H6" s="16" t="n">
        <v>24.7</v>
      </c>
      <c r="I6" s="16" t="n">
        <v>27</v>
      </c>
      <c r="J6" s="16" t="n">
        <v>29.2</v>
      </c>
      <c r="K6" s="16" t="n">
        <v>22.4</v>
      </c>
      <c r="L6" s="16" t="n">
        <v>18.4</v>
      </c>
      <c r="M6" s="16" t="n">
        <v>29.6</v>
      </c>
      <c r="N6" s="7" t="n"/>
      <c r="O6" s="7" t="n"/>
    </row>
    <row r="7" ht="22" customHeight="1">
      <c r="A7" t="inlineStr">
        <is>
          <t>Chennai</t>
        </is>
      </c>
      <c r="B7" s="16" t="n">
        <v>26.8</v>
      </c>
      <c r="C7" s="16" t="n">
        <v>32.3</v>
      </c>
      <c r="D7" s="16" t="n">
        <v>19.3</v>
      </c>
      <c r="E7" s="16" t="n">
        <v>27</v>
      </c>
      <c r="F7" s="16" t="n">
        <v>23.6</v>
      </c>
      <c r="G7" s="16" t="n">
        <v>29.6</v>
      </c>
      <c r="H7" s="16" t="n">
        <v>24.8</v>
      </c>
      <c r="I7" s="16" t="n">
        <v>32.4</v>
      </c>
      <c r="J7" s="16" t="n">
        <v>20.4</v>
      </c>
      <c r="K7" s="16" t="n">
        <v>31.2</v>
      </c>
      <c r="L7" s="16" t="n">
        <v>21.4</v>
      </c>
      <c r="M7" s="16" t="n">
        <v>19.4</v>
      </c>
      <c r="N7" s="7" t="n"/>
      <c r="O7" s="7" t="n"/>
    </row>
    <row r="8" ht="22" customHeight="1">
      <c r="A8" t="inlineStr">
        <is>
          <t>Hyderabad</t>
        </is>
      </c>
      <c r="B8" s="16" t="n">
        <v>30.8</v>
      </c>
      <c r="C8" s="16" t="n">
        <v>35.5</v>
      </c>
      <c r="D8" s="16" t="n">
        <v>33.6</v>
      </c>
      <c r="E8" s="16" t="n">
        <v>37.7</v>
      </c>
      <c r="F8" s="16" t="n">
        <v>34.4</v>
      </c>
      <c r="G8" s="16" t="n">
        <v>25.6</v>
      </c>
      <c r="H8" s="16" t="n">
        <v>29.4</v>
      </c>
      <c r="I8" s="16" t="n">
        <v>37.9</v>
      </c>
      <c r="J8" s="16" t="n">
        <v>37.4</v>
      </c>
      <c r="K8" s="16" t="n">
        <v>32.5</v>
      </c>
      <c r="L8" s="16" t="n">
        <v>33.2</v>
      </c>
      <c r="M8" s="16" t="n">
        <v>24.4</v>
      </c>
      <c r="N8" s="7" t="n"/>
      <c r="O8" s="7" t="n"/>
    </row>
    <row r="9" ht="22" customHeight="1">
      <c r="A9" t="inlineStr">
        <is>
          <t>Kolkata</t>
        </is>
      </c>
      <c r="B9" s="16" t="n">
        <v>43.5</v>
      </c>
      <c r="C9" s="16" t="n">
        <v>47.2</v>
      </c>
      <c r="D9" s="16" t="n">
        <v>39.3</v>
      </c>
      <c r="E9" s="16" t="n">
        <v>47.9</v>
      </c>
      <c r="F9" s="16" t="n">
        <v>44.6</v>
      </c>
      <c r="G9" s="16" t="n">
        <v>36.2</v>
      </c>
      <c r="H9" s="16" t="n">
        <v>47.2</v>
      </c>
      <c r="I9" s="16" t="n">
        <v>40.5</v>
      </c>
      <c r="J9" s="16" t="n">
        <v>49.1</v>
      </c>
      <c r="K9" s="16" t="n">
        <v>35.8</v>
      </c>
      <c r="L9" s="16" t="n">
        <v>45</v>
      </c>
      <c r="M9" s="16" t="n">
        <v>41.2</v>
      </c>
      <c r="N9" s="7" t="n"/>
      <c r="O9" s="7" t="n"/>
    </row>
    <row r="11">
      <c r="A11" s="2" t="inlineStr">
        <is>
          <t>Vs target</t>
        </is>
      </c>
      <c r="B11" s="2" t="inlineStr">
        <is>
          <t>Apr</t>
        </is>
      </c>
      <c r="C11" s="2" t="inlineStr">
        <is>
          <t>May</t>
        </is>
      </c>
      <c r="D11" s="2" t="inlineStr">
        <is>
          <t>Jun</t>
        </is>
      </c>
      <c r="E11" s="2" t="inlineStr">
        <is>
          <t>Jul</t>
        </is>
      </c>
      <c r="F11" s="2" t="inlineStr">
        <is>
          <t>Aug</t>
        </is>
      </c>
      <c r="G11" s="2" t="inlineStr">
        <is>
          <t>Sep</t>
        </is>
      </c>
      <c r="H11" s="2" t="inlineStr">
        <is>
          <t>Oct</t>
        </is>
      </c>
      <c r="I11" s="2" t="inlineStr">
        <is>
          <t>Nov</t>
        </is>
      </c>
      <c r="J11" s="2" t="inlineStr">
        <is>
          <t>Dec</t>
        </is>
      </c>
      <c r="K11" s="2" t="inlineStr">
        <is>
          <t>Jan</t>
        </is>
      </c>
      <c r="L11" s="2" t="inlineStr">
        <is>
          <t>Feb</t>
        </is>
      </c>
      <c r="M11" s="2" t="inlineStr">
        <is>
          <t>Mar</t>
        </is>
      </c>
      <c r="N11" s="2" t="inlineStr">
        <is>
          <t>Win/Loss</t>
        </is>
      </c>
    </row>
    <row r="12" ht="22" customHeight="1">
      <c r="A12" t="inlineStr">
        <is>
          <t>Mumbai</t>
        </is>
      </c>
      <c r="B12" s="16" t="n">
        <v>5.7</v>
      </c>
      <c r="C12" s="16" t="n">
        <v>-1.7</v>
      </c>
      <c r="D12" s="16" t="n">
        <v>-3.1</v>
      </c>
      <c r="E12" s="16" t="n">
        <v>5</v>
      </c>
      <c r="F12" s="16" t="n">
        <v>2.5</v>
      </c>
      <c r="G12" s="16" t="n">
        <v>-1.5</v>
      </c>
      <c r="H12" s="16" t="n">
        <v>0.2</v>
      </c>
      <c r="I12" s="16" t="n">
        <v>3.5</v>
      </c>
      <c r="J12" s="16" t="n">
        <v>1.2</v>
      </c>
      <c r="K12" s="16" t="n">
        <v>5.1</v>
      </c>
      <c r="L12" s="16" t="n">
        <v>7.4</v>
      </c>
      <c r="M12" s="16" t="n">
        <v>4.3</v>
      </c>
      <c r="N12" s="7" t="n"/>
    </row>
    <row r="13" ht="22" customHeight="1">
      <c r="A13" t="inlineStr">
        <is>
          <t>Pune</t>
        </is>
      </c>
      <c r="B13" s="16" t="n">
        <v>3.2</v>
      </c>
      <c r="C13" s="16" t="n">
        <v>-2</v>
      </c>
      <c r="D13" s="16" t="n">
        <v>3.3</v>
      </c>
      <c r="E13" s="16" t="n">
        <v>2.7</v>
      </c>
      <c r="F13" s="16" t="n">
        <v>-4.7</v>
      </c>
      <c r="G13" s="16" t="n">
        <v>7.3</v>
      </c>
      <c r="H13" s="16" t="n">
        <v>-2.7</v>
      </c>
      <c r="I13" s="16" t="n">
        <v>-1.7</v>
      </c>
      <c r="J13" s="16" t="n">
        <v>5.3</v>
      </c>
      <c r="K13" s="16" t="n">
        <v>-3.9</v>
      </c>
      <c r="L13" s="16" t="n">
        <v>-5.4</v>
      </c>
      <c r="M13" s="16" t="n">
        <v>7.8</v>
      </c>
      <c r="N13" s="7" t="n"/>
    </row>
    <row r="14" ht="22" customHeight="1">
      <c r="A14" t="inlineStr">
        <is>
          <t>Delhi</t>
        </is>
      </c>
      <c r="B14" s="16" t="n">
        <v>2.6</v>
      </c>
      <c r="C14" s="16" t="n">
        <v>4.8</v>
      </c>
      <c r="D14" s="16" t="n">
        <v>0.4</v>
      </c>
      <c r="E14" s="16" t="n">
        <v>6.4</v>
      </c>
      <c r="F14" s="16" t="n">
        <v>2.1</v>
      </c>
      <c r="G14" s="16" t="n">
        <v>4.1</v>
      </c>
      <c r="H14" s="16" t="n">
        <v>-0.6</v>
      </c>
      <c r="I14" s="16" t="n">
        <v>-0.4</v>
      </c>
      <c r="J14" s="16" t="n">
        <v>-3.9</v>
      </c>
      <c r="K14" s="16" t="n">
        <v>3.6</v>
      </c>
      <c r="L14" s="16" t="n">
        <v>6.5</v>
      </c>
      <c r="M14" s="16" t="n">
        <v>6</v>
      </c>
      <c r="N14" s="7" t="n"/>
    </row>
    <row r="15" ht="22" customHeight="1">
      <c r="A15" t="inlineStr">
        <is>
          <t>Gurugram</t>
        </is>
      </c>
      <c r="B15" s="16" t="n">
        <v>6.4</v>
      </c>
      <c r="C15" s="16" t="n">
        <v>4.9</v>
      </c>
      <c r="D15" s="16" t="n">
        <v>-2.9</v>
      </c>
      <c r="E15" s="16" t="n">
        <v>5.3</v>
      </c>
      <c r="F15" s="16" t="n">
        <v>3.7</v>
      </c>
      <c r="G15" s="16" t="n">
        <v>0.5</v>
      </c>
      <c r="H15" s="16" t="n">
        <v>1.8</v>
      </c>
      <c r="I15" s="16" t="n">
        <v>6.8</v>
      </c>
      <c r="J15" s="16" t="n">
        <v>-4.3</v>
      </c>
      <c r="K15" s="16" t="n">
        <v>-4.1</v>
      </c>
      <c r="L15" s="16" t="n">
        <v>0.5</v>
      </c>
      <c r="M15" s="16" t="n">
        <v>1.4</v>
      </c>
      <c r="N15" s="7" t="n"/>
    </row>
    <row r="16" ht="22" customHeight="1">
      <c r="A16" t="inlineStr">
        <is>
          <t>Bengaluru</t>
        </is>
      </c>
      <c r="B16" s="16" t="n">
        <v>1.8</v>
      </c>
      <c r="C16" s="16" t="n">
        <v>-1.6</v>
      </c>
      <c r="D16" s="16" t="n">
        <v>4.6</v>
      </c>
      <c r="E16" s="16" t="n">
        <v>0.2</v>
      </c>
      <c r="F16" s="16" t="n">
        <v>5.4</v>
      </c>
      <c r="G16" s="16" t="n">
        <v>6.5</v>
      </c>
      <c r="H16" s="16" t="n">
        <v>-0</v>
      </c>
      <c r="I16" s="16" t="n">
        <v>6.7</v>
      </c>
      <c r="J16" s="16" t="n">
        <v>0.2</v>
      </c>
      <c r="K16" s="16" t="n">
        <v>-3.8</v>
      </c>
      <c r="L16" s="16" t="n">
        <v>6.1</v>
      </c>
      <c r="M16" s="16" t="n">
        <v>0.3</v>
      </c>
      <c r="N16" s="7" t="n"/>
    </row>
    <row r="17" ht="22" customHeight="1">
      <c r="A17" t="inlineStr">
        <is>
          <t>Chennai</t>
        </is>
      </c>
      <c r="B17" s="16" t="n">
        <v>4.5</v>
      </c>
      <c r="C17" s="16" t="n">
        <v>5.8</v>
      </c>
      <c r="D17" s="16" t="n">
        <v>-2.1</v>
      </c>
      <c r="E17" s="16" t="n">
        <v>4.9</v>
      </c>
      <c r="F17" s="16" t="n">
        <v>0.8</v>
      </c>
      <c r="G17" s="16" t="n">
        <v>-2.7</v>
      </c>
      <c r="H17" s="16" t="n">
        <v>0.2</v>
      </c>
      <c r="I17" s="16" t="n">
        <v>4</v>
      </c>
      <c r="J17" s="16" t="n">
        <v>-2.7</v>
      </c>
      <c r="K17" s="16" t="n">
        <v>-1.3</v>
      </c>
      <c r="L17" s="16" t="n">
        <v>6.5</v>
      </c>
      <c r="M17" s="16" t="n">
        <v>-4.9</v>
      </c>
      <c r="N17" s="7" t="n"/>
    </row>
    <row r="18" ht="22" customHeight="1">
      <c r="A18" t="inlineStr">
        <is>
          <t>Hyderabad</t>
        </is>
      </c>
      <c r="B18" s="16" t="n">
        <v>-3.9</v>
      </c>
      <c r="C18" s="16" t="n">
        <v>-0.6</v>
      </c>
      <c r="D18" s="16" t="n">
        <v>-3.9</v>
      </c>
      <c r="E18" s="16" t="n">
        <v>-3</v>
      </c>
      <c r="F18" s="16" t="n">
        <v>-0.2</v>
      </c>
      <c r="G18" s="16" t="n">
        <v>-1.4</v>
      </c>
      <c r="H18" s="16" t="n">
        <v>0.5</v>
      </c>
      <c r="I18" s="16" t="n">
        <v>-5.1</v>
      </c>
      <c r="J18" s="16" t="n">
        <v>5.7</v>
      </c>
      <c r="K18" s="16" t="n">
        <v>-0.5</v>
      </c>
      <c r="L18" s="16" t="n">
        <v>4.8</v>
      </c>
      <c r="M18" s="16" t="n">
        <v>7.2</v>
      </c>
      <c r="N18" s="7" t="n"/>
    </row>
    <row r="19" ht="22" customHeight="1">
      <c r="A19" t="inlineStr">
        <is>
          <t>Kolkata</t>
        </is>
      </c>
      <c r="B19" s="16" t="n">
        <v>-5.7</v>
      </c>
      <c r="C19" s="16" t="n">
        <v>6.3</v>
      </c>
      <c r="D19" s="16" t="n">
        <v>2.1</v>
      </c>
      <c r="E19" s="16" t="n">
        <v>0.7</v>
      </c>
      <c r="F19" s="16" t="n">
        <v>7.2</v>
      </c>
      <c r="G19" s="16" t="n">
        <v>-1.8</v>
      </c>
      <c r="H19" s="16" t="n">
        <v>-0.5</v>
      </c>
      <c r="I19" s="16" t="n">
        <v>6.5</v>
      </c>
      <c r="J19" s="16" t="n">
        <v>5.7</v>
      </c>
      <c r="K19" s="16" t="n">
        <v>1.5</v>
      </c>
      <c r="L19" s="16" t="n">
        <v>4.3</v>
      </c>
      <c r="M19" s="16" t="n">
        <v>5.2</v>
      </c>
      <c r="N19" s="7" t="n"/>
    </row>
    <row r="21">
      <c r="A21" s="12" t="inlineStr">
        <is>
          <t>Rows 2-9: monthly sales in ₹ lakh. Rows 12-19: sales minus target in ₹ lakh (negative = missed).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O30"/>
  <sheetViews>
    <sheetView workbookViewId="0">
      <selection activeCell="A1" sqref="A1"/>
    </sheetView>
  </sheetViews>
  <sheetFormatPr baseColWidth="8" defaultRowHeight="15"/>
  <cols>
    <col width="11" customWidth="1" min="1" max="1"/>
    <col width="6"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16" customWidth="1" min="14" max="14"/>
    <col width="11" customWidth="1" min="15" max="15"/>
  </cols>
  <sheetData>
    <row r="1">
      <c r="A1" s="2" t="inlineStr">
        <is>
          <t>Branch</t>
        </is>
      </c>
      <c r="B1" s="2" t="inlineStr">
        <is>
          <t>Apr</t>
        </is>
      </c>
      <c r="C1" s="2" t="inlineStr">
        <is>
          <t>May</t>
        </is>
      </c>
      <c r="D1" s="2" t="inlineStr">
        <is>
          <t>Jun</t>
        </is>
      </c>
      <c r="E1" s="2" t="inlineStr">
        <is>
          <t>Jul</t>
        </is>
      </c>
      <c r="F1" s="2" t="inlineStr">
        <is>
          <t>Aug</t>
        </is>
      </c>
      <c r="G1" s="2" t="inlineStr">
        <is>
          <t>Sep</t>
        </is>
      </c>
      <c r="H1" s="2" t="inlineStr">
        <is>
          <t>Oct</t>
        </is>
      </c>
      <c r="I1" s="2" t="inlineStr">
        <is>
          <t>Nov</t>
        </is>
      </c>
      <c r="J1" s="2" t="inlineStr">
        <is>
          <t>Dec</t>
        </is>
      </c>
      <c r="K1" s="2" t="inlineStr">
        <is>
          <t>Jan</t>
        </is>
      </c>
      <c r="L1" s="2" t="inlineStr">
        <is>
          <t>Feb</t>
        </is>
      </c>
      <c r="M1" s="2" t="inlineStr">
        <is>
          <t>Mar</t>
        </is>
      </c>
      <c r="N1" s="2" t="inlineStr">
        <is>
          <t>Trend</t>
        </is>
      </c>
      <c r="O1" s="2" t="inlineStr">
        <is>
          <t>Best month</t>
        </is>
      </c>
    </row>
    <row r="2" ht="22" customHeight="1">
      <c r="A2" t="inlineStr">
        <is>
          <t>Mumbai</t>
        </is>
      </c>
      <c r="B2" s="16" t="n">
        <v>17.9</v>
      </c>
      <c r="C2" s="16" t="n">
        <v>15.8</v>
      </c>
      <c r="D2" s="16" t="n">
        <v>24.7</v>
      </c>
      <c r="E2" s="16" t="n">
        <v>16.1</v>
      </c>
      <c r="F2" s="16" t="n">
        <v>19.1</v>
      </c>
      <c r="G2" s="16" t="n">
        <v>21.8</v>
      </c>
      <c r="H2" s="16" t="n">
        <v>20.3</v>
      </c>
      <c r="I2" s="16" t="n">
        <v>15.6</v>
      </c>
      <c r="J2" s="16" t="n">
        <v>24.4</v>
      </c>
      <c r="K2" s="16" t="n">
        <v>21.7</v>
      </c>
      <c r="L2" s="16" t="n">
        <v>16</v>
      </c>
      <c r="M2" s="16" t="n">
        <v>14.8</v>
      </c>
      <c r="O2">
        <f>INDEX($B$1:$M$1,MATCH(MAX(B2:M2),B2:M2,0))</f>
        <v/>
      </c>
    </row>
    <row r="3" ht="22" customHeight="1">
      <c r="A3" t="inlineStr">
        <is>
          <t>Pune</t>
        </is>
      </c>
      <c r="B3" s="16" t="n">
        <v>29.5</v>
      </c>
      <c r="C3" s="16" t="n">
        <v>27.6</v>
      </c>
      <c r="D3" s="16" t="n">
        <v>21.6</v>
      </c>
      <c r="E3" s="16" t="n">
        <v>26.6</v>
      </c>
      <c r="F3" s="16" t="n">
        <v>35.3</v>
      </c>
      <c r="G3" s="16" t="n">
        <v>35.9</v>
      </c>
      <c r="H3" s="16" t="n">
        <v>21.6</v>
      </c>
      <c r="I3" s="16" t="n">
        <v>26.5</v>
      </c>
      <c r="J3" s="16" t="n">
        <v>31.5</v>
      </c>
      <c r="K3" s="16" t="n">
        <v>31.2</v>
      </c>
      <c r="L3" s="16" t="n">
        <v>26.4</v>
      </c>
      <c r="M3" s="16" t="n">
        <v>29.6</v>
      </c>
      <c r="O3">
        <f>INDEX($B$1:$M$1,MATCH(MAX(B3:M3),B3:M3,0))</f>
        <v/>
      </c>
    </row>
    <row r="4" ht="22" customHeight="1">
      <c r="A4" t="inlineStr">
        <is>
          <t>Delhi</t>
        </is>
      </c>
      <c r="B4" s="16" t="n">
        <v>53.5</v>
      </c>
      <c r="C4" s="16" t="n">
        <v>48.4</v>
      </c>
      <c r="D4" s="16" t="n">
        <v>52.4</v>
      </c>
      <c r="E4" s="16" t="n">
        <v>36.6</v>
      </c>
      <c r="F4" s="16" t="n">
        <v>34.9</v>
      </c>
      <c r="G4" s="16" t="n">
        <v>49.5</v>
      </c>
      <c r="H4" s="16" t="n">
        <v>35.3</v>
      </c>
      <c r="I4" s="16" t="n">
        <v>40.7</v>
      </c>
      <c r="J4" s="16" t="n">
        <v>35.3</v>
      </c>
      <c r="K4" s="16" t="n">
        <v>52.4</v>
      </c>
      <c r="L4" s="16" t="n">
        <v>49.1</v>
      </c>
      <c r="M4" s="16" t="n">
        <v>40.6</v>
      </c>
      <c r="O4">
        <f>INDEX($B$1:$M$1,MATCH(MAX(B4:M4),B4:M4,0))</f>
        <v/>
      </c>
    </row>
    <row r="5" ht="22" customHeight="1">
      <c r="A5" t="inlineStr">
        <is>
          <t>Gurugram</t>
        </is>
      </c>
      <c r="B5" s="16" t="n">
        <v>41.7</v>
      </c>
      <c r="C5" s="16" t="n">
        <v>32</v>
      </c>
      <c r="D5" s="16" t="n">
        <v>30.2</v>
      </c>
      <c r="E5" s="16" t="n">
        <v>41</v>
      </c>
      <c r="F5" s="16" t="n">
        <v>34.7</v>
      </c>
      <c r="G5" s="16" t="n">
        <v>27.8</v>
      </c>
      <c r="H5" s="16" t="n">
        <v>36.4</v>
      </c>
      <c r="I5" s="16" t="n">
        <v>31</v>
      </c>
      <c r="J5" s="16" t="n">
        <v>45.3</v>
      </c>
      <c r="K5" s="16" t="n">
        <v>34</v>
      </c>
      <c r="L5" s="16" t="n">
        <v>43.4</v>
      </c>
      <c r="M5" s="16" t="n">
        <v>44.4</v>
      </c>
      <c r="O5">
        <f>INDEX($B$1:$M$1,MATCH(MAX(B5:M5),B5:M5,0))</f>
        <v/>
      </c>
    </row>
    <row r="6" ht="22" customHeight="1">
      <c r="A6" t="inlineStr">
        <is>
          <t>Bengaluru</t>
        </is>
      </c>
      <c r="B6" s="16" t="n">
        <v>26.7</v>
      </c>
      <c r="C6" s="16" t="n">
        <v>23.3</v>
      </c>
      <c r="D6" s="16" t="n">
        <v>21.7</v>
      </c>
      <c r="E6" s="16" t="n">
        <v>18.9</v>
      </c>
      <c r="F6" s="16" t="n">
        <v>28.2</v>
      </c>
      <c r="G6" s="16" t="n">
        <v>22.7</v>
      </c>
      <c r="H6" s="16" t="n">
        <v>24.7</v>
      </c>
      <c r="I6" s="16" t="n">
        <v>27</v>
      </c>
      <c r="J6" s="16" t="n">
        <v>29.2</v>
      </c>
      <c r="K6" s="16" t="n">
        <v>22.4</v>
      </c>
      <c r="L6" s="16" t="n">
        <v>18.4</v>
      </c>
      <c r="M6" s="16" t="n">
        <v>29.6</v>
      </c>
      <c r="O6">
        <f>INDEX($B$1:$M$1,MATCH(MAX(B6:M6),B6:M6,0))</f>
        <v/>
      </c>
    </row>
    <row r="7" ht="22" customHeight="1">
      <c r="A7" t="inlineStr">
        <is>
          <t>Chennai</t>
        </is>
      </c>
      <c r="B7" s="16" t="n">
        <v>26.8</v>
      </c>
      <c r="C7" s="16" t="n">
        <v>32.3</v>
      </c>
      <c r="D7" s="16" t="n">
        <v>19.3</v>
      </c>
      <c r="E7" s="16" t="n">
        <v>27</v>
      </c>
      <c r="F7" s="16" t="n">
        <v>23.6</v>
      </c>
      <c r="G7" s="16" t="n">
        <v>29.6</v>
      </c>
      <c r="H7" s="16" t="n">
        <v>24.8</v>
      </c>
      <c r="I7" s="16" t="n">
        <v>32.4</v>
      </c>
      <c r="J7" s="16" t="n">
        <v>20.4</v>
      </c>
      <c r="K7" s="16" t="n">
        <v>31.2</v>
      </c>
      <c r="L7" s="16" t="n">
        <v>21.4</v>
      </c>
      <c r="M7" s="16" t="n">
        <v>19.4</v>
      </c>
      <c r="O7">
        <f>INDEX($B$1:$M$1,MATCH(MAX(B7:M7),B7:M7,0))</f>
        <v/>
      </c>
    </row>
    <row r="8" ht="22" customHeight="1">
      <c r="A8" t="inlineStr">
        <is>
          <t>Hyderabad</t>
        </is>
      </c>
      <c r="B8" s="16" t="n">
        <v>30.8</v>
      </c>
      <c r="C8" s="16" t="n">
        <v>35.5</v>
      </c>
      <c r="D8" s="16" t="n">
        <v>33.6</v>
      </c>
      <c r="E8" s="16" t="n">
        <v>37.7</v>
      </c>
      <c r="F8" s="16" t="n">
        <v>34.4</v>
      </c>
      <c r="G8" s="16" t="n">
        <v>25.6</v>
      </c>
      <c r="H8" s="16" t="n">
        <v>29.4</v>
      </c>
      <c r="I8" s="16" t="n">
        <v>37.9</v>
      </c>
      <c r="J8" s="16" t="n">
        <v>37.4</v>
      </c>
      <c r="K8" s="16" t="n">
        <v>32.5</v>
      </c>
      <c r="L8" s="16" t="n">
        <v>33.2</v>
      </c>
      <c r="M8" s="16" t="n">
        <v>24.4</v>
      </c>
      <c r="O8">
        <f>INDEX($B$1:$M$1,MATCH(MAX(B8:M8),B8:M8,0))</f>
        <v/>
      </c>
    </row>
    <row r="9" ht="22" customHeight="1">
      <c r="A9" t="inlineStr">
        <is>
          <t>Kolkata</t>
        </is>
      </c>
      <c r="B9" s="16" t="n">
        <v>43.5</v>
      </c>
      <c r="C9" s="16" t="n">
        <v>47.2</v>
      </c>
      <c r="D9" s="16" t="n">
        <v>39.3</v>
      </c>
      <c r="E9" s="16" t="n">
        <v>47.9</v>
      </c>
      <c r="F9" s="16" t="n">
        <v>44.6</v>
      </c>
      <c r="G9" s="16" t="n">
        <v>36.2</v>
      </c>
      <c r="H9" s="16" t="n">
        <v>47.2</v>
      </c>
      <c r="I9" s="16" t="n">
        <v>40.5</v>
      </c>
      <c r="J9" s="16" t="n">
        <v>49.1</v>
      </c>
      <c r="K9" s="16" t="n">
        <v>35.8</v>
      </c>
      <c r="L9" s="16" t="n">
        <v>45</v>
      </c>
      <c r="M9" s="16" t="n">
        <v>41.2</v>
      </c>
      <c r="O9">
        <f>INDEX($B$1:$M$1,MATCH(MAX(B9:M9),B9:M9,0))</f>
        <v/>
      </c>
    </row>
    <row r="11">
      <c r="A11" s="2" t="inlineStr">
        <is>
          <t>Vs target</t>
        </is>
      </c>
      <c r="B11" s="2" t="inlineStr">
        <is>
          <t>Apr</t>
        </is>
      </c>
      <c r="C11" s="2" t="inlineStr">
        <is>
          <t>May</t>
        </is>
      </c>
      <c r="D11" s="2" t="inlineStr">
        <is>
          <t>Jun</t>
        </is>
      </c>
      <c r="E11" s="2" t="inlineStr">
        <is>
          <t>Jul</t>
        </is>
      </c>
      <c r="F11" s="2" t="inlineStr">
        <is>
          <t>Aug</t>
        </is>
      </c>
      <c r="G11" s="2" t="inlineStr">
        <is>
          <t>Sep</t>
        </is>
      </c>
      <c r="H11" s="2" t="inlineStr">
        <is>
          <t>Oct</t>
        </is>
      </c>
      <c r="I11" s="2" t="inlineStr">
        <is>
          <t>Nov</t>
        </is>
      </c>
      <c r="J11" s="2" t="inlineStr">
        <is>
          <t>Dec</t>
        </is>
      </c>
      <c r="K11" s="2" t="inlineStr">
        <is>
          <t>Jan</t>
        </is>
      </c>
      <c r="L11" s="2" t="inlineStr">
        <is>
          <t>Feb</t>
        </is>
      </c>
      <c r="M11" s="2" t="inlineStr">
        <is>
          <t>Mar</t>
        </is>
      </c>
      <c r="N11" s="2" t="inlineStr">
        <is>
          <t>Win/Loss</t>
        </is>
      </c>
    </row>
    <row r="12" ht="22" customHeight="1">
      <c r="A12" t="inlineStr">
        <is>
          <t>Mumbai</t>
        </is>
      </c>
      <c r="B12" s="16" t="n">
        <v>5.7</v>
      </c>
      <c r="C12" s="16" t="n">
        <v>-1.7</v>
      </c>
      <c r="D12" s="16" t="n">
        <v>-3.1</v>
      </c>
      <c r="E12" s="16" t="n">
        <v>5</v>
      </c>
      <c r="F12" s="16" t="n">
        <v>2.5</v>
      </c>
      <c r="G12" s="16" t="n">
        <v>-1.5</v>
      </c>
      <c r="H12" s="16" t="n">
        <v>0.2</v>
      </c>
      <c r="I12" s="16" t="n">
        <v>3.5</v>
      </c>
      <c r="J12" s="16" t="n">
        <v>1.2</v>
      </c>
      <c r="K12" s="16" t="n">
        <v>5.1</v>
      </c>
      <c r="L12" s="16" t="n">
        <v>7.4</v>
      </c>
      <c r="M12" s="16" t="n">
        <v>4.3</v>
      </c>
    </row>
    <row r="13" ht="22" customHeight="1">
      <c r="A13" t="inlineStr">
        <is>
          <t>Pune</t>
        </is>
      </c>
      <c r="B13" s="16" t="n">
        <v>3.2</v>
      </c>
      <c r="C13" s="16" t="n">
        <v>-2</v>
      </c>
      <c r="D13" s="16" t="n">
        <v>3.3</v>
      </c>
      <c r="E13" s="16" t="n">
        <v>2.7</v>
      </c>
      <c r="F13" s="16" t="n">
        <v>-4.7</v>
      </c>
      <c r="G13" s="16" t="n">
        <v>7.3</v>
      </c>
      <c r="H13" s="16" t="n">
        <v>-2.7</v>
      </c>
      <c r="I13" s="16" t="n">
        <v>-1.7</v>
      </c>
      <c r="J13" s="16" t="n">
        <v>5.3</v>
      </c>
      <c r="K13" s="16" t="n">
        <v>-3.9</v>
      </c>
      <c r="L13" s="16" t="n">
        <v>-5.4</v>
      </c>
      <c r="M13" s="16" t="n">
        <v>7.8</v>
      </c>
    </row>
    <row r="14" ht="22" customHeight="1">
      <c r="A14" t="inlineStr">
        <is>
          <t>Delhi</t>
        </is>
      </c>
      <c r="B14" s="16" t="n">
        <v>2.6</v>
      </c>
      <c r="C14" s="16" t="n">
        <v>4.8</v>
      </c>
      <c r="D14" s="16" t="n">
        <v>0.4</v>
      </c>
      <c r="E14" s="16" t="n">
        <v>6.4</v>
      </c>
      <c r="F14" s="16" t="n">
        <v>2.1</v>
      </c>
      <c r="G14" s="16" t="n">
        <v>4.1</v>
      </c>
      <c r="H14" s="16" t="n">
        <v>-0.6</v>
      </c>
      <c r="I14" s="16" t="n">
        <v>-0.4</v>
      </c>
      <c r="J14" s="16" t="n">
        <v>-3.9</v>
      </c>
      <c r="K14" s="16" t="n">
        <v>3.6</v>
      </c>
      <c r="L14" s="16" t="n">
        <v>6.5</v>
      </c>
      <c r="M14" s="16" t="n">
        <v>6</v>
      </c>
    </row>
    <row r="15" ht="22" customHeight="1">
      <c r="A15" t="inlineStr">
        <is>
          <t>Gurugram</t>
        </is>
      </c>
      <c r="B15" s="16" t="n">
        <v>6.4</v>
      </c>
      <c r="C15" s="16" t="n">
        <v>4.9</v>
      </c>
      <c r="D15" s="16" t="n">
        <v>-2.9</v>
      </c>
      <c r="E15" s="16" t="n">
        <v>5.3</v>
      </c>
      <c r="F15" s="16" t="n">
        <v>3.7</v>
      </c>
      <c r="G15" s="16" t="n">
        <v>0.5</v>
      </c>
      <c r="H15" s="16" t="n">
        <v>1.8</v>
      </c>
      <c r="I15" s="16" t="n">
        <v>6.8</v>
      </c>
      <c r="J15" s="16" t="n">
        <v>-4.3</v>
      </c>
      <c r="K15" s="16" t="n">
        <v>-4.1</v>
      </c>
      <c r="L15" s="16" t="n">
        <v>0.5</v>
      </c>
      <c r="M15" s="16" t="n">
        <v>1.4</v>
      </c>
    </row>
    <row r="16" ht="22" customHeight="1">
      <c r="A16" t="inlineStr">
        <is>
          <t>Bengaluru</t>
        </is>
      </c>
      <c r="B16" s="16" t="n">
        <v>1.8</v>
      </c>
      <c r="C16" s="16" t="n">
        <v>-1.6</v>
      </c>
      <c r="D16" s="16" t="n">
        <v>4.6</v>
      </c>
      <c r="E16" s="16" t="n">
        <v>0.2</v>
      </c>
      <c r="F16" s="16" t="n">
        <v>5.4</v>
      </c>
      <c r="G16" s="16" t="n">
        <v>6.5</v>
      </c>
      <c r="H16" s="16" t="n">
        <v>-0</v>
      </c>
      <c r="I16" s="16" t="n">
        <v>6.7</v>
      </c>
      <c r="J16" s="16" t="n">
        <v>0.2</v>
      </c>
      <c r="K16" s="16" t="n">
        <v>-3.8</v>
      </c>
      <c r="L16" s="16" t="n">
        <v>6.1</v>
      </c>
      <c r="M16" s="16" t="n">
        <v>0.3</v>
      </c>
    </row>
    <row r="17" ht="22" customHeight="1">
      <c r="A17" t="inlineStr">
        <is>
          <t>Chennai</t>
        </is>
      </c>
      <c r="B17" s="16" t="n">
        <v>4.5</v>
      </c>
      <c r="C17" s="16" t="n">
        <v>5.8</v>
      </c>
      <c r="D17" s="16" t="n">
        <v>-2.1</v>
      </c>
      <c r="E17" s="16" t="n">
        <v>4.9</v>
      </c>
      <c r="F17" s="16" t="n">
        <v>0.8</v>
      </c>
      <c r="G17" s="16" t="n">
        <v>-2.7</v>
      </c>
      <c r="H17" s="16" t="n">
        <v>0.2</v>
      </c>
      <c r="I17" s="16" t="n">
        <v>4</v>
      </c>
      <c r="J17" s="16" t="n">
        <v>-2.7</v>
      </c>
      <c r="K17" s="16" t="n">
        <v>-1.3</v>
      </c>
      <c r="L17" s="16" t="n">
        <v>6.5</v>
      </c>
      <c r="M17" s="16" t="n">
        <v>-4.9</v>
      </c>
    </row>
    <row r="18" ht="22" customHeight="1">
      <c r="A18" t="inlineStr">
        <is>
          <t>Hyderabad</t>
        </is>
      </c>
      <c r="B18" s="16" t="n">
        <v>-3.9</v>
      </c>
      <c r="C18" s="16" t="n">
        <v>-0.6</v>
      </c>
      <c r="D18" s="16" t="n">
        <v>-3.9</v>
      </c>
      <c r="E18" s="16" t="n">
        <v>-3</v>
      </c>
      <c r="F18" s="16" t="n">
        <v>-0.2</v>
      </c>
      <c r="G18" s="16" t="n">
        <v>-1.4</v>
      </c>
      <c r="H18" s="16" t="n">
        <v>0.5</v>
      </c>
      <c r="I18" s="16" t="n">
        <v>-5.1</v>
      </c>
      <c r="J18" s="16" t="n">
        <v>5.7</v>
      </c>
      <c r="K18" s="16" t="n">
        <v>-0.5</v>
      </c>
      <c r="L18" s="16" t="n">
        <v>4.8</v>
      </c>
      <c r="M18" s="16" t="n">
        <v>7.2</v>
      </c>
    </row>
    <row r="19" ht="22" customHeight="1">
      <c r="A19" t="inlineStr">
        <is>
          <t>Kolkata</t>
        </is>
      </c>
      <c r="B19" s="16" t="n">
        <v>-5.7</v>
      </c>
      <c r="C19" s="16" t="n">
        <v>6.3</v>
      </c>
      <c r="D19" s="16" t="n">
        <v>2.1</v>
      </c>
      <c r="E19" s="16" t="n">
        <v>0.7</v>
      </c>
      <c r="F19" s="16" t="n">
        <v>7.2</v>
      </c>
      <c r="G19" s="16" t="n">
        <v>-1.8</v>
      </c>
      <c r="H19" s="16" t="n">
        <v>-0.5</v>
      </c>
      <c r="I19" s="16" t="n">
        <v>6.5</v>
      </c>
      <c r="J19" s="16" t="n">
        <v>5.7</v>
      </c>
      <c r="K19" s="16" t="n">
        <v>1.5</v>
      </c>
      <c r="L19" s="16" t="n">
        <v>4.3</v>
      </c>
      <c r="M19" s="16" t="n">
        <v>5.2</v>
      </c>
    </row>
    <row r="21">
      <c r="A21" s="12" t="inlineStr">
        <is>
          <t>Rows 2-9: monthly sales in ₹ lakh. Rows 12-19: sales minus target in ₹ lakh (negative = missed).</t>
        </is>
      </c>
    </row>
    <row r="23">
      <c r="A23" s="9" t="inlineStr">
        <is>
          <t>FINISHED STATE (built in the lesson; openpyxl cannot write sparklines): N2:N9 hold Line sparklines of B2:M9 with High Point and Low Point marked and the vertical axis set to Same for All Sparklines. N12:N19 hold Win/Loss sparklines of B12:M19 with Negative Points in red. O2:O9 show each branch's best month.</t>
        </is>
      </c>
    </row>
    <row r="24"/>
    <row r="25"/>
    <row r="26"/>
    <row r="27"/>
    <row r="28"/>
    <row r="30">
      <c r="A30" s="6" t="inlineStr">
        <is>
          <t>CHALLENGE ANSWER: select N2:N9, Sparkline tab &gt; Column, then tick Last Point.</t>
        </is>
      </c>
    </row>
  </sheetData>
  <mergeCells count="1">
    <mergeCell ref="A23:O28"/>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cols>
    <col width="8" customWidth="1" min="1" max="1"/>
    <col width="13" customWidth="1" min="2" max="2"/>
    <col width="3" customWidth="1" min="3" max="3"/>
    <col width="8" customWidth="1" min="4" max="4"/>
    <col width="12" customWidth="1" min="5" max="5"/>
    <col width="12" customWidth="1" min="6" max="6"/>
    <col width="12" customWidth="1" min="7" max="7"/>
    <col width="12" customWidth="1" min="8" max="8"/>
    <col width="3" customWidth="1" min="9" max="9"/>
    <col width="14" customWidth="1" min="10" max="10"/>
    <col width="30" customWidth="1" min="11" max="11"/>
  </cols>
  <sheetData>
    <row r="1">
      <c r="A1" s="2" t="inlineStr">
        <is>
          <t>Month</t>
        </is>
      </c>
      <c r="B1" s="2" t="inlineStr">
        <is>
          <t>Sales</t>
        </is>
      </c>
      <c r="D1" s="2" t="inlineStr">
        <is>
          <t>Month</t>
        </is>
      </c>
      <c r="E1" s="2" t="inlineStr">
        <is>
          <t>North</t>
        </is>
      </c>
      <c r="F1" s="2" t="inlineStr">
        <is>
          <t>South</t>
        </is>
      </c>
      <c r="G1" s="2" t="inlineStr">
        <is>
          <t>East</t>
        </is>
      </c>
      <c r="H1" s="2" t="inlineStr">
        <is>
          <t>West</t>
        </is>
      </c>
      <c r="J1" s="4" t="inlineStr">
        <is>
          <t>Choose region</t>
        </is>
      </c>
      <c r="K1" s="7" t="inlineStr">
        <is>
          <t>North</t>
        </is>
      </c>
    </row>
    <row r="2">
      <c r="A2" t="inlineStr">
        <is>
          <t>Apr</t>
        </is>
      </c>
      <c r="B2" s="3" t="n">
        <v>1951000</v>
      </c>
      <c r="D2" t="inlineStr">
        <is>
          <t>Apr</t>
        </is>
      </c>
      <c r="E2" s="3" t="n">
        <v>961000</v>
      </c>
      <c r="F2" s="3" t="n">
        <v>1793000</v>
      </c>
      <c r="G2" s="3" t="n">
        <v>755000</v>
      </c>
      <c r="H2" s="3" t="n">
        <v>1506000</v>
      </c>
      <c r="J2" s="4" t="inlineStr">
        <is>
          <t>Chart title</t>
        </is>
      </c>
      <c r="K2" s="7" t="n"/>
    </row>
    <row r="3">
      <c r="A3" t="inlineStr">
        <is>
          <t>May</t>
        </is>
      </c>
      <c r="B3" s="3" t="n">
        <v>2499000</v>
      </c>
      <c r="D3" t="inlineStr">
        <is>
          <t>May</t>
        </is>
      </c>
      <c r="E3" s="3" t="n">
        <v>1855000</v>
      </c>
      <c r="F3" s="3" t="n">
        <v>755000</v>
      </c>
      <c r="G3" s="3" t="n">
        <v>871000</v>
      </c>
      <c r="H3" s="3" t="n">
        <v>1577000</v>
      </c>
    </row>
    <row r="4">
      <c r="A4" t="inlineStr">
        <is>
          <t>Jun</t>
        </is>
      </c>
      <c r="B4" s="3" t="n">
        <v>1949000</v>
      </c>
      <c r="D4" t="inlineStr">
        <is>
          <t>Jun</t>
        </is>
      </c>
      <c r="E4" s="3" t="n">
        <v>977000</v>
      </c>
      <c r="F4" s="3" t="n">
        <v>1645000</v>
      </c>
      <c r="G4" s="3" t="n">
        <v>1072000</v>
      </c>
      <c r="H4" s="3" t="n">
        <v>802000</v>
      </c>
      <c r="J4" s="2" t="inlineStr">
        <is>
          <t>Month</t>
        </is>
      </c>
      <c r="K4" s="2" t="inlineStr">
        <is>
          <t>Sales</t>
        </is>
      </c>
    </row>
    <row r="5">
      <c r="A5" t="inlineStr">
        <is>
          <t>Jul</t>
        </is>
      </c>
      <c r="B5" s="3" t="n">
        <v>2058000</v>
      </c>
      <c r="D5" t="inlineStr">
        <is>
          <t>Jul</t>
        </is>
      </c>
      <c r="E5" s="3" t="n">
        <v>1232000</v>
      </c>
      <c r="F5" s="3" t="n">
        <v>1476000</v>
      </c>
      <c r="G5" s="3" t="n">
        <v>1370000</v>
      </c>
      <c r="H5" s="3" t="n">
        <v>1133000</v>
      </c>
      <c r="J5">
        <f>D2</f>
        <v/>
      </c>
      <c r="K5" s="8" t="n"/>
    </row>
    <row r="6">
      <c r="A6" t="inlineStr">
        <is>
          <t>Aug</t>
        </is>
      </c>
      <c r="B6" s="3" t="n">
        <v>2392000</v>
      </c>
      <c r="D6" t="inlineStr">
        <is>
          <t>Aug</t>
        </is>
      </c>
      <c r="E6" s="3" t="n">
        <v>1631000</v>
      </c>
      <c r="F6" s="3" t="n">
        <v>1369000</v>
      </c>
      <c r="G6" s="3" t="n">
        <v>1391000</v>
      </c>
      <c r="H6" s="3" t="n">
        <v>1476000</v>
      </c>
      <c r="J6">
        <f>D3</f>
        <v/>
      </c>
      <c r="K6" s="8" t="n"/>
    </row>
    <row r="7">
      <c r="A7" t="inlineStr">
        <is>
          <t>Sep</t>
        </is>
      </c>
      <c r="B7" s="3" t="n">
        <v>2494000</v>
      </c>
      <c r="D7" t="inlineStr">
        <is>
          <t>Sep</t>
        </is>
      </c>
      <c r="E7" s="3" t="n">
        <v>1269000</v>
      </c>
      <c r="F7" s="3" t="n">
        <v>1563000</v>
      </c>
      <c r="G7" s="3" t="n">
        <v>1216000</v>
      </c>
      <c r="H7" s="3" t="n">
        <v>867000</v>
      </c>
      <c r="J7">
        <f>D4</f>
        <v/>
      </c>
      <c r="K7" s="8" t="n"/>
    </row>
    <row r="8">
      <c r="A8" t="inlineStr">
        <is>
          <t>Oct</t>
        </is>
      </c>
      <c r="B8" s="3" t="n">
        <v>1559000</v>
      </c>
      <c r="D8" t="inlineStr">
        <is>
          <t>Oct</t>
        </is>
      </c>
      <c r="E8" s="3" t="n">
        <v>1663000</v>
      </c>
      <c r="F8" s="3" t="n">
        <v>739000</v>
      </c>
      <c r="G8" s="3" t="n">
        <v>1804000</v>
      </c>
      <c r="H8" s="3" t="n">
        <v>806000</v>
      </c>
      <c r="J8">
        <f>D5</f>
        <v/>
      </c>
      <c r="K8" s="8" t="n"/>
    </row>
    <row r="9">
      <c r="A9" t="inlineStr">
        <is>
          <t>Nov</t>
        </is>
      </c>
      <c r="B9" s="3" t="n">
        <v>2296000</v>
      </c>
      <c r="D9" t="inlineStr">
        <is>
          <t>Nov</t>
        </is>
      </c>
      <c r="E9" s="3" t="n">
        <v>1416000</v>
      </c>
      <c r="F9" s="3" t="n">
        <v>1159000</v>
      </c>
      <c r="G9" s="3" t="n">
        <v>840000</v>
      </c>
      <c r="H9" s="3" t="n">
        <v>782000</v>
      </c>
      <c r="J9">
        <f>D6</f>
        <v/>
      </c>
      <c r="K9" s="8" t="n"/>
    </row>
    <row r="10">
      <c r="A10" t="inlineStr">
        <is>
          <t>Dec</t>
        </is>
      </c>
      <c r="B10" s="3" t="n">
        <v>2188000</v>
      </c>
      <c r="D10" t="inlineStr">
        <is>
          <t>Dec</t>
        </is>
      </c>
      <c r="E10" s="3" t="n">
        <v>763000</v>
      </c>
      <c r="F10" s="3" t="n">
        <v>1206000</v>
      </c>
      <c r="G10" s="3" t="n">
        <v>1108000</v>
      </c>
      <c r="H10" s="3" t="n">
        <v>741000</v>
      </c>
      <c r="J10">
        <f>D7</f>
        <v/>
      </c>
      <c r="K10" s="8" t="n"/>
    </row>
    <row r="11">
      <c r="A11" t="inlineStr">
        <is>
          <t>Jan</t>
        </is>
      </c>
      <c r="B11" s="3" t="n">
        <v>2328000</v>
      </c>
      <c r="D11" t="inlineStr">
        <is>
          <t>Jan</t>
        </is>
      </c>
      <c r="E11" s="3" t="n">
        <v>1012000</v>
      </c>
      <c r="F11" s="3" t="n">
        <v>1188000</v>
      </c>
      <c r="G11" s="3" t="n">
        <v>958000</v>
      </c>
      <c r="H11" s="3" t="n">
        <v>1669000</v>
      </c>
      <c r="J11">
        <f>D8</f>
        <v/>
      </c>
      <c r="K11" s="8" t="n"/>
    </row>
    <row r="12">
      <c r="A12" t="inlineStr">
        <is>
          <t>Feb</t>
        </is>
      </c>
      <c r="B12" s="3" t="n">
        <v>1838000</v>
      </c>
      <c r="D12" t="inlineStr">
        <is>
          <t>Feb</t>
        </is>
      </c>
      <c r="E12" s="3" t="n">
        <v>934000</v>
      </c>
      <c r="F12" s="3" t="n">
        <v>1855000</v>
      </c>
      <c r="G12" s="3" t="n">
        <v>1146000</v>
      </c>
      <c r="H12" s="3" t="n">
        <v>1652000</v>
      </c>
      <c r="J12">
        <f>D9</f>
        <v/>
      </c>
      <c r="K12" s="8" t="n"/>
    </row>
    <row r="13">
      <c r="B13" s="3" t="n"/>
      <c r="D13" t="inlineStr">
        <is>
          <t>Mar</t>
        </is>
      </c>
      <c r="E13" s="3" t="n">
        <v>1224000</v>
      </c>
      <c r="F13" s="3" t="n">
        <v>1455000</v>
      </c>
      <c r="G13" s="3" t="n">
        <v>1043000</v>
      </c>
      <c r="H13" s="3" t="n">
        <v>934000</v>
      </c>
      <c r="J13">
        <f>D10</f>
        <v/>
      </c>
      <c r="K13" s="8" t="n"/>
    </row>
    <row r="14">
      <c r="J14">
        <f>D11</f>
        <v/>
      </c>
      <c r="K14" s="8" t="n"/>
    </row>
    <row r="15">
      <c r="J15">
        <f>D12</f>
        <v/>
      </c>
      <c r="K15" s="8" t="n"/>
    </row>
    <row r="16">
      <c r="J16">
        <f>D13</f>
        <v/>
      </c>
      <c r="K16" s="8" t="n"/>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R16"/>
  <sheetViews>
    <sheetView workbookViewId="0">
      <selection activeCell="A1" sqref="A1"/>
    </sheetView>
  </sheetViews>
  <sheetFormatPr baseColWidth="8" defaultRowHeight="15"/>
  <cols>
    <col width="8" customWidth="1" min="1" max="1"/>
    <col width="13" customWidth="1" min="2" max="2"/>
    <col width="3" customWidth="1" min="3" max="3"/>
    <col width="8" customWidth="1" min="4" max="4"/>
    <col width="12" customWidth="1" min="5" max="5"/>
    <col width="12" customWidth="1" min="6" max="6"/>
    <col width="12" customWidth="1" min="7" max="7"/>
    <col width="12" customWidth="1" min="8" max="8"/>
    <col width="3" customWidth="1" min="9" max="9"/>
    <col width="14" customWidth="1" min="10" max="10"/>
    <col width="30" customWidth="1" min="11" max="11"/>
  </cols>
  <sheetData>
    <row r="1">
      <c r="A1" s="2" t="inlineStr">
        <is>
          <t>Month</t>
        </is>
      </c>
      <c r="B1" s="2" t="inlineStr">
        <is>
          <t>Sales</t>
        </is>
      </c>
      <c r="D1" s="2" t="inlineStr">
        <is>
          <t>Month</t>
        </is>
      </c>
      <c r="E1" s="2" t="inlineStr">
        <is>
          <t>North</t>
        </is>
      </c>
      <c r="F1" s="2" t="inlineStr">
        <is>
          <t>South</t>
        </is>
      </c>
      <c r="G1" s="2" t="inlineStr">
        <is>
          <t>East</t>
        </is>
      </c>
      <c r="H1" s="2" t="inlineStr">
        <is>
          <t>West</t>
        </is>
      </c>
      <c r="J1" s="4" t="inlineStr">
        <is>
          <t>Choose region</t>
        </is>
      </c>
      <c r="K1" s="7" t="inlineStr">
        <is>
          <t>North</t>
        </is>
      </c>
      <c r="M1" s="9" t="inlineStr">
        <is>
          <t>FINISHED STATE: A1:B13 is a Table, so the line chart picked up March automatically. K1 is a dropdown of the four regions; K5:K16 pull that region with INDEX and MATCH; the column chart plots J4:K16 and its title is linked to K2 (in the lesson: select the title, type = and click K2). Change K1 and the chart and title change together.</t>
        </is>
      </c>
    </row>
    <row r="2">
      <c r="A2" t="inlineStr">
        <is>
          <t>Apr</t>
        </is>
      </c>
      <c r="B2" s="3" t="n">
        <v>1951000</v>
      </c>
      <c r="D2" t="inlineStr">
        <is>
          <t>Apr</t>
        </is>
      </c>
      <c r="E2" s="3" t="n">
        <v>961000</v>
      </c>
      <c r="F2" s="3" t="n">
        <v>1793000</v>
      </c>
      <c r="G2" s="3" t="n">
        <v>755000</v>
      </c>
      <c r="H2" s="3" t="n">
        <v>1506000</v>
      </c>
      <c r="J2" s="4" t="inlineStr">
        <is>
          <t>Chart title</t>
        </is>
      </c>
      <c r="K2">
        <f>"FY 2025-26 sales: "&amp;K1&amp;" region"</f>
        <v/>
      </c>
    </row>
    <row r="3">
      <c r="A3" t="inlineStr">
        <is>
          <t>May</t>
        </is>
      </c>
      <c r="B3" s="3" t="n">
        <v>2499000</v>
      </c>
      <c r="D3" t="inlineStr">
        <is>
          <t>May</t>
        </is>
      </c>
      <c r="E3" s="3" t="n">
        <v>1855000</v>
      </c>
      <c r="F3" s="3" t="n">
        <v>755000</v>
      </c>
      <c r="G3" s="3" t="n">
        <v>871000</v>
      </c>
      <c r="H3" s="3" t="n">
        <v>1577000</v>
      </c>
    </row>
    <row r="4">
      <c r="A4" t="inlineStr">
        <is>
          <t>Jun</t>
        </is>
      </c>
      <c r="B4" s="3" t="n">
        <v>1949000</v>
      </c>
      <c r="D4" t="inlineStr">
        <is>
          <t>Jun</t>
        </is>
      </c>
      <c r="E4" s="3" t="n">
        <v>977000</v>
      </c>
      <c r="F4" s="3" t="n">
        <v>1645000</v>
      </c>
      <c r="G4" s="3" t="n">
        <v>1072000</v>
      </c>
      <c r="H4" s="3" t="n">
        <v>802000</v>
      </c>
      <c r="J4" s="2" t="inlineStr">
        <is>
          <t>Month</t>
        </is>
      </c>
      <c r="K4" s="2" t="inlineStr">
        <is>
          <t>Sales</t>
        </is>
      </c>
    </row>
    <row r="5">
      <c r="A5" t="inlineStr">
        <is>
          <t>Jul</t>
        </is>
      </c>
      <c r="B5" s="3" t="n">
        <v>2058000</v>
      </c>
      <c r="D5" t="inlineStr">
        <is>
          <t>Jul</t>
        </is>
      </c>
      <c r="E5" s="3" t="n">
        <v>1232000</v>
      </c>
      <c r="F5" s="3" t="n">
        <v>1476000</v>
      </c>
      <c r="G5" s="3" t="n">
        <v>1370000</v>
      </c>
      <c r="H5" s="3" t="n">
        <v>1133000</v>
      </c>
      <c r="J5">
        <f>D2</f>
        <v/>
      </c>
      <c r="K5" s="3">
        <f>INDEX($E2:$H2,MATCH($K$1,$E$1:$H$1,0))</f>
        <v/>
      </c>
    </row>
    <row r="6">
      <c r="A6" t="inlineStr">
        <is>
          <t>Aug</t>
        </is>
      </c>
      <c r="B6" s="3" t="n">
        <v>2392000</v>
      </c>
      <c r="D6" t="inlineStr">
        <is>
          <t>Aug</t>
        </is>
      </c>
      <c r="E6" s="3" t="n">
        <v>1631000</v>
      </c>
      <c r="F6" s="3" t="n">
        <v>1369000</v>
      </c>
      <c r="G6" s="3" t="n">
        <v>1391000</v>
      </c>
      <c r="H6" s="3" t="n">
        <v>1476000</v>
      </c>
      <c r="J6">
        <f>D3</f>
        <v/>
      </c>
      <c r="K6" s="3">
        <f>INDEX($E3:$H3,MATCH($K$1,$E$1:$H$1,0))</f>
        <v/>
      </c>
    </row>
    <row r="7">
      <c r="A7" t="inlineStr">
        <is>
          <t>Sep</t>
        </is>
      </c>
      <c r="B7" s="3" t="n">
        <v>2494000</v>
      </c>
      <c r="D7" t="inlineStr">
        <is>
          <t>Sep</t>
        </is>
      </c>
      <c r="E7" s="3" t="n">
        <v>1269000</v>
      </c>
      <c r="F7" s="3" t="n">
        <v>1563000</v>
      </c>
      <c r="G7" s="3" t="n">
        <v>1216000</v>
      </c>
      <c r="H7" s="3" t="n">
        <v>867000</v>
      </c>
      <c r="J7">
        <f>D4</f>
        <v/>
      </c>
      <c r="K7" s="3">
        <f>INDEX($E4:$H4,MATCH($K$1,$E$1:$H$1,0))</f>
        <v/>
      </c>
    </row>
    <row r="8">
      <c r="A8" t="inlineStr">
        <is>
          <t>Oct</t>
        </is>
      </c>
      <c r="B8" s="3" t="n">
        <v>1559000</v>
      </c>
      <c r="D8" t="inlineStr">
        <is>
          <t>Oct</t>
        </is>
      </c>
      <c r="E8" s="3" t="n">
        <v>1663000</v>
      </c>
      <c r="F8" s="3" t="n">
        <v>739000</v>
      </c>
      <c r="G8" s="3" t="n">
        <v>1804000</v>
      </c>
      <c r="H8" s="3" t="n">
        <v>806000</v>
      </c>
      <c r="J8">
        <f>D5</f>
        <v/>
      </c>
      <c r="K8" s="3">
        <f>INDEX($E5:$H5,MATCH($K$1,$E$1:$H$1,0))</f>
        <v/>
      </c>
    </row>
    <row r="9">
      <c r="A9" t="inlineStr">
        <is>
          <t>Nov</t>
        </is>
      </c>
      <c r="B9" s="3" t="n">
        <v>2296000</v>
      </c>
      <c r="D9" t="inlineStr">
        <is>
          <t>Nov</t>
        </is>
      </c>
      <c r="E9" s="3" t="n">
        <v>1416000</v>
      </c>
      <c r="F9" s="3" t="n">
        <v>1159000</v>
      </c>
      <c r="G9" s="3" t="n">
        <v>840000</v>
      </c>
      <c r="H9" s="3" t="n">
        <v>782000</v>
      </c>
      <c r="J9">
        <f>D6</f>
        <v/>
      </c>
      <c r="K9" s="3">
        <f>INDEX($E6:$H6,MATCH($K$1,$E$1:$H$1,0))</f>
        <v/>
      </c>
    </row>
    <row r="10">
      <c r="A10" t="inlineStr">
        <is>
          <t>Dec</t>
        </is>
      </c>
      <c r="B10" s="3" t="n">
        <v>2188000</v>
      </c>
      <c r="D10" t="inlineStr">
        <is>
          <t>Dec</t>
        </is>
      </c>
      <c r="E10" s="3" t="n">
        <v>763000</v>
      </c>
      <c r="F10" s="3" t="n">
        <v>1206000</v>
      </c>
      <c r="G10" s="3" t="n">
        <v>1108000</v>
      </c>
      <c r="H10" s="3" t="n">
        <v>741000</v>
      </c>
      <c r="J10">
        <f>D7</f>
        <v/>
      </c>
      <c r="K10" s="3">
        <f>INDEX($E7:$H7,MATCH($K$1,$E$1:$H$1,0))</f>
        <v/>
      </c>
    </row>
    <row r="11">
      <c r="A11" t="inlineStr">
        <is>
          <t>Jan</t>
        </is>
      </c>
      <c r="B11" s="3" t="n">
        <v>2328000</v>
      </c>
      <c r="D11" t="inlineStr">
        <is>
          <t>Jan</t>
        </is>
      </c>
      <c r="E11" s="3" t="n">
        <v>1012000</v>
      </c>
      <c r="F11" s="3" t="n">
        <v>1188000</v>
      </c>
      <c r="G11" s="3" t="n">
        <v>958000</v>
      </c>
      <c r="H11" s="3" t="n">
        <v>1669000</v>
      </c>
      <c r="J11">
        <f>D8</f>
        <v/>
      </c>
      <c r="K11" s="3">
        <f>INDEX($E8:$H8,MATCH($K$1,$E$1:$H$1,0))</f>
        <v/>
      </c>
    </row>
    <row r="12">
      <c r="A12" t="inlineStr">
        <is>
          <t>Feb</t>
        </is>
      </c>
      <c r="B12" s="3" t="n">
        <v>1838000</v>
      </c>
      <c r="D12" t="inlineStr">
        <is>
          <t>Feb</t>
        </is>
      </c>
      <c r="E12" s="3" t="n">
        <v>934000</v>
      </c>
      <c r="F12" s="3" t="n">
        <v>1855000</v>
      </c>
      <c r="G12" s="3" t="n">
        <v>1146000</v>
      </c>
      <c r="H12" s="3" t="n">
        <v>1652000</v>
      </c>
      <c r="J12">
        <f>D9</f>
        <v/>
      </c>
      <c r="K12" s="3">
        <f>INDEX($E9:$H9,MATCH($K$1,$E$1:$H$1,0))</f>
        <v/>
      </c>
    </row>
    <row r="13">
      <c r="A13" t="inlineStr">
        <is>
          <t>Mar</t>
        </is>
      </c>
      <c r="B13" s="3" t="n">
        <v>2457000</v>
      </c>
      <c r="D13" t="inlineStr">
        <is>
          <t>Mar</t>
        </is>
      </c>
      <c r="E13" s="3" t="n">
        <v>1224000</v>
      </c>
      <c r="F13" s="3" t="n">
        <v>1455000</v>
      </c>
      <c r="G13" s="3" t="n">
        <v>1043000</v>
      </c>
      <c r="H13" s="3" t="n">
        <v>934000</v>
      </c>
      <c r="J13">
        <f>D10</f>
        <v/>
      </c>
      <c r="K13" s="3">
        <f>INDEX($E10:$H10,MATCH($K$1,$E$1:$H$1,0))</f>
        <v/>
      </c>
    </row>
    <row r="14">
      <c r="J14">
        <f>D11</f>
        <v/>
      </c>
      <c r="K14" s="3">
        <f>INDEX($E11:$H11,MATCH($K$1,$E$1:$H$1,0))</f>
        <v/>
      </c>
    </row>
    <row r="15">
      <c r="J15">
        <f>D12</f>
        <v/>
      </c>
      <c r="K15" s="3">
        <f>INDEX($E12:$H12,MATCH($K$1,$E$1:$H$1,0))</f>
        <v/>
      </c>
    </row>
    <row r="16">
      <c r="D16" s="6" t="inlineStr">
        <is>
          <t>CHALLENGE ANSWER: type All India in I1 and =SUM(E2:H2) in I2, fill down to I13, then change the K1 dropdown source to =$E$1:$I$1. Choose All India to see the total.</t>
        </is>
      </c>
      <c r="J16">
        <f>D13</f>
        <v/>
      </c>
      <c r="K16" s="3">
        <f>INDEX($E13:$H13,MATCH($K$1,$E$1:$H$1,0))</f>
        <v/>
      </c>
    </row>
  </sheetData>
  <mergeCells count="1">
    <mergeCell ref="M1:R10"/>
  </mergeCells>
  <dataValidations count="1">
    <dataValidation sqref="K1" showDropDown="0" showInputMessage="0" showErrorMessage="0" allowBlank="0" type="list">
      <formula1>=$E$1:$H$1</formula1>
    </dataValidation>
  </dataValidations>
  <pageMargins left="0.75" right="0.75" top="1" bottom="1" header="0.5" footer="0.5"/>
  <drawing xmlns:r="http://schemas.openxmlformats.org/officeDocument/2006/relationships" r:id="rId1"/>
  <tableParts count="1">
    <tablePart xmlns:r="http://schemas.openxmlformats.org/officeDocument/2006/relationships" r:id="rId2"/>
  </tableParts>
</worksheet>
</file>

<file path=xl/worksheets/sheet20.xml><?xml version="1.0" encoding="utf-8"?>
<worksheet xmlns="http://schemas.openxmlformats.org/spreadsheetml/2006/main">
  <sheetPr>
    <outlinePr summaryBelow="1" summaryRight="1"/>
    <pageSetUpPr/>
  </sheetPr>
  <dimension ref="A1:S14"/>
  <sheetViews>
    <sheetView workbookViewId="0">
      <selection activeCell="A1" sqref="A1"/>
    </sheetView>
  </sheetViews>
  <sheetFormatPr baseColWidth="8" defaultRowHeight="15"/>
  <cols>
    <col width="27" customWidth="1" min="1" max="1"/>
    <col width="16" customWidth="1" min="2" max="2"/>
    <col width="12" customWidth="1" min="3" max="3"/>
    <col width="12" customWidth="1" min="4" max="4"/>
    <col width="6" customWidth="1" min="5" max="5"/>
    <col width="2" customWidth="1" min="6" max="6"/>
    <col width="2" customWidth="1" min="7" max="7"/>
    <col width="4.5" customWidth="1" min="8" max="8"/>
    <col width="4.5" customWidth="1" min="9" max="9"/>
    <col width="4.5" customWidth="1" min="10" max="10"/>
    <col width="4.5" customWidth="1" min="11" max="11"/>
    <col width="4.5" customWidth="1" min="12" max="12"/>
    <col width="4.5" customWidth="1" min="13" max="13"/>
    <col width="4.5" customWidth="1" min="14" max="14"/>
    <col width="4.5" customWidth="1" min="15" max="15"/>
    <col width="4.5" customWidth="1" min="16" max="16"/>
    <col width="4.5" customWidth="1" min="17" max="17"/>
    <col width="4.5" customWidth="1" min="18" max="18"/>
    <col width="4.5" customWidth="1" min="19" max="19"/>
  </cols>
  <sheetData>
    <row r="1">
      <c r="A1" s="1" t="inlineStr">
        <is>
          <t>Project plan: ERP rollout, Pune plant</t>
        </is>
      </c>
    </row>
    <row r="2">
      <c r="A2" t="inlineStr">
        <is>
          <t>Project start</t>
        </is>
      </c>
      <c r="B2" s="17">
        <f>MIN(C5:C14)</f>
        <v/>
      </c>
    </row>
    <row r="3">
      <c r="A3" t="inlineStr">
        <is>
          <t>Start as a number</t>
        </is>
      </c>
      <c r="B3" s="18">
        <f>B2</f>
        <v/>
      </c>
      <c r="H3" s="4" t="inlineStr">
        <is>
          <t>Week starting</t>
        </is>
      </c>
    </row>
    <row r="4" ht="48" customHeight="1">
      <c r="A4" s="2" t="inlineStr">
        <is>
          <t>Task</t>
        </is>
      </c>
      <c r="B4" s="2" t="inlineStr">
        <is>
          <t>Owner</t>
        </is>
      </c>
      <c r="C4" s="2" t="inlineStr">
        <is>
          <t>Start</t>
        </is>
      </c>
      <c r="D4" s="2" t="inlineStr">
        <is>
          <t>End</t>
        </is>
      </c>
      <c r="E4" s="2" t="inlineStr">
        <is>
          <t>Days</t>
        </is>
      </c>
      <c r="H4" s="19" t="n"/>
      <c r="I4" s="20" t="n"/>
      <c r="J4" s="20" t="n"/>
      <c r="K4" s="20" t="n"/>
      <c r="L4" s="20" t="n"/>
      <c r="M4" s="20" t="n"/>
      <c r="N4" s="20" t="n"/>
      <c r="O4" s="20" t="n"/>
      <c r="P4" s="20" t="n"/>
      <c r="Q4" s="20" t="n"/>
      <c r="R4" s="20" t="n"/>
      <c r="S4" s="20" t="n"/>
    </row>
    <row r="5">
      <c r="A5" t="inlineStr">
        <is>
          <t>Requirement workshops</t>
        </is>
      </c>
      <c r="B5" t="inlineStr">
        <is>
          <t>Ritu Sharma</t>
        </is>
      </c>
      <c r="C5" s="17" t="n">
        <v>46118</v>
      </c>
      <c r="D5" s="17" t="n">
        <v>46127</v>
      </c>
      <c r="E5" s="7" t="n"/>
      <c r="H5" s="21" t="n"/>
      <c r="I5" s="21" t="n"/>
      <c r="J5" s="21" t="n"/>
      <c r="K5" s="21" t="n"/>
      <c r="L5" s="21" t="n"/>
      <c r="M5" s="21" t="n"/>
      <c r="N5" s="21" t="n"/>
      <c r="O5" s="21" t="n"/>
      <c r="P5" s="21" t="n"/>
      <c r="Q5" s="21" t="n"/>
      <c r="R5" s="21" t="n"/>
      <c r="S5" s="21" t="n"/>
    </row>
    <row r="6">
      <c r="A6" t="inlineStr">
        <is>
          <t>Process mapping</t>
        </is>
      </c>
      <c r="B6" t="inlineStr">
        <is>
          <t>Arjun Nair</t>
        </is>
      </c>
      <c r="C6" s="17" t="n">
        <v>46125</v>
      </c>
      <c r="D6" s="17" t="n">
        <v>46136</v>
      </c>
      <c r="E6" s="7" t="n"/>
      <c r="H6" s="21" t="n"/>
      <c r="I6" s="21" t="n"/>
      <c r="J6" s="21" t="n"/>
      <c r="K6" s="21" t="n"/>
      <c r="L6" s="21" t="n"/>
      <c r="M6" s="21" t="n"/>
      <c r="N6" s="21" t="n"/>
      <c r="O6" s="21" t="n"/>
      <c r="P6" s="21" t="n"/>
      <c r="Q6" s="21" t="n"/>
      <c r="R6" s="21" t="n"/>
      <c r="S6" s="21" t="n"/>
    </row>
    <row r="7">
      <c r="A7" t="inlineStr">
        <is>
          <t>Vendor finalisation</t>
        </is>
      </c>
      <c r="B7" t="inlineStr">
        <is>
          <t>Meera Iyer</t>
        </is>
      </c>
      <c r="C7" s="17" t="n">
        <v>46132</v>
      </c>
      <c r="D7" s="17" t="n">
        <v>46139</v>
      </c>
      <c r="E7" s="7" t="n"/>
      <c r="H7" s="21" t="n"/>
      <c r="I7" s="21" t="n"/>
      <c r="J7" s="21" t="n"/>
      <c r="K7" s="21" t="n"/>
      <c r="L7" s="21" t="n"/>
      <c r="M7" s="21" t="n"/>
      <c r="N7" s="21" t="n"/>
      <c r="O7" s="21" t="n"/>
      <c r="P7" s="21" t="n"/>
      <c r="Q7" s="21" t="n"/>
      <c r="R7" s="21" t="n"/>
      <c r="S7" s="21" t="n"/>
    </row>
    <row r="8">
      <c r="A8" t="inlineStr">
        <is>
          <t>System configuration</t>
        </is>
      </c>
      <c r="B8" t="inlineStr">
        <is>
          <t>Karan Mehta</t>
        </is>
      </c>
      <c r="C8" s="17" t="n">
        <v>46139</v>
      </c>
      <c r="D8" s="17" t="n">
        <v>46163</v>
      </c>
      <c r="E8" s="7" t="n"/>
      <c r="H8" s="21" t="n"/>
      <c r="I8" s="21" t="n"/>
      <c r="J8" s="21" t="n"/>
      <c r="K8" s="21" t="n"/>
      <c r="L8" s="21" t="n"/>
      <c r="M8" s="21" t="n"/>
      <c r="N8" s="21" t="n"/>
      <c r="O8" s="21" t="n"/>
      <c r="P8" s="21" t="n"/>
      <c r="Q8" s="21" t="n"/>
      <c r="R8" s="21" t="n"/>
      <c r="S8" s="21" t="n"/>
    </row>
    <row r="9">
      <c r="A9" t="inlineStr">
        <is>
          <t>Data migration</t>
        </is>
      </c>
      <c r="B9" t="inlineStr">
        <is>
          <t>Sneha Kulkarni</t>
        </is>
      </c>
      <c r="C9" s="17" t="n">
        <v>46153</v>
      </c>
      <c r="D9" s="17" t="n">
        <v>46167</v>
      </c>
      <c r="E9" s="7" t="n"/>
      <c r="H9" s="21" t="n"/>
      <c r="I9" s="21" t="n"/>
      <c r="J9" s="21" t="n"/>
      <c r="K9" s="21" t="n"/>
      <c r="L9" s="21" t="n"/>
      <c r="M9" s="21" t="n"/>
      <c r="N9" s="21" t="n"/>
      <c r="O9" s="21" t="n"/>
      <c r="P9" s="21" t="n"/>
      <c r="Q9" s="21" t="n"/>
      <c r="R9" s="21" t="n"/>
      <c r="S9" s="21" t="n"/>
    </row>
    <row r="10">
      <c r="A10" t="inlineStr">
        <is>
          <t>Integration testing</t>
        </is>
      </c>
      <c r="B10" t="inlineStr">
        <is>
          <t>Arjun Nair</t>
        </is>
      </c>
      <c r="C10" s="17" t="n">
        <v>46164</v>
      </c>
      <c r="D10" s="17" t="n">
        <v>46173</v>
      </c>
      <c r="E10" s="7" t="n"/>
      <c r="H10" s="21" t="n"/>
      <c r="I10" s="21" t="n"/>
      <c r="J10" s="21" t="n"/>
      <c r="K10" s="21" t="n"/>
      <c r="L10" s="21" t="n"/>
      <c r="M10" s="21" t="n"/>
      <c r="N10" s="21" t="n"/>
      <c r="O10" s="21" t="n"/>
      <c r="P10" s="21" t="n"/>
      <c r="Q10" s="21" t="n"/>
      <c r="R10" s="21" t="n"/>
      <c r="S10" s="21" t="n"/>
    </row>
    <row r="11">
      <c r="A11" t="inlineStr">
        <is>
          <t>User training (Pune plant)</t>
        </is>
      </c>
      <c r="B11" t="inlineStr">
        <is>
          <t>Pooja Deshpande</t>
        </is>
      </c>
      <c r="C11" s="17" t="n">
        <v>46170</v>
      </c>
      <c r="D11" s="17" t="n">
        <v>46178</v>
      </c>
      <c r="E11" s="7" t="n"/>
      <c r="H11" s="21" t="n"/>
      <c r="I11" s="21" t="n"/>
      <c r="J11" s="21" t="n"/>
      <c r="K11" s="21" t="n"/>
      <c r="L11" s="21" t="n"/>
      <c r="M11" s="21" t="n"/>
      <c r="N11" s="21" t="n"/>
      <c r="O11" s="21" t="n"/>
      <c r="P11" s="21" t="n"/>
      <c r="Q11" s="21" t="n"/>
      <c r="R11" s="21" t="n"/>
      <c r="S11" s="21" t="n"/>
    </row>
    <row r="12">
      <c r="A12" t="inlineStr">
        <is>
          <t>User acceptance testing</t>
        </is>
      </c>
      <c r="B12" t="inlineStr">
        <is>
          <t>Ritu Sharma</t>
        </is>
      </c>
      <c r="C12" s="17" t="n">
        <v>46174</v>
      </c>
      <c r="D12" s="17" t="n">
        <v>46181</v>
      </c>
      <c r="E12" s="7" t="n"/>
      <c r="H12" s="21" t="n"/>
      <c r="I12" s="21" t="n"/>
      <c r="J12" s="21" t="n"/>
      <c r="K12" s="21" t="n"/>
      <c r="L12" s="21" t="n"/>
      <c r="M12" s="21" t="n"/>
      <c r="N12" s="21" t="n"/>
      <c r="O12" s="21" t="n"/>
      <c r="P12" s="21" t="n"/>
      <c r="Q12" s="21" t="n"/>
      <c r="R12" s="21" t="n"/>
      <c r="S12" s="21" t="n"/>
    </row>
    <row r="13">
      <c r="A13" t="inlineStr">
        <is>
          <t>Go-live</t>
        </is>
      </c>
      <c r="B13" t="inlineStr">
        <is>
          <t>Karan Mehta</t>
        </is>
      </c>
      <c r="C13" s="17" t="n">
        <v>46183</v>
      </c>
      <c r="D13" s="17" t="n">
        <v>46184</v>
      </c>
      <c r="E13" s="7" t="n"/>
      <c r="H13" s="21" t="n"/>
      <c r="I13" s="21" t="n"/>
      <c r="J13" s="21" t="n"/>
      <c r="K13" s="21" t="n"/>
      <c r="L13" s="21" t="n"/>
      <c r="M13" s="21" t="n"/>
      <c r="N13" s="21" t="n"/>
      <c r="O13" s="21" t="n"/>
      <c r="P13" s="21" t="n"/>
      <c r="Q13" s="21" t="n"/>
      <c r="R13" s="21" t="n"/>
      <c r="S13" s="21" t="n"/>
    </row>
    <row r="14">
      <c r="A14" t="inlineStr">
        <is>
          <t>Hypercare support</t>
        </is>
      </c>
      <c r="B14" t="inlineStr">
        <is>
          <t>Sneha Kulkarni</t>
        </is>
      </c>
      <c r="C14" s="17" t="n">
        <v>46185</v>
      </c>
      <c r="D14" s="17" t="n">
        <v>46198</v>
      </c>
      <c r="E14" s="7" t="n"/>
      <c r="H14" s="21" t="n"/>
      <c r="I14" s="21" t="n"/>
      <c r="J14" s="21" t="n"/>
      <c r="K14" s="21" t="n"/>
      <c r="L14" s="21" t="n"/>
      <c r="M14" s="21" t="n"/>
      <c r="N14" s="21" t="n"/>
      <c r="O14" s="21" t="n"/>
      <c r="P14" s="21" t="n"/>
      <c r="Q14" s="21" t="n"/>
      <c r="R14" s="21" t="n"/>
      <c r="S14" s="21" t="n"/>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S37"/>
  <sheetViews>
    <sheetView workbookViewId="0">
      <selection activeCell="A1" sqref="A1"/>
    </sheetView>
  </sheetViews>
  <sheetFormatPr baseColWidth="8" defaultRowHeight="15"/>
  <cols>
    <col width="27" customWidth="1" min="1" max="1"/>
    <col width="16" customWidth="1" min="2" max="2"/>
    <col width="12" customWidth="1" min="3" max="3"/>
    <col width="12" customWidth="1" min="4" max="4"/>
    <col width="6" customWidth="1" min="5" max="5"/>
    <col width="2" customWidth="1" min="6" max="6"/>
    <col width="2" customWidth="1" min="7" max="7"/>
    <col width="4.5" customWidth="1" min="8" max="8"/>
    <col width="4.5" customWidth="1" min="9" max="9"/>
    <col width="4.5" customWidth="1" min="10" max="10"/>
    <col width="4.5" customWidth="1" min="11" max="11"/>
    <col width="4.5" customWidth="1" min="12" max="12"/>
    <col width="4.5" customWidth="1" min="13" max="13"/>
    <col width="4.5" customWidth="1" min="14" max="14"/>
    <col width="4.5" customWidth="1" min="15" max="15"/>
    <col width="4.5" customWidth="1" min="16" max="16"/>
    <col width="4.5" customWidth="1" min="17" max="17"/>
    <col width="4.5" customWidth="1" min="18" max="18"/>
    <col width="4.5" customWidth="1" min="19" max="19"/>
  </cols>
  <sheetData>
    <row r="1">
      <c r="A1" s="1" t="inlineStr">
        <is>
          <t>Project plan: ERP rollout, Pune plant</t>
        </is>
      </c>
    </row>
    <row r="2">
      <c r="A2" t="inlineStr">
        <is>
          <t>Project start</t>
        </is>
      </c>
      <c r="B2" s="17">
        <f>MIN(C5:C14)</f>
        <v/>
      </c>
    </row>
    <row r="3">
      <c r="A3" t="inlineStr">
        <is>
          <t>Start as a number</t>
        </is>
      </c>
      <c r="B3" s="18">
        <f>B2</f>
        <v/>
      </c>
      <c r="H3" s="4" t="inlineStr">
        <is>
          <t>Week starting</t>
        </is>
      </c>
    </row>
    <row r="4" ht="48" customHeight="1">
      <c r="A4" s="2" t="inlineStr">
        <is>
          <t>Task</t>
        </is>
      </c>
      <c r="B4" s="2" t="inlineStr">
        <is>
          <t>Owner</t>
        </is>
      </c>
      <c r="C4" s="2" t="inlineStr">
        <is>
          <t>Start</t>
        </is>
      </c>
      <c r="D4" s="2" t="inlineStr">
        <is>
          <t>End</t>
        </is>
      </c>
      <c r="E4" s="2" t="inlineStr">
        <is>
          <t>Days</t>
        </is>
      </c>
      <c r="H4" s="20">
        <f>$B$2</f>
        <v/>
      </c>
      <c r="I4" s="20">
        <f>H4+7</f>
        <v/>
      </c>
      <c r="J4" s="20">
        <f>I4+7</f>
        <v/>
      </c>
      <c r="K4" s="20">
        <f>J4+7</f>
        <v/>
      </c>
      <c r="L4" s="20">
        <f>K4+7</f>
        <v/>
      </c>
      <c r="M4" s="20">
        <f>L4+7</f>
        <v/>
      </c>
      <c r="N4" s="20">
        <f>M4+7</f>
        <v/>
      </c>
      <c r="O4" s="20">
        <f>N4+7</f>
        <v/>
      </c>
      <c r="P4" s="20">
        <f>O4+7</f>
        <v/>
      </c>
      <c r="Q4" s="20">
        <f>P4+7</f>
        <v/>
      </c>
      <c r="R4" s="20">
        <f>Q4+7</f>
        <v/>
      </c>
      <c r="S4" s="20">
        <f>R4+7</f>
        <v/>
      </c>
    </row>
    <row r="5">
      <c r="A5" t="inlineStr">
        <is>
          <t>Requirement workshops</t>
        </is>
      </c>
      <c r="B5" t="inlineStr">
        <is>
          <t>Ritu Sharma</t>
        </is>
      </c>
      <c r="C5" s="17" t="n">
        <v>46118</v>
      </c>
      <c r="D5" s="17" t="n">
        <v>46127</v>
      </c>
      <c r="E5">
        <f>D5-C5+1</f>
        <v/>
      </c>
      <c r="H5" s="21" t="n"/>
      <c r="I5" s="21" t="n"/>
      <c r="J5" s="21" t="n"/>
      <c r="K5" s="21" t="n"/>
      <c r="L5" s="21" t="n"/>
      <c r="M5" s="21" t="n"/>
      <c r="N5" s="21" t="n"/>
      <c r="O5" s="21" t="n"/>
      <c r="P5" s="21" t="n"/>
      <c r="Q5" s="21" t="n"/>
      <c r="R5" s="21" t="n"/>
      <c r="S5" s="21" t="n"/>
    </row>
    <row r="6">
      <c r="A6" t="inlineStr">
        <is>
          <t>Process mapping</t>
        </is>
      </c>
      <c r="B6" t="inlineStr">
        <is>
          <t>Arjun Nair</t>
        </is>
      </c>
      <c r="C6" s="17" t="n">
        <v>46125</v>
      </c>
      <c r="D6" s="17" t="n">
        <v>46136</v>
      </c>
      <c r="E6">
        <f>D6-C6+1</f>
        <v/>
      </c>
      <c r="H6" s="21" t="n"/>
      <c r="I6" s="21" t="n"/>
      <c r="J6" s="21" t="n"/>
      <c r="K6" s="21" t="n"/>
      <c r="L6" s="21" t="n"/>
      <c r="M6" s="21" t="n"/>
      <c r="N6" s="21" t="n"/>
      <c r="O6" s="21" t="n"/>
      <c r="P6" s="21" t="n"/>
      <c r="Q6" s="21" t="n"/>
      <c r="R6" s="21" t="n"/>
      <c r="S6" s="21" t="n"/>
    </row>
    <row r="7">
      <c r="A7" t="inlineStr">
        <is>
          <t>Vendor finalisation</t>
        </is>
      </c>
      <c r="B7" t="inlineStr">
        <is>
          <t>Meera Iyer</t>
        </is>
      </c>
      <c r="C7" s="17" t="n">
        <v>46132</v>
      </c>
      <c r="D7" s="17" t="n">
        <v>46139</v>
      </c>
      <c r="E7">
        <f>D7-C7+1</f>
        <v/>
      </c>
      <c r="H7" s="21" t="n"/>
      <c r="I7" s="21" t="n"/>
      <c r="J7" s="21" t="n"/>
      <c r="K7" s="21" t="n"/>
      <c r="L7" s="21" t="n"/>
      <c r="M7" s="21" t="n"/>
      <c r="N7" s="21" t="n"/>
      <c r="O7" s="21" t="n"/>
      <c r="P7" s="21" t="n"/>
      <c r="Q7" s="21" t="n"/>
      <c r="R7" s="21" t="n"/>
      <c r="S7" s="21" t="n"/>
    </row>
    <row r="8">
      <c r="A8" t="inlineStr">
        <is>
          <t>System configuration</t>
        </is>
      </c>
      <c r="B8" t="inlineStr">
        <is>
          <t>Karan Mehta</t>
        </is>
      </c>
      <c r="C8" s="17" t="n">
        <v>46139</v>
      </c>
      <c r="D8" s="17" t="n">
        <v>46163</v>
      </c>
      <c r="E8">
        <f>D8-C8+1</f>
        <v/>
      </c>
      <c r="H8" s="21" t="n"/>
      <c r="I8" s="21" t="n"/>
      <c r="J8" s="21" t="n"/>
      <c r="K8" s="21" t="n"/>
      <c r="L8" s="21" t="n"/>
      <c r="M8" s="21" t="n"/>
      <c r="N8" s="21" t="n"/>
      <c r="O8" s="21" t="n"/>
      <c r="P8" s="21" t="n"/>
      <c r="Q8" s="21" t="n"/>
      <c r="R8" s="21" t="n"/>
      <c r="S8" s="21" t="n"/>
    </row>
    <row r="9">
      <c r="A9" t="inlineStr">
        <is>
          <t>Data migration</t>
        </is>
      </c>
      <c r="B9" t="inlineStr">
        <is>
          <t>Sneha Kulkarni</t>
        </is>
      </c>
      <c r="C9" s="17" t="n">
        <v>46153</v>
      </c>
      <c r="D9" s="17" t="n">
        <v>46167</v>
      </c>
      <c r="E9">
        <f>D9-C9+1</f>
        <v/>
      </c>
      <c r="H9" s="21" t="n"/>
      <c r="I9" s="21" t="n"/>
      <c r="J9" s="21" t="n"/>
      <c r="K9" s="21" t="n"/>
      <c r="L9" s="21" t="n"/>
      <c r="M9" s="21" t="n"/>
      <c r="N9" s="21" t="n"/>
      <c r="O9" s="21" t="n"/>
      <c r="P9" s="21" t="n"/>
      <c r="Q9" s="21" t="n"/>
      <c r="R9" s="21" t="n"/>
      <c r="S9" s="21" t="n"/>
    </row>
    <row r="10">
      <c r="A10" t="inlineStr">
        <is>
          <t>Integration testing</t>
        </is>
      </c>
      <c r="B10" t="inlineStr">
        <is>
          <t>Arjun Nair</t>
        </is>
      </c>
      <c r="C10" s="17" t="n">
        <v>46164</v>
      </c>
      <c r="D10" s="17" t="n">
        <v>46173</v>
      </c>
      <c r="E10">
        <f>D10-C10+1</f>
        <v/>
      </c>
      <c r="H10" s="21" t="n"/>
      <c r="I10" s="21" t="n"/>
      <c r="J10" s="21" t="n"/>
      <c r="K10" s="21" t="n"/>
      <c r="L10" s="21" t="n"/>
      <c r="M10" s="21" t="n"/>
      <c r="N10" s="21" t="n"/>
      <c r="O10" s="21" t="n"/>
      <c r="P10" s="21" t="n"/>
      <c r="Q10" s="21" t="n"/>
      <c r="R10" s="21" t="n"/>
      <c r="S10" s="21" t="n"/>
    </row>
    <row r="11">
      <c r="A11" t="inlineStr">
        <is>
          <t>User training (Pune plant)</t>
        </is>
      </c>
      <c r="B11" t="inlineStr">
        <is>
          <t>Pooja Deshpande</t>
        </is>
      </c>
      <c r="C11" s="17" t="n">
        <v>46170</v>
      </c>
      <c r="D11" s="17" t="n">
        <v>46178</v>
      </c>
      <c r="E11">
        <f>D11-C11+1</f>
        <v/>
      </c>
      <c r="H11" s="21" t="n"/>
      <c r="I11" s="21" t="n"/>
      <c r="J11" s="21" t="n"/>
      <c r="K11" s="21" t="n"/>
      <c r="L11" s="21" t="n"/>
      <c r="M11" s="21" t="n"/>
      <c r="N11" s="21" t="n"/>
      <c r="O11" s="21" t="n"/>
      <c r="P11" s="21" t="n"/>
      <c r="Q11" s="21" t="n"/>
      <c r="R11" s="21" t="n"/>
      <c r="S11" s="21" t="n"/>
    </row>
    <row r="12">
      <c r="A12" t="inlineStr">
        <is>
          <t>User acceptance testing</t>
        </is>
      </c>
      <c r="B12" t="inlineStr">
        <is>
          <t>Ritu Sharma</t>
        </is>
      </c>
      <c r="C12" s="17" t="n">
        <v>46174</v>
      </c>
      <c r="D12" s="17" t="n">
        <v>46181</v>
      </c>
      <c r="E12">
        <f>D12-C12+1</f>
        <v/>
      </c>
      <c r="H12" s="21" t="n"/>
      <c r="I12" s="21" t="n"/>
      <c r="J12" s="21" t="n"/>
      <c r="K12" s="21" t="n"/>
      <c r="L12" s="21" t="n"/>
      <c r="M12" s="21" t="n"/>
      <c r="N12" s="21" t="n"/>
      <c r="O12" s="21" t="n"/>
      <c r="P12" s="21" t="n"/>
      <c r="Q12" s="21" t="n"/>
      <c r="R12" s="21" t="n"/>
      <c r="S12" s="21" t="n"/>
    </row>
    <row r="13">
      <c r="A13" t="inlineStr">
        <is>
          <t>Go-live</t>
        </is>
      </c>
      <c r="B13" t="inlineStr">
        <is>
          <t>Karan Mehta</t>
        </is>
      </c>
      <c r="C13" s="17" t="n">
        <v>46183</v>
      </c>
      <c r="D13" s="17" t="n">
        <v>46184</v>
      </c>
      <c r="E13">
        <f>D13-C13+1</f>
        <v/>
      </c>
      <c r="H13" s="21" t="n"/>
      <c r="I13" s="21" t="n"/>
      <c r="J13" s="21" t="n"/>
      <c r="K13" s="21" t="n"/>
      <c r="L13" s="21" t="n"/>
      <c r="M13" s="21" t="n"/>
      <c r="N13" s="21" t="n"/>
      <c r="O13" s="21" t="n"/>
      <c r="P13" s="21" t="n"/>
      <c r="Q13" s="21" t="n"/>
      <c r="R13" s="21" t="n"/>
      <c r="S13" s="21" t="n"/>
    </row>
    <row r="14">
      <c r="A14" t="inlineStr">
        <is>
          <t>Hypercare support</t>
        </is>
      </c>
      <c r="B14" t="inlineStr">
        <is>
          <t>Sneha Kulkarni</t>
        </is>
      </c>
      <c r="C14" s="17" t="n">
        <v>46185</v>
      </c>
      <c r="D14" s="17" t="n">
        <v>46198</v>
      </c>
      <c r="E14">
        <f>D14-C14+1</f>
        <v/>
      </c>
      <c r="H14" s="21" t="n"/>
      <c r="I14" s="21" t="n"/>
      <c r="J14" s="21" t="n"/>
      <c r="K14" s="21" t="n"/>
      <c r="L14" s="21" t="n"/>
      <c r="M14" s="21" t="n"/>
      <c r="N14" s="21" t="n"/>
      <c r="O14" s="21" t="n"/>
      <c r="P14" s="21" t="n"/>
      <c r="Q14" s="21" t="n"/>
      <c r="R14" s="21" t="n"/>
      <c r="S14" s="21" t="n"/>
    </row>
    <row r="37">
      <c r="A37" s="6" t="inlineStr">
        <is>
          <t>CHALLENGE ANSWER: select H4:S4, Home &gt; Conditional Formatting &gt; New Rule &gt; Use a formula: =AND(TODAY()&gt;=H$4,TODAY()&lt;H$4+7), orange fill. The current week lights up.</t>
        </is>
      </c>
    </row>
  </sheetData>
  <conditionalFormatting sqref="H5:S14">
    <cfRule type="expression" priority="1" dxfId="0">
      <formula>AND(H$4&lt;=$D5,H$4+6&gt;=$C5)</formula>
    </cfRule>
  </conditionalFormatting>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2026-10-23T10:00:13Z</dcterms:created>
  <dcterms:modified xmlns:dcterms="http://purl.org/dc/terms/" xmlns:xsi="http://www.w3.org/2001/XMLSchema-instance" xsi:type="dcterms:W3CDTF">2026-10-23T10:00:13Z</dcterms:modified>
</cp:coreProperties>
</file>