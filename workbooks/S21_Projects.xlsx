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21-01" sheetId="2" state="visible" r:id="rId2"/>
    <sheet xmlns:r="http://schemas.openxmlformats.org/officeDocument/2006/relationships" name="S21-01 Done" sheetId="3" state="visible" r:id="rId3"/>
    <sheet xmlns:r="http://schemas.openxmlformats.org/officeDocument/2006/relationships" name="S21-02" sheetId="4" state="visible" r:id="rId4"/>
    <sheet xmlns:r="http://schemas.openxmlformats.org/officeDocument/2006/relationships" name="S21-02 Done" sheetId="5" state="visible" r:id="rId5"/>
    <sheet xmlns:r="http://schemas.openxmlformats.org/officeDocument/2006/relationships" name="S21-03" sheetId="6" state="visible" r:id="rId6"/>
    <sheet xmlns:r="http://schemas.openxmlformats.org/officeDocument/2006/relationships" name="S21-03 Done" sheetId="7" state="visible" r:id="rId7"/>
    <sheet xmlns:r="http://schemas.openxmlformats.org/officeDocument/2006/relationships" name="S21-04" sheetId="8" state="visible" r:id="rId8"/>
    <sheet xmlns:r="http://schemas.openxmlformats.org/officeDocument/2006/relationships" name="S21-04 Done" sheetId="9" state="visible" r:id="rId9"/>
    <sheet xmlns:r="http://schemas.openxmlformats.org/officeDocument/2006/relationships" name="S21-05" sheetId="10" state="visible" r:id="rId10"/>
    <sheet xmlns:r="http://schemas.openxmlformats.org/officeDocument/2006/relationships" name="S21-05 Do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-yyyy"/>
    <numFmt numFmtId="166" formatCode="dd-mm-yyyy"/>
    <numFmt numFmtId="167" formatCode="[&gt;=10000000]&quot;₹&quot;##\,##\,##\,##0;[&gt;=100000]&quot;₹&quot;##\,##\,##0;&quot;₹&quot;##,##0"/>
    <numFmt numFmtId="168" formatCode="&quot;₹&quot;#,##0;[Red]-&quot;₹&quot;#,##0"/>
    <numFmt numFmtId="169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b val="1"/>
      <sz val="13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0" borderId="0" pivotButton="0" quotePrefix="0" xfId="0"/>
    <xf numFmtId="0" fontId="4" fillId="0" borderId="0" pivotButton="0" quotePrefix="0" xfId="0"/>
    <xf numFmtId="165" fontId="0" fillId="3" borderId="0" pivotButton="0" quotePrefix="0" xfId="0"/>
    <xf numFmtId="0" fontId="3" fillId="2" borderId="0" pivotButton="0" quotePrefix="0" xfId="0"/>
    <xf numFmtId="167" fontId="0" fillId="0" borderId="0" pivotButton="0" quotePrefix="0" xfId="0"/>
    <xf numFmtId="167" fontId="0" fillId="3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167" fontId="4" fillId="0" borderId="0" pivotButton="0" quotePrefix="0" xfId="0"/>
    <xf numFmtId="168" fontId="0" fillId="3" borderId="0" pivotButton="0" quotePrefix="0" xfId="0"/>
    <xf numFmtId="169" fontId="0" fillId="3" borderId="0" pivotButton="0" quotePrefix="0" xfId="0"/>
    <xf numFmtId="168" fontId="4" fillId="0" borderId="0" pivotButton="0" quotePrefix="0" xfId="0"/>
    <xf numFmtId="169" fontId="4" fillId="0" borderId="0" pivotButton="0" quotePrefix="0" xfId="0"/>
    <xf numFmtId="1" fontId="0" fillId="3" borderId="0" pivotButton="0" quotePrefix="0" xfId="0"/>
    <xf numFmtId="17" fontId="0" fillId="0" borderId="0" pivotButton="0" quotePrefix="0" xfId="0"/>
    <xf numFmtId="0" fontId="4" fillId="4" borderId="0" pivotButton="0" quotePrefix="0" xfId="0"/>
    <xf numFmtId="9" fontId="0" fillId="3" borderId="0" pivotButton="0" quotePrefix="0" xfId="0"/>
    <xf numFmtId="0" fontId="7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'S21-04 Done'!K9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'S21-04 Done'!$J$10:$J$13</f>
            </numRef>
          </cat>
          <val>
            <numRef>
              <f>'S21-04 Done'!$K$10:$K$13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ISData" displayName="MISData" ref="A1:H151" headerRowCount="1">
  <autoFilter ref="A1:H151"/>
  <tableColumns count="8">
    <tableColumn id="1" name="Invoice No"/>
    <tableColumn id="2" name="Date"/>
    <tableColumn id="3" name="Region"/>
    <tableColumn id="4" name="State"/>
    <tableColumn id="5" name="Category"/>
    <tableColumn id="6" name="Sales exec"/>
    <tableColumn id="7" name="Qty"/>
    <tableColumn id="8" name="Net amount"/>
  </tableColumns>
  <tableStyleInfo name="TableStyleMedium2" showRowStripes="1"/>
</table>
</file>

<file path=xl/tables/table2.xml><?xml version="1.0" encoding="utf-8"?>
<table xmlns="http://schemas.openxmlformats.org/spreadsheetml/2006/main" id="2" name="MISDataDone" displayName="MISDataDone" ref="A1:H151" headerRowCount="1">
  <autoFilter ref="A1:H151"/>
  <tableColumns count="8">
    <tableColumn id="1" name="Invoice No"/>
    <tableColumn id="2" name="Date"/>
    <tableColumn id="3" name="Region"/>
    <tableColumn id="4" name="State"/>
    <tableColumn id="5" name="Category"/>
    <tableColumn id="6" name="Sales exec"/>
    <tableColumn id="7" name="Qty"/>
    <tableColumn id="8" name="Net 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22" customWidth="1" min="4" max="4"/>
  </cols>
  <sheetData>
    <row r="1">
      <c r="A1" s="1" t="inlineStr">
        <is>
          <t>S21: Projects and career</t>
        </is>
      </c>
    </row>
    <row r="2">
      <c r="A2" s="2" t="inlineStr">
        <is>
          <t>Excel Mastery for Mac. Project workbook. Yellow cells are for you to fill in.</t>
        </is>
      </c>
    </row>
    <row r="4">
      <c r="A4" s="3" t="inlineStr">
        <is>
          <t>Lesson</t>
        </is>
      </c>
      <c r="B4" s="3" t="inlineStr">
        <is>
          <t>Type</t>
        </is>
      </c>
      <c r="C4" s="3" t="inlineStr">
        <is>
          <t>Title</t>
        </is>
      </c>
      <c r="D4" s="3" t="inlineStr">
        <is>
          <t>Practice sheet</t>
        </is>
      </c>
    </row>
    <row r="5">
      <c r="A5" t="inlineStr">
        <is>
          <t>S21-01</t>
        </is>
      </c>
      <c r="B5" t="inlineStr">
        <is>
          <t>project</t>
        </is>
      </c>
      <c r="C5" t="inlineStr">
        <is>
          <t>Attendance and leave tracker</t>
        </is>
      </c>
      <c r="D5" t="inlineStr">
        <is>
          <t>S21-01</t>
        </is>
      </c>
    </row>
    <row r="6">
      <c r="A6" t="inlineStr">
        <is>
          <t>S21-02</t>
        </is>
      </c>
      <c r="B6" t="inlineStr">
        <is>
          <t>project</t>
        </is>
      </c>
      <c r="C6" t="inlineStr">
        <is>
          <t>Payroll with PF, ESI and TDS</t>
        </is>
      </c>
      <c r="D6" t="inlineStr">
        <is>
          <t>S21-02</t>
        </is>
      </c>
    </row>
    <row r="7">
      <c r="A7" t="inlineStr">
        <is>
          <t>S21-03</t>
        </is>
      </c>
      <c r="B7" t="inlineStr">
        <is>
          <t>project</t>
        </is>
      </c>
      <c r="C7" t="inlineStr">
        <is>
          <t>Budget vs actual for the financial year</t>
        </is>
      </c>
      <c r="D7" t="inlineStr">
        <is>
          <t>S21-03</t>
        </is>
      </c>
    </row>
    <row r="8">
      <c r="A8" t="inlineStr">
        <is>
          <t>S21-04</t>
        </is>
      </c>
      <c r="B8" t="inlineStr">
        <is>
          <t>project</t>
        </is>
      </c>
      <c r="C8" t="inlineStr">
        <is>
          <t>Sales MIS report with AI summary</t>
        </is>
      </c>
      <c r="D8" t="inlineStr">
        <is>
          <t>S21-04</t>
        </is>
      </c>
    </row>
    <row r="9">
      <c r="A9" t="inlineStr">
        <is>
          <t>S21-05</t>
        </is>
      </c>
      <c r="B9" t="inlineStr">
        <is>
          <t>project</t>
        </is>
      </c>
      <c r="C9" t="inlineStr">
        <is>
          <t>A simple three-statement financial model</t>
        </is>
      </c>
      <c r="D9" t="inlineStr">
        <is>
          <t>S21-05</t>
        </is>
      </c>
    </row>
    <row r="10">
      <c r="A10" t="inlineStr">
        <is>
          <t>S21-06</t>
        </is>
      </c>
      <c r="B10" t="inlineStr">
        <is>
          <t>concept</t>
        </is>
      </c>
      <c r="C10" t="inlineStr">
        <is>
          <t>Excel interview questions and answers</t>
        </is>
      </c>
      <c r="D10" t="inlineStr">
        <is>
          <t>(whiteboard lesson)</t>
        </is>
      </c>
    </row>
    <row r="13">
      <c r="A13" s="2" t="inlineStr">
        <is>
          <t>Payroll figures use simplified rules for teaching (see S21-02, cells P11:P16). Check current PF, ESI, professional tax and income-tax rules before using them for real salaries.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10" customWidth="1" min="5" max="5"/>
    <col width="9" customWidth="1" min="6" max="6"/>
    <col width="11" customWidth="1" min="7" max="7"/>
    <col width="8" customWidth="1" min="9" max="9"/>
    <col width="7" customWidth="1" min="10" max="10"/>
    <col width="12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Annual leave quota</t>
        </is>
      </c>
      <c r="E1" s="3" t="inlineStr">
        <is>
          <t>Leave taken (FY)</t>
        </is>
      </c>
      <c r="F1" s="3" t="inlineStr">
        <is>
          <t>Balance</t>
        </is>
      </c>
      <c r="G1" s="3" t="inlineStr">
        <is>
          <t>Leave in selected month</t>
        </is>
      </c>
      <c r="I1" s="3" t="inlineStr">
        <is>
          <t>Emp ID</t>
        </is>
      </c>
      <c r="J1" s="3" t="inlineStr">
        <is>
          <t>Leave type</t>
        </is>
      </c>
      <c r="K1" s="3" t="inlineStr">
        <is>
          <t>From</t>
        </is>
      </c>
      <c r="L1" s="3" t="inlineStr">
        <is>
          <t>To</t>
        </is>
      </c>
      <c r="M1" s="3" t="inlineStr">
        <is>
          <t>Working days</t>
        </is>
      </c>
      <c r="N1" s="3" t="inlineStr">
        <is>
          <t>Approved</t>
        </is>
      </c>
      <c r="P1" s="2" t="inlineStr">
        <is>
          <t>Scratch</t>
        </is>
      </c>
    </row>
    <row r="2">
      <c r="A2" t="inlineStr">
        <is>
          <t>E001</t>
        </is>
      </c>
      <c r="B2" t="inlineStr">
        <is>
          <t>Ravi Kumar</t>
        </is>
      </c>
      <c r="C2" t="inlineStr">
        <is>
          <t>Sales</t>
        </is>
      </c>
      <c r="D2" t="n">
        <v>24</v>
      </c>
      <c r="E2" s="4" t="n"/>
      <c r="F2" s="4" t="n"/>
      <c r="G2" s="4" t="n"/>
      <c r="I2" t="inlineStr">
        <is>
          <t>E001</t>
        </is>
      </c>
      <c r="J2" t="inlineStr">
        <is>
          <t>CL</t>
        </is>
      </c>
      <c r="K2" s="5" t="n">
        <v>46296</v>
      </c>
      <c r="L2" s="5" t="n">
        <v>46300</v>
      </c>
      <c r="M2" s="4" t="n"/>
      <c r="N2" t="b">
        <v>1</v>
      </c>
    </row>
    <row r="3">
      <c r="A3" t="inlineStr">
        <is>
          <t>E002</t>
        </is>
      </c>
      <c r="B3" t="inlineStr">
        <is>
          <t>Priya Nair</t>
        </is>
      </c>
      <c r="C3" t="inlineStr">
        <is>
          <t>Finance</t>
        </is>
      </c>
      <c r="D3" t="n">
        <v>24</v>
      </c>
      <c r="E3" s="4" t="n"/>
      <c r="F3" s="4" t="n"/>
      <c r="G3" s="4" t="n"/>
      <c r="I3" t="inlineStr">
        <is>
          <t>E002</t>
        </is>
      </c>
      <c r="J3" t="inlineStr">
        <is>
          <t>EL</t>
        </is>
      </c>
      <c r="K3" s="5" t="n">
        <v>46153</v>
      </c>
      <c r="L3" s="5" t="n">
        <v>46157</v>
      </c>
      <c r="M3" s="4" t="n"/>
      <c r="N3" t="b">
        <v>1</v>
      </c>
    </row>
    <row r="4">
      <c r="A4" t="inlineStr">
        <is>
          <t>E003</t>
        </is>
      </c>
      <c r="B4" t="inlineStr">
        <is>
          <t>Arjun Mehta</t>
        </is>
      </c>
      <c r="C4" t="inlineStr">
        <is>
          <t>Operations</t>
        </is>
      </c>
      <c r="D4" t="n">
        <v>24</v>
      </c>
      <c r="E4" s="4" t="n"/>
      <c r="F4" s="4" t="n"/>
      <c r="G4" s="4" t="n"/>
      <c r="I4" t="inlineStr">
        <is>
          <t>E003</t>
        </is>
      </c>
      <c r="J4" t="inlineStr">
        <is>
          <t>SL</t>
        </is>
      </c>
      <c r="K4" s="5" t="n">
        <v>46176</v>
      </c>
      <c r="L4" s="5" t="n">
        <v>46177</v>
      </c>
      <c r="M4" s="4" t="n"/>
      <c r="N4" t="b">
        <v>1</v>
      </c>
    </row>
    <row r="5">
      <c r="A5" t="inlineStr">
        <is>
          <t>E004</t>
        </is>
      </c>
      <c r="B5" t="inlineStr">
        <is>
          <t>Sneha Kulkarni</t>
        </is>
      </c>
      <c r="C5" t="inlineStr">
        <is>
          <t>HR</t>
        </is>
      </c>
      <c r="D5" t="n">
        <v>24</v>
      </c>
      <c r="E5" s="4" t="n"/>
      <c r="F5" s="4" t="n"/>
      <c r="G5" s="4" t="n"/>
      <c r="I5" t="inlineStr">
        <is>
          <t>E004</t>
        </is>
      </c>
      <c r="J5" t="inlineStr">
        <is>
          <t>EL</t>
        </is>
      </c>
      <c r="K5" s="5" t="n">
        <v>46139</v>
      </c>
      <c r="L5" s="5" t="n">
        <v>46148</v>
      </c>
      <c r="M5" s="4" t="n"/>
      <c r="N5" t="b">
        <v>1</v>
      </c>
    </row>
    <row r="6">
      <c r="A6" t="inlineStr">
        <is>
          <t>E005</t>
        </is>
      </c>
      <c r="B6" t="inlineStr">
        <is>
          <t>Vikram Singh</t>
        </is>
      </c>
      <c r="C6" t="inlineStr">
        <is>
          <t>Sales</t>
        </is>
      </c>
      <c r="D6" t="n">
        <v>24</v>
      </c>
      <c r="E6" s="4" t="n"/>
      <c r="F6" s="4" t="n"/>
      <c r="G6" s="4" t="n"/>
      <c r="I6" t="inlineStr">
        <is>
          <t>E005</t>
        </is>
      </c>
      <c r="J6" t="inlineStr">
        <is>
          <t>CL</t>
        </is>
      </c>
      <c r="K6" s="5" t="n">
        <v>46213</v>
      </c>
      <c r="L6" s="5" t="n">
        <v>46213</v>
      </c>
      <c r="M6" s="4" t="n"/>
      <c r="N6" t="b">
        <v>1</v>
      </c>
    </row>
    <row r="7">
      <c r="A7" t="inlineStr">
        <is>
          <t>E006</t>
        </is>
      </c>
      <c r="B7" t="inlineStr">
        <is>
          <t>Ananya Iyer</t>
        </is>
      </c>
      <c r="C7" t="inlineStr">
        <is>
          <t>IT</t>
        </is>
      </c>
      <c r="D7" t="n">
        <v>24</v>
      </c>
      <c r="E7" s="4" t="n"/>
      <c r="F7" s="4" t="n"/>
      <c r="G7" s="4" t="n"/>
      <c r="I7" t="inlineStr">
        <is>
          <t>E006</t>
        </is>
      </c>
      <c r="J7" t="inlineStr">
        <is>
          <t>EL</t>
        </is>
      </c>
      <c r="K7" s="5" t="n">
        <v>46244</v>
      </c>
      <c r="L7" s="5" t="n">
        <v>46255</v>
      </c>
      <c r="M7" s="4" t="n"/>
      <c r="N7" t="b">
        <v>1</v>
      </c>
    </row>
    <row r="8">
      <c r="A8" t="inlineStr">
        <is>
          <t>E007</t>
        </is>
      </c>
      <c r="B8" t="inlineStr">
        <is>
          <t>Mohammed Faizal</t>
        </is>
      </c>
      <c r="C8" t="inlineStr">
        <is>
          <t>Operations</t>
        </is>
      </c>
      <c r="D8" t="n">
        <v>18</v>
      </c>
      <c r="E8" s="4" t="n"/>
      <c r="F8" s="4" t="n"/>
      <c r="G8" s="4" t="n"/>
      <c r="I8" t="inlineStr">
        <is>
          <t>E007</t>
        </is>
      </c>
      <c r="J8" t="inlineStr">
        <is>
          <t>SL</t>
        </is>
      </c>
      <c r="K8" s="5" t="n">
        <v>46279</v>
      </c>
      <c r="L8" s="5" t="n">
        <v>46281</v>
      </c>
      <c r="M8" s="4" t="n"/>
      <c r="N8" t="b">
        <v>1</v>
      </c>
    </row>
    <row r="9">
      <c r="A9" t="inlineStr">
        <is>
          <t>E008</t>
        </is>
      </c>
      <c r="B9" t="inlineStr">
        <is>
          <t>Kavita Reddy</t>
        </is>
      </c>
      <c r="C9" t="inlineStr">
        <is>
          <t>Finance</t>
        </is>
      </c>
      <c r="D9" t="n">
        <v>24</v>
      </c>
      <c r="E9" s="4" t="n"/>
      <c r="F9" s="4" t="n"/>
      <c r="G9" s="4" t="n"/>
      <c r="I9" t="inlineStr">
        <is>
          <t>E008</t>
        </is>
      </c>
      <c r="J9" t="inlineStr">
        <is>
          <t>CL</t>
        </is>
      </c>
      <c r="K9" s="5" t="n">
        <v>46314</v>
      </c>
      <c r="L9" s="5" t="n">
        <v>46318</v>
      </c>
      <c r="M9" s="4" t="n"/>
      <c r="N9" t="b">
        <v>1</v>
      </c>
    </row>
    <row r="10">
      <c r="A10" t="inlineStr">
        <is>
          <t>E009</t>
        </is>
      </c>
      <c r="B10" t="inlineStr">
        <is>
          <t>Rahul Deshpande</t>
        </is>
      </c>
      <c r="C10" t="inlineStr">
        <is>
          <t>IT</t>
        </is>
      </c>
      <c r="D10" t="n">
        <v>18</v>
      </c>
      <c r="E10" s="4" t="n"/>
      <c r="F10" s="4" t="n"/>
      <c r="G10" s="4" t="n"/>
      <c r="I10" t="inlineStr">
        <is>
          <t>E009</t>
        </is>
      </c>
      <c r="J10" t="inlineStr">
        <is>
          <t>EL</t>
        </is>
      </c>
      <c r="K10" s="5" t="n">
        <v>46188</v>
      </c>
      <c r="L10" s="5" t="n">
        <v>46199</v>
      </c>
      <c r="M10" s="4" t="n"/>
      <c r="N10" t="b">
        <v>1</v>
      </c>
    </row>
    <row r="11">
      <c r="A11" t="inlineStr">
        <is>
          <t>E010</t>
        </is>
      </c>
      <c r="B11" t="inlineStr">
        <is>
          <t>Deepa Joshi</t>
        </is>
      </c>
      <c r="C11" t="inlineStr">
        <is>
          <t>HR</t>
        </is>
      </c>
      <c r="D11" t="n">
        <v>24</v>
      </c>
      <c r="E11" s="4" t="n"/>
      <c r="F11" s="4" t="n"/>
      <c r="G11" s="4" t="n"/>
      <c r="I11" t="inlineStr">
        <is>
          <t>E010</t>
        </is>
      </c>
      <c r="J11" t="inlineStr">
        <is>
          <t>CL</t>
        </is>
      </c>
      <c r="K11" s="5" t="n">
        <v>46307</v>
      </c>
      <c r="L11" s="5" t="n">
        <v>46308</v>
      </c>
      <c r="M11" s="4" t="n"/>
      <c r="N11" t="b">
        <v>0</v>
      </c>
    </row>
    <row r="12">
      <c r="I12" t="inlineStr">
        <is>
          <t>E001</t>
        </is>
      </c>
      <c r="J12" t="inlineStr">
        <is>
          <t>EL</t>
        </is>
      </c>
      <c r="K12" s="5" t="n">
        <v>46160</v>
      </c>
      <c r="L12" s="5" t="n">
        <v>46171</v>
      </c>
      <c r="M12" s="4" t="n"/>
      <c r="N12" t="b">
        <v>1</v>
      </c>
    </row>
    <row r="13">
      <c r="A13" s="6" t="inlineStr">
        <is>
          <t>Selected month</t>
        </is>
      </c>
      <c r="B13" s="7" t="n">
        <v>46296</v>
      </c>
      <c r="I13" t="inlineStr">
        <is>
          <t>E003</t>
        </is>
      </c>
      <c r="J13" t="inlineStr">
        <is>
          <t>EL</t>
        </is>
      </c>
      <c r="K13" s="5" t="n">
        <v>46321</v>
      </c>
      <c r="L13" s="5" t="n">
        <v>46325</v>
      </c>
      <c r="M13" s="4" t="n"/>
      <c r="N13" t="b">
        <v>1</v>
      </c>
    </row>
    <row r="14">
      <c r="I14" t="inlineStr">
        <is>
          <t>E005</t>
        </is>
      </c>
      <c r="J14" t="inlineStr">
        <is>
          <t>SL</t>
        </is>
      </c>
      <c r="K14" s="5" t="n">
        <v>46237</v>
      </c>
      <c r="L14" s="5" t="n">
        <v>46239</v>
      </c>
      <c r="M14" s="4" t="n"/>
      <c r="N14" t="b">
        <v>1</v>
      </c>
    </row>
    <row r="15">
      <c r="A15" s="3" t="inlineStr">
        <is>
          <t>Holiday date</t>
        </is>
      </c>
      <c r="B15" s="3" t="inlineStr">
        <is>
          <t>Holiday</t>
        </is>
      </c>
      <c r="I15" t="inlineStr">
        <is>
          <t>E006</t>
        </is>
      </c>
      <c r="J15" t="inlineStr">
        <is>
          <t>CL</t>
        </is>
      </c>
      <c r="K15" s="5" t="n">
        <v>46302</v>
      </c>
      <c r="L15" s="5" t="n">
        <v>46303</v>
      </c>
      <c r="M15" s="4" t="n"/>
      <c r="N15" t="b">
        <v>1</v>
      </c>
    </row>
    <row r="16">
      <c r="A16" s="5" t="n">
        <v>46143</v>
      </c>
      <c r="B16" t="inlineStr">
        <is>
          <t>Maharashtra Day</t>
        </is>
      </c>
      <c r="I16" t="inlineStr">
        <is>
          <t>E007</t>
        </is>
      </c>
      <c r="J16" t="inlineStr">
        <is>
          <t>EL</t>
        </is>
      </c>
      <c r="K16" s="5" t="n">
        <v>46125</v>
      </c>
      <c r="L16" s="5" t="n">
        <v>46136</v>
      </c>
      <c r="M16" s="4" t="n"/>
      <c r="N16" t="b">
        <v>1</v>
      </c>
    </row>
    <row r="17">
      <c r="A17" s="5" t="n">
        <v>46249</v>
      </c>
      <c r="B17" t="inlineStr">
        <is>
          <t>Independence Day</t>
        </is>
      </c>
      <c r="I17" t="inlineStr">
        <is>
          <t>E007</t>
        </is>
      </c>
      <c r="J17" t="inlineStr">
        <is>
          <t>CL</t>
        </is>
      </c>
      <c r="K17" s="5" t="n">
        <v>46309</v>
      </c>
      <c r="L17" s="5" t="n">
        <v>46311</v>
      </c>
      <c r="M17" s="4" t="n"/>
      <c r="N17" t="b">
        <v>1</v>
      </c>
    </row>
    <row r="18">
      <c r="A18" s="5" t="n">
        <v>46297</v>
      </c>
      <c r="B18" t="inlineStr">
        <is>
          <t>Gandhi Jayanti</t>
        </is>
      </c>
      <c r="I18" t="inlineStr">
        <is>
          <t>E009</t>
        </is>
      </c>
      <c r="J18" t="inlineStr">
        <is>
          <t>SL</t>
        </is>
      </c>
      <c r="K18" s="5" t="n">
        <v>46266</v>
      </c>
      <c r="L18" s="5" t="n">
        <v>46267</v>
      </c>
      <c r="M18" s="4" t="n"/>
      <c r="N18" t="b">
        <v>1</v>
      </c>
    </row>
    <row r="19">
      <c r="A19" s="5" t="n">
        <v>46315</v>
      </c>
      <c r="B19" t="inlineStr">
        <is>
          <t>Dussehra</t>
        </is>
      </c>
      <c r="I19" t="inlineStr">
        <is>
          <t>E002</t>
        </is>
      </c>
      <c r="J19" t="inlineStr">
        <is>
          <t>CL</t>
        </is>
      </c>
      <c r="K19" s="5" t="n">
        <v>46324</v>
      </c>
      <c r="L19" s="5" t="n">
        <v>46325</v>
      </c>
      <c r="M19" s="4" t="n"/>
      <c r="N19" t="b">
        <v>0</v>
      </c>
    </row>
    <row r="20">
      <c r="A20" s="5" t="n">
        <v>46381</v>
      </c>
      <c r="B20" t="inlineStr">
        <is>
          <t>Christmas</t>
        </is>
      </c>
      <c r="I20" t="inlineStr">
        <is>
          <t>E004</t>
        </is>
      </c>
      <c r="J20" t="inlineStr">
        <is>
          <t>SL</t>
        </is>
      </c>
      <c r="K20" s="5" t="n">
        <v>46223</v>
      </c>
      <c r="L20" s="5" t="n">
        <v>46224</v>
      </c>
      <c r="M20" s="4" t="n"/>
      <c r="N20" t="b">
        <v>1</v>
      </c>
    </row>
    <row r="21">
      <c r="A21" s="5" t="n">
        <v>46413</v>
      </c>
      <c r="B21" t="inlineStr">
        <is>
          <t>Republic Day</t>
        </is>
      </c>
      <c r="I21" t="inlineStr">
        <is>
          <t>E009</t>
        </is>
      </c>
      <c r="J21" t="inlineStr">
        <is>
          <t>CL</t>
        </is>
      </c>
      <c r="K21" s="5" t="n">
        <v>46247</v>
      </c>
      <c r="L21" s="5" t="n">
        <v>46251</v>
      </c>
      <c r="M21" s="4" t="n"/>
      <c r="N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10" customWidth="1" min="5" max="5"/>
    <col width="9" customWidth="1" min="6" max="6"/>
    <col width="11" customWidth="1" min="7" max="7"/>
    <col width="8" customWidth="1" min="9" max="9"/>
    <col width="7" customWidth="1" min="10" max="10"/>
    <col width="12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Annual leave quota</t>
        </is>
      </c>
      <c r="E1" s="3" t="inlineStr">
        <is>
          <t>Leave taken (FY)</t>
        </is>
      </c>
      <c r="F1" s="3" t="inlineStr">
        <is>
          <t>Balance</t>
        </is>
      </c>
      <c r="G1" s="3" t="inlineStr">
        <is>
          <t>Leave in selected month</t>
        </is>
      </c>
      <c r="I1" s="3" t="inlineStr">
        <is>
          <t>Emp ID</t>
        </is>
      </c>
      <c r="J1" s="3" t="inlineStr">
        <is>
          <t>Leave type</t>
        </is>
      </c>
      <c r="K1" s="3" t="inlineStr">
        <is>
          <t>From</t>
        </is>
      </c>
      <c r="L1" s="3" t="inlineStr">
        <is>
          <t>To</t>
        </is>
      </c>
      <c r="M1" s="3" t="inlineStr">
        <is>
          <t>Working days</t>
        </is>
      </c>
      <c r="N1" s="3" t="inlineStr">
        <is>
          <t>Approved</t>
        </is>
      </c>
      <c r="O1" s="8" t="inlineStr">
        <is>
          <t>Days (6-day week)</t>
        </is>
      </c>
      <c r="P1" s="2" t="inlineStr">
        <is>
          <t>Scratch</t>
        </is>
      </c>
    </row>
    <row r="2">
      <c r="A2" t="inlineStr">
        <is>
          <t>E001</t>
        </is>
      </c>
      <c r="B2" t="inlineStr">
        <is>
          <t>Ravi Kumar</t>
        </is>
      </c>
      <c r="C2" t="inlineStr">
        <is>
          <t>Sales</t>
        </is>
      </c>
      <c r="D2" t="n">
        <v>24</v>
      </c>
      <c r="E2" s="4">
        <f>SUMIFS($M$2:$M$21,$I$2:$I$21,A2,$N$2:$N$21,TRUE)</f>
        <v/>
      </c>
      <c r="F2" s="4">
        <f>D2-E2</f>
        <v/>
      </c>
      <c r="G2" s="4">
        <f>SUMIFS($M$2:$M$21,$I$2:$I$21,A2,$N$2:$N$21,TRUE,$K$2:$K$21,"&gt;="&amp;$B$13,$K$2:$K$21,"&lt;="&amp;EOMONTH($B$13,0))</f>
        <v/>
      </c>
      <c r="I2" t="inlineStr">
        <is>
          <t>E001</t>
        </is>
      </c>
      <c r="J2" t="inlineStr">
        <is>
          <t>CL</t>
        </is>
      </c>
      <c r="K2" s="5" t="n">
        <v>46296</v>
      </c>
      <c r="L2" s="5" t="n">
        <v>46300</v>
      </c>
      <c r="M2" s="4">
        <f>NETWORKDAYS(K2,L2,$A$16:$A$21)</f>
        <v/>
      </c>
      <c r="N2" t="b">
        <v>1</v>
      </c>
      <c r="O2">
        <f>NETWORKDAYS.INTL(K2,L2,11,$A$16:$A$21)</f>
        <v/>
      </c>
    </row>
    <row r="3">
      <c r="A3" t="inlineStr">
        <is>
          <t>E002</t>
        </is>
      </c>
      <c r="B3" t="inlineStr">
        <is>
          <t>Priya Nair</t>
        </is>
      </c>
      <c r="C3" t="inlineStr">
        <is>
          <t>Finance</t>
        </is>
      </c>
      <c r="D3" t="n">
        <v>24</v>
      </c>
      <c r="E3" s="4">
        <f>SUMIFS($M$2:$M$21,$I$2:$I$21,A3,$N$2:$N$21,TRUE)</f>
        <v/>
      </c>
      <c r="F3" s="4">
        <f>D3-E3</f>
        <v/>
      </c>
      <c r="G3" s="4">
        <f>SUMIFS($M$2:$M$21,$I$2:$I$21,A3,$N$2:$N$21,TRUE,$K$2:$K$21,"&gt;="&amp;$B$13,$K$2:$K$21,"&lt;="&amp;EOMONTH($B$13,0))</f>
        <v/>
      </c>
      <c r="I3" t="inlineStr">
        <is>
          <t>E002</t>
        </is>
      </c>
      <c r="J3" t="inlineStr">
        <is>
          <t>EL</t>
        </is>
      </c>
      <c r="K3" s="5" t="n">
        <v>46153</v>
      </c>
      <c r="L3" s="5" t="n">
        <v>46157</v>
      </c>
      <c r="M3" s="4">
        <f>NETWORKDAYS(K3,L3,$A$16:$A$21)</f>
        <v/>
      </c>
      <c r="N3" t="b">
        <v>1</v>
      </c>
      <c r="O3">
        <f>NETWORKDAYS.INTL(K3,L3,11,$A$16:$A$21)</f>
        <v/>
      </c>
    </row>
    <row r="4">
      <c r="A4" t="inlineStr">
        <is>
          <t>E003</t>
        </is>
      </c>
      <c r="B4" t="inlineStr">
        <is>
          <t>Arjun Mehta</t>
        </is>
      </c>
      <c r="C4" t="inlineStr">
        <is>
          <t>Operations</t>
        </is>
      </c>
      <c r="D4" t="n">
        <v>24</v>
      </c>
      <c r="E4" s="4">
        <f>SUMIFS($M$2:$M$21,$I$2:$I$21,A4,$N$2:$N$21,TRUE)</f>
        <v/>
      </c>
      <c r="F4" s="4">
        <f>D4-E4</f>
        <v/>
      </c>
      <c r="G4" s="4">
        <f>SUMIFS($M$2:$M$21,$I$2:$I$21,A4,$N$2:$N$21,TRUE,$K$2:$K$21,"&gt;="&amp;$B$13,$K$2:$K$21,"&lt;="&amp;EOMONTH($B$13,0))</f>
        <v/>
      </c>
      <c r="I4" t="inlineStr">
        <is>
          <t>E003</t>
        </is>
      </c>
      <c r="J4" t="inlineStr">
        <is>
          <t>SL</t>
        </is>
      </c>
      <c r="K4" s="5" t="n">
        <v>46176</v>
      </c>
      <c r="L4" s="5" t="n">
        <v>46177</v>
      </c>
      <c r="M4" s="4">
        <f>NETWORKDAYS(K4,L4,$A$16:$A$21)</f>
        <v/>
      </c>
      <c r="N4" t="b">
        <v>1</v>
      </c>
      <c r="O4">
        <f>NETWORKDAYS.INTL(K4,L4,11,$A$16:$A$21)</f>
        <v/>
      </c>
    </row>
    <row r="5">
      <c r="A5" t="inlineStr">
        <is>
          <t>E004</t>
        </is>
      </c>
      <c r="B5" t="inlineStr">
        <is>
          <t>Sneha Kulkarni</t>
        </is>
      </c>
      <c r="C5" t="inlineStr">
        <is>
          <t>HR</t>
        </is>
      </c>
      <c r="D5" t="n">
        <v>24</v>
      </c>
      <c r="E5" s="4">
        <f>SUMIFS($M$2:$M$21,$I$2:$I$21,A5,$N$2:$N$21,TRUE)</f>
        <v/>
      </c>
      <c r="F5" s="4">
        <f>D5-E5</f>
        <v/>
      </c>
      <c r="G5" s="4">
        <f>SUMIFS($M$2:$M$21,$I$2:$I$21,A5,$N$2:$N$21,TRUE,$K$2:$K$21,"&gt;="&amp;$B$13,$K$2:$K$21,"&lt;="&amp;EOMONTH($B$13,0))</f>
        <v/>
      </c>
      <c r="I5" t="inlineStr">
        <is>
          <t>E004</t>
        </is>
      </c>
      <c r="J5" t="inlineStr">
        <is>
          <t>EL</t>
        </is>
      </c>
      <c r="K5" s="5" t="n">
        <v>46139</v>
      </c>
      <c r="L5" s="5" t="n">
        <v>46148</v>
      </c>
      <c r="M5" s="4">
        <f>NETWORKDAYS(K5,L5,$A$16:$A$21)</f>
        <v/>
      </c>
      <c r="N5" t="b">
        <v>1</v>
      </c>
      <c r="O5">
        <f>NETWORKDAYS.INTL(K5,L5,11,$A$16:$A$21)</f>
        <v/>
      </c>
    </row>
    <row r="6">
      <c r="A6" t="inlineStr">
        <is>
          <t>E005</t>
        </is>
      </c>
      <c r="B6" t="inlineStr">
        <is>
          <t>Vikram Singh</t>
        </is>
      </c>
      <c r="C6" t="inlineStr">
        <is>
          <t>Sales</t>
        </is>
      </c>
      <c r="D6" t="n">
        <v>24</v>
      </c>
      <c r="E6" s="4">
        <f>SUMIFS($M$2:$M$21,$I$2:$I$21,A6,$N$2:$N$21,TRUE)</f>
        <v/>
      </c>
      <c r="F6" s="4">
        <f>D6-E6</f>
        <v/>
      </c>
      <c r="G6" s="4">
        <f>SUMIFS($M$2:$M$21,$I$2:$I$21,A6,$N$2:$N$21,TRUE,$K$2:$K$21,"&gt;="&amp;$B$13,$K$2:$K$21,"&lt;="&amp;EOMONTH($B$13,0))</f>
        <v/>
      </c>
      <c r="I6" t="inlineStr">
        <is>
          <t>E005</t>
        </is>
      </c>
      <c r="J6" t="inlineStr">
        <is>
          <t>CL</t>
        </is>
      </c>
      <c r="K6" s="5" t="n">
        <v>46213</v>
      </c>
      <c r="L6" s="5" t="n">
        <v>46213</v>
      </c>
      <c r="M6" s="4">
        <f>NETWORKDAYS(K6,L6,$A$16:$A$21)</f>
        <v/>
      </c>
      <c r="N6" t="b">
        <v>1</v>
      </c>
      <c r="O6">
        <f>NETWORKDAYS.INTL(K6,L6,11,$A$16:$A$21)</f>
        <v/>
      </c>
    </row>
    <row r="7">
      <c r="A7" t="inlineStr">
        <is>
          <t>E006</t>
        </is>
      </c>
      <c r="B7" t="inlineStr">
        <is>
          <t>Ananya Iyer</t>
        </is>
      </c>
      <c r="C7" t="inlineStr">
        <is>
          <t>IT</t>
        </is>
      </c>
      <c r="D7" t="n">
        <v>24</v>
      </c>
      <c r="E7" s="4">
        <f>SUMIFS($M$2:$M$21,$I$2:$I$21,A7,$N$2:$N$21,TRUE)</f>
        <v/>
      </c>
      <c r="F7" s="4">
        <f>D7-E7</f>
        <v/>
      </c>
      <c r="G7" s="4">
        <f>SUMIFS($M$2:$M$21,$I$2:$I$21,A7,$N$2:$N$21,TRUE,$K$2:$K$21,"&gt;="&amp;$B$13,$K$2:$K$21,"&lt;="&amp;EOMONTH($B$13,0))</f>
        <v/>
      </c>
      <c r="I7" t="inlineStr">
        <is>
          <t>E006</t>
        </is>
      </c>
      <c r="J7" t="inlineStr">
        <is>
          <t>EL</t>
        </is>
      </c>
      <c r="K7" s="5" t="n">
        <v>46244</v>
      </c>
      <c r="L7" s="5" t="n">
        <v>46255</v>
      </c>
      <c r="M7" s="4">
        <f>NETWORKDAYS(K7,L7,$A$16:$A$21)</f>
        <v/>
      </c>
      <c r="N7" t="b">
        <v>1</v>
      </c>
      <c r="O7">
        <f>NETWORKDAYS.INTL(K7,L7,11,$A$16:$A$21)</f>
        <v/>
      </c>
    </row>
    <row r="8">
      <c r="A8" t="inlineStr">
        <is>
          <t>E007</t>
        </is>
      </c>
      <c r="B8" t="inlineStr">
        <is>
          <t>Mohammed Faizal</t>
        </is>
      </c>
      <c r="C8" t="inlineStr">
        <is>
          <t>Operations</t>
        </is>
      </c>
      <c r="D8" t="n">
        <v>18</v>
      </c>
      <c r="E8" s="4">
        <f>SUMIFS($M$2:$M$21,$I$2:$I$21,A8,$N$2:$N$21,TRUE)</f>
        <v/>
      </c>
      <c r="F8" s="4">
        <f>D8-E8</f>
        <v/>
      </c>
      <c r="G8" s="4">
        <f>SUMIFS($M$2:$M$21,$I$2:$I$21,A8,$N$2:$N$21,TRUE,$K$2:$K$21,"&gt;="&amp;$B$13,$K$2:$K$21,"&lt;="&amp;EOMONTH($B$13,0))</f>
        <v/>
      </c>
      <c r="I8" t="inlineStr">
        <is>
          <t>E007</t>
        </is>
      </c>
      <c r="J8" t="inlineStr">
        <is>
          <t>SL</t>
        </is>
      </c>
      <c r="K8" s="5" t="n">
        <v>46279</v>
      </c>
      <c r="L8" s="5" t="n">
        <v>46281</v>
      </c>
      <c r="M8" s="4">
        <f>NETWORKDAYS(K8,L8,$A$16:$A$21)</f>
        <v/>
      </c>
      <c r="N8" t="b">
        <v>1</v>
      </c>
      <c r="O8">
        <f>NETWORKDAYS.INTL(K8,L8,11,$A$16:$A$21)</f>
        <v/>
      </c>
    </row>
    <row r="9">
      <c r="A9" t="inlineStr">
        <is>
          <t>E008</t>
        </is>
      </c>
      <c r="B9" t="inlineStr">
        <is>
          <t>Kavita Reddy</t>
        </is>
      </c>
      <c r="C9" t="inlineStr">
        <is>
          <t>Finance</t>
        </is>
      </c>
      <c r="D9" t="n">
        <v>24</v>
      </c>
      <c r="E9" s="4">
        <f>SUMIFS($M$2:$M$21,$I$2:$I$21,A9,$N$2:$N$21,TRUE)</f>
        <v/>
      </c>
      <c r="F9" s="4">
        <f>D9-E9</f>
        <v/>
      </c>
      <c r="G9" s="4">
        <f>SUMIFS($M$2:$M$21,$I$2:$I$21,A9,$N$2:$N$21,TRUE,$K$2:$K$21,"&gt;="&amp;$B$13,$K$2:$K$21,"&lt;="&amp;EOMONTH($B$13,0))</f>
        <v/>
      </c>
      <c r="I9" t="inlineStr">
        <is>
          <t>E008</t>
        </is>
      </c>
      <c r="J9" t="inlineStr">
        <is>
          <t>CL</t>
        </is>
      </c>
      <c r="K9" s="5" t="n">
        <v>46314</v>
      </c>
      <c r="L9" s="5" t="n">
        <v>46318</v>
      </c>
      <c r="M9" s="4">
        <f>NETWORKDAYS(K9,L9,$A$16:$A$21)</f>
        <v/>
      </c>
      <c r="N9" t="b">
        <v>1</v>
      </c>
      <c r="O9">
        <f>NETWORKDAYS.INTL(K9,L9,11,$A$16:$A$21)</f>
        <v/>
      </c>
    </row>
    <row r="10">
      <c r="A10" t="inlineStr">
        <is>
          <t>E009</t>
        </is>
      </c>
      <c r="B10" t="inlineStr">
        <is>
          <t>Rahul Deshpande</t>
        </is>
      </c>
      <c r="C10" t="inlineStr">
        <is>
          <t>IT</t>
        </is>
      </c>
      <c r="D10" t="n">
        <v>18</v>
      </c>
      <c r="E10" s="4">
        <f>SUMIFS($M$2:$M$21,$I$2:$I$21,A10,$N$2:$N$21,TRUE)</f>
        <v/>
      </c>
      <c r="F10" s="4">
        <f>D10-E10</f>
        <v/>
      </c>
      <c r="G10" s="4">
        <f>SUMIFS($M$2:$M$21,$I$2:$I$21,A10,$N$2:$N$21,TRUE,$K$2:$K$21,"&gt;="&amp;$B$13,$K$2:$K$21,"&lt;="&amp;EOMONTH($B$13,0))</f>
        <v/>
      </c>
      <c r="I10" t="inlineStr">
        <is>
          <t>E009</t>
        </is>
      </c>
      <c r="J10" t="inlineStr">
        <is>
          <t>EL</t>
        </is>
      </c>
      <c r="K10" s="5" t="n">
        <v>46188</v>
      </c>
      <c r="L10" s="5" t="n">
        <v>46199</v>
      </c>
      <c r="M10" s="4">
        <f>NETWORKDAYS(K10,L10,$A$16:$A$21)</f>
        <v/>
      </c>
      <c r="N10" t="b">
        <v>1</v>
      </c>
      <c r="O10">
        <f>NETWORKDAYS.INTL(K10,L10,11,$A$16:$A$21)</f>
        <v/>
      </c>
    </row>
    <row r="11">
      <c r="A11" t="inlineStr">
        <is>
          <t>E010</t>
        </is>
      </c>
      <c r="B11" t="inlineStr">
        <is>
          <t>Deepa Joshi</t>
        </is>
      </c>
      <c r="C11" t="inlineStr">
        <is>
          <t>HR</t>
        </is>
      </c>
      <c r="D11" t="n">
        <v>24</v>
      </c>
      <c r="E11" s="4">
        <f>SUMIFS($M$2:$M$21,$I$2:$I$21,A11,$N$2:$N$21,TRUE)</f>
        <v/>
      </c>
      <c r="F11" s="4">
        <f>D11-E11</f>
        <v/>
      </c>
      <c r="G11" s="4">
        <f>SUMIFS($M$2:$M$21,$I$2:$I$21,A11,$N$2:$N$21,TRUE,$K$2:$K$21,"&gt;="&amp;$B$13,$K$2:$K$21,"&lt;="&amp;EOMONTH($B$13,0))</f>
        <v/>
      </c>
      <c r="I11" t="inlineStr">
        <is>
          <t>E010</t>
        </is>
      </c>
      <c r="J11" t="inlineStr">
        <is>
          <t>CL</t>
        </is>
      </c>
      <c r="K11" s="5" t="n">
        <v>46307</v>
      </c>
      <c r="L11" s="5" t="n">
        <v>46308</v>
      </c>
      <c r="M11" s="4">
        <f>NETWORKDAYS(K11,L11,$A$16:$A$21)</f>
        <v/>
      </c>
      <c r="N11" t="b">
        <v>0</v>
      </c>
      <c r="O11">
        <f>NETWORKDAYS.INTL(K11,L11,11,$A$16:$A$21)</f>
        <v/>
      </c>
    </row>
    <row r="12">
      <c r="I12" t="inlineStr">
        <is>
          <t>E001</t>
        </is>
      </c>
      <c r="J12" t="inlineStr">
        <is>
          <t>EL</t>
        </is>
      </c>
      <c r="K12" s="5" t="n">
        <v>46160</v>
      </c>
      <c r="L12" s="5" t="n">
        <v>46171</v>
      </c>
      <c r="M12" s="4">
        <f>NETWORKDAYS(K12,L12,$A$16:$A$21)</f>
        <v/>
      </c>
      <c r="N12" t="b">
        <v>1</v>
      </c>
      <c r="O12">
        <f>NETWORKDAYS.INTL(K12,L12,11,$A$16:$A$21)</f>
        <v/>
      </c>
    </row>
    <row r="13">
      <c r="A13" s="6" t="inlineStr">
        <is>
          <t>Selected month</t>
        </is>
      </c>
      <c r="B13" s="7" t="n">
        <v>46296</v>
      </c>
      <c r="I13" t="inlineStr">
        <is>
          <t>E003</t>
        </is>
      </c>
      <c r="J13" t="inlineStr">
        <is>
          <t>EL</t>
        </is>
      </c>
      <c r="K13" s="5" t="n">
        <v>46321</v>
      </c>
      <c r="L13" s="5" t="n">
        <v>46325</v>
      </c>
      <c r="M13" s="4">
        <f>NETWORKDAYS(K13,L13,$A$16:$A$21)</f>
        <v/>
      </c>
      <c r="N13" t="b">
        <v>1</v>
      </c>
      <c r="O13">
        <f>NETWORKDAYS.INTL(K13,L13,11,$A$16:$A$21)</f>
        <v/>
      </c>
    </row>
    <row r="14">
      <c r="I14" t="inlineStr">
        <is>
          <t>E005</t>
        </is>
      </c>
      <c r="J14" t="inlineStr">
        <is>
          <t>SL</t>
        </is>
      </c>
      <c r="K14" s="5" t="n">
        <v>46237</v>
      </c>
      <c r="L14" s="5" t="n">
        <v>46239</v>
      </c>
      <c r="M14" s="4">
        <f>NETWORKDAYS(K14,L14,$A$16:$A$21)</f>
        <v/>
      </c>
      <c r="N14" t="b">
        <v>1</v>
      </c>
      <c r="O14">
        <f>NETWORKDAYS.INTL(K14,L14,11,$A$16:$A$21)</f>
        <v/>
      </c>
    </row>
    <row r="15">
      <c r="A15" s="3" t="inlineStr">
        <is>
          <t>Holiday date</t>
        </is>
      </c>
      <c r="B15" s="3" t="inlineStr">
        <is>
          <t>Holiday</t>
        </is>
      </c>
      <c r="I15" t="inlineStr">
        <is>
          <t>E006</t>
        </is>
      </c>
      <c r="J15" t="inlineStr">
        <is>
          <t>CL</t>
        </is>
      </c>
      <c r="K15" s="5" t="n">
        <v>46302</v>
      </c>
      <c r="L15" s="5" t="n">
        <v>46303</v>
      </c>
      <c r="M15" s="4">
        <f>NETWORKDAYS(K15,L15,$A$16:$A$21)</f>
        <v/>
      </c>
      <c r="N15" t="b">
        <v>1</v>
      </c>
      <c r="O15">
        <f>NETWORKDAYS.INTL(K15,L15,11,$A$16:$A$21)</f>
        <v/>
      </c>
    </row>
    <row r="16">
      <c r="A16" s="5" t="n">
        <v>46143</v>
      </c>
      <c r="B16" t="inlineStr">
        <is>
          <t>Maharashtra Day</t>
        </is>
      </c>
      <c r="I16" t="inlineStr">
        <is>
          <t>E007</t>
        </is>
      </c>
      <c r="J16" t="inlineStr">
        <is>
          <t>EL</t>
        </is>
      </c>
      <c r="K16" s="5" t="n">
        <v>46125</v>
      </c>
      <c r="L16" s="5" t="n">
        <v>46136</v>
      </c>
      <c r="M16" s="4">
        <f>NETWORKDAYS(K16,L16,$A$16:$A$21)</f>
        <v/>
      </c>
      <c r="N16" t="b">
        <v>1</v>
      </c>
      <c r="O16">
        <f>NETWORKDAYS.INTL(K16,L16,11,$A$16:$A$21)</f>
        <v/>
      </c>
    </row>
    <row r="17">
      <c r="A17" s="5" t="n">
        <v>46249</v>
      </c>
      <c r="B17" t="inlineStr">
        <is>
          <t>Independence Day</t>
        </is>
      </c>
      <c r="I17" t="inlineStr">
        <is>
          <t>E007</t>
        </is>
      </c>
      <c r="J17" t="inlineStr">
        <is>
          <t>CL</t>
        </is>
      </c>
      <c r="K17" s="5" t="n">
        <v>46309</v>
      </c>
      <c r="L17" s="5" t="n">
        <v>46311</v>
      </c>
      <c r="M17" s="4">
        <f>NETWORKDAYS(K17,L17,$A$16:$A$21)</f>
        <v/>
      </c>
      <c r="N17" t="b">
        <v>1</v>
      </c>
      <c r="O17">
        <f>NETWORKDAYS.INTL(K17,L17,11,$A$16:$A$21)</f>
        <v/>
      </c>
    </row>
    <row r="18">
      <c r="A18" s="5" t="n">
        <v>46297</v>
      </c>
      <c r="B18" t="inlineStr">
        <is>
          <t>Gandhi Jayanti</t>
        </is>
      </c>
      <c r="I18" t="inlineStr">
        <is>
          <t>E009</t>
        </is>
      </c>
      <c r="J18" t="inlineStr">
        <is>
          <t>SL</t>
        </is>
      </c>
      <c r="K18" s="5" t="n">
        <v>46266</v>
      </c>
      <c r="L18" s="5" t="n">
        <v>46267</v>
      </c>
      <c r="M18" s="4">
        <f>NETWORKDAYS(K18,L18,$A$16:$A$21)</f>
        <v/>
      </c>
      <c r="N18" t="b">
        <v>1</v>
      </c>
      <c r="O18">
        <f>NETWORKDAYS.INTL(K18,L18,11,$A$16:$A$21)</f>
        <v/>
      </c>
    </row>
    <row r="19">
      <c r="A19" s="5" t="n">
        <v>46315</v>
      </c>
      <c r="B19" t="inlineStr">
        <is>
          <t>Dussehra</t>
        </is>
      </c>
      <c r="I19" t="inlineStr">
        <is>
          <t>E002</t>
        </is>
      </c>
      <c r="J19" t="inlineStr">
        <is>
          <t>CL</t>
        </is>
      </c>
      <c r="K19" s="5" t="n">
        <v>46324</v>
      </c>
      <c r="L19" s="5" t="n">
        <v>46325</v>
      </c>
      <c r="M19" s="4">
        <f>NETWORKDAYS(K19,L19,$A$16:$A$21)</f>
        <v/>
      </c>
      <c r="N19" t="b">
        <v>0</v>
      </c>
      <c r="O19">
        <f>NETWORKDAYS.INTL(K19,L19,11,$A$16:$A$21)</f>
        <v/>
      </c>
    </row>
    <row r="20">
      <c r="A20" s="5" t="n">
        <v>46381</v>
      </c>
      <c r="B20" t="inlineStr">
        <is>
          <t>Christmas</t>
        </is>
      </c>
      <c r="I20" t="inlineStr">
        <is>
          <t>E004</t>
        </is>
      </c>
      <c r="J20" t="inlineStr">
        <is>
          <t>SL</t>
        </is>
      </c>
      <c r="K20" s="5" t="n">
        <v>46223</v>
      </c>
      <c r="L20" s="5" t="n">
        <v>46224</v>
      </c>
      <c r="M20" s="4">
        <f>NETWORKDAYS(K20,L20,$A$16:$A$21)</f>
        <v/>
      </c>
      <c r="N20" t="b">
        <v>1</v>
      </c>
      <c r="O20">
        <f>NETWORKDAYS.INTL(K20,L20,11,$A$16:$A$21)</f>
        <v/>
      </c>
    </row>
    <row r="21">
      <c r="A21" s="5" t="n">
        <v>46413</v>
      </c>
      <c r="B21" t="inlineStr">
        <is>
          <t>Republic Day</t>
        </is>
      </c>
      <c r="I21" t="inlineStr">
        <is>
          <t>E009</t>
        </is>
      </c>
      <c r="J21" t="inlineStr">
        <is>
          <t>CL</t>
        </is>
      </c>
      <c r="K21" s="5" t="n">
        <v>46247</v>
      </c>
      <c r="L21" s="5" t="n">
        <v>46251</v>
      </c>
      <c r="M21" s="4">
        <f>NETWORKDAYS(K21,L21,$A$16:$A$21)</f>
        <v/>
      </c>
      <c r="N21" t="b">
        <v>1</v>
      </c>
      <c r="O21">
        <f>NETWORKDAYS.INTL(K21,L21,11,$A$16:$A$21)</f>
        <v/>
      </c>
    </row>
    <row r="23">
      <c r="I23" s="2" t="inlineStr">
        <is>
          <t>Column N becomes checkboxes with Insert &gt; Checkbox (TRUE = ticked).</t>
        </is>
      </c>
    </row>
  </sheetData>
  <conditionalFormatting sqref="F2:F11">
    <cfRule type="cellIs" priority="1" operator="lessThan" dxfId="0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6" max="16"/>
    <col width="7" customWidth="1" min="17" max="17"/>
    <col width="8" customWidth="1" min="18" max="18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Basic</t>
        </is>
      </c>
      <c r="D1" s="3" t="inlineStr">
        <is>
          <t>HRA</t>
        </is>
      </c>
      <c r="E1" s="3" t="inlineStr">
        <is>
          <t>Special allowance</t>
        </is>
      </c>
      <c r="F1" s="3" t="inlineStr">
        <is>
          <t>Gross</t>
        </is>
      </c>
      <c r="G1" s="3" t="inlineStr">
        <is>
          <t>PF (employee)</t>
        </is>
      </c>
      <c r="H1" s="3" t="inlineStr">
        <is>
          <t>ESI (employee)</t>
        </is>
      </c>
      <c r="I1" s="3" t="inlineStr">
        <is>
          <t>Professional tax</t>
        </is>
      </c>
      <c r="J1" s="3" t="inlineStr">
        <is>
          <t>Annual taxable income</t>
        </is>
      </c>
      <c r="K1" s="3" t="inlineStr">
        <is>
          <t>TDS per month</t>
        </is>
      </c>
      <c r="L1" s="3" t="inlineStr">
        <is>
          <t>Net pay</t>
        </is>
      </c>
      <c r="M1" s="3" t="inlineStr">
        <is>
          <t>Employer PF</t>
        </is>
      </c>
      <c r="N1" s="3" t="inlineStr">
        <is>
          <t>Employer ESI</t>
        </is>
      </c>
      <c r="P1" s="3" t="inlineStr">
        <is>
          <t>Slab from (₹)</t>
        </is>
      </c>
      <c r="Q1" s="3" t="inlineStr">
        <is>
          <t>Rate</t>
        </is>
      </c>
      <c r="R1" s="3" t="inlineStr">
        <is>
          <t>Extra rate</t>
        </is>
      </c>
    </row>
    <row r="2">
      <c r="A2" t="inlineStr">
        <is>
          <t>E001</t>
        </is>
      </c>
      <c r="B2" t="inlineStr">
        <is>
          <t>Ravi Kumar</t>
        </is>
      </c>
      <c r="C2" s="9" t="n">
        <v>12000</v>
      </c>
      <c r="D2" s="9" t="n">
        <v>4800</v>
      </c>
      <c r="E2" s="9" t="n">
        <v>2500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P2" s="9" t="n">
        <v>0</v>
      </c>
      <c r="Q2" s="11" t="n">
        <v>0</v>
      </c>
      <c r="R2" s="11" t="n">
        <v>0</v>
      </c>
    </row>
    <row r="3">
      <c r="A3" t="inlineStr">
        <is>
          <t>E002</t>
        </is>
      </c>
      <c r="B3" t="inlineStr">
        <is>
          <t>Priya Nair</t>
        </is>
      </c>
      <c r="C3" s="9" t="n">
        <v>14500</v>
      </c>
      <c r="D3" s="9" t="n">
        <v>5800</v>
      </c>
      <c r="E3" s="9" t="n">
        <v>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P3" s="9" t="n">
        <v>400000</v>
      </c>
      <c r="Q3" s="11" t="n">
        <v>0.05</v>
      </c>
      <c r="R3" s="11" t="n">
        <v>0.05</v>
      </c>
    </row>
    <row r="4">
      <c r="A4" t="inlineStr">
        <is>
          <t>E003</t>
        </is>
      </c>
      <c r="B4" t="inlineStr">
        <is>
          <t>Arjun Mehta</t>
        </is>
      </c>
      <c r="C4" s="9" t="n">
        <v>30000</v>
      </c>
      <c r="D4" s="9" t="n">
        <v>12000</v>
      </c>
      <c r="E4" s="9" t="n">
        <v>8000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P4" s="9" t="n">
        <v>800000</v>
      </c>
      <c r="Q4" s="11" t="n">
        <v>0.1</v>
      </c>
      <c r="R4" s="11" t="n">
        <v>0.05</v>
      </c>
    </row>
    <row r="5">
      <c r="A5" t="inlineStr">
        <is>
          <t>E004</t>
        </is>
      </c>
      <c r="B5" t="inlineStr">
        <is>
          <t>Sneha Kulkarni</t>
        </is>
      </c>
      <c r="C5" s="9" t="n">
        <v>60000</v>
      </c>
      <c r="D5" s="9" t="n">
        <v>24000</v>
      </c>
      <c r="E5" s="9" t="n">
        <v>21000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P5" s="9" t="n">
        <v>1200000</v>
      </c>
      <c r="Q5" s="11" t="n">
        <v>0.15</v>
      </c>
      <c r="R5" s="11" t="n">
        <v>0.05</v>
      </c>
    </row>
    <row r="6">
      <c r="A6" t="inlineStr">
        <is>
          <t>E005</t>
        </is>
      </c>
      <c r="B6" t="inlineStr">
        <is>
          <t>Vikram Singh</t>
        </is>
      </c>
      <c r="C6" s="9" t="n">
        <v>80000</v>
      </c>
      <c r="D6" s="9" t="n">
        <v>32000</v>
      </c>
      <c r="E6" s="9" t="n">
        <v>28000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P6" s="9" t="n">
        <v>1600000</v>
      </c>
      <c r="Q6" s="11" t="n">
        <v>0.2</v>
      </c>
      <c r="R6" s="11" t="n">
        <v>0.05</v>
      </c>
    </row>
    <row r="7">
      <c r="A7" t="inlineStr">
        <is>
          <t>E006</t>
        </is>
      </c>
      <c r="B7" t="inlineStr">
        <is>
          <t>Ananya Iyer</t>
        </is>
      </c>
      <c r="C7" s="9" t="n">
        <v>45000</v>
      </c>
      <c r="D7" s="9" t="n">
        <v>18000</v>
      </c>
      <c r="E7" s="9" t="n">
        <v>12000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P7" s="9" t="n">
        <v>2000000</v>
      </c>
      <c r="Q7" s="11" t="n">
        <v>0.25</v>
      </c>
      <c r="R7" s="11" t="n">
        <v>0.05</v>
      </c>
    </row>
    <row r="8">
      <c r="A8" t="inlineStr">
        <is>
          <t>E007</t>
        </is>
      </c>
      <c r="B8" t="inlineStr">
        <is>
          <t>Mohammed Faizal</t>
        </is>
      </c>
      <c r="C8" s="9" t="n">
        <v>11000</v>
      </c>
      <c r="D8" s="9" t="n">
        <v>4400</v>
      </c>
      <c r="E8" s="9" t="n">
        <v>3000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P8" s="9" t="n">
        <v>2400000</v>
      </c>
      <c r="Q8" s="11" t="n">
        <v>0.3</v>
      </c>
      <c r="R8" s="11" t="n">
        <v>0.05</v>
      </c>
    </row>
    <row r="9">
      <c r="A9" t="inlineStr">
        <is>
          <t>E008</t>
        </is>
      </c>
      <c r="B9" t="inlineStr">
        <is>
          <t>Kavita Reddy</t>
        </is>
      </c>
      <c r="C9" s="9" t="n">
        <v>100000</v>
      </c>
      <c r="D9" s="9" t="n">
        <v>40000</v>
      </c>
      <c r="E9" s="9" t="n">
        <v>35000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t="inlineStr">
        <is>
          <t>E009</t>
        </is>
      </c>
      <c r="B10" t="inlineStr">
        <is>
          <t>Rahul Deshpande</t>
        </is>
      </c>
      <c r="C10" s="9" t="n">
        <v>25000</v>
      </c>
      <c r="D10" s="9" t="n">
        <v>10000</v>
      </c>
      <c r="E10" s="9" t="n">
        <v>6000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t="inlineStr">
        <is>
          <t>E010</t>
        </is>
      </c>
      <c r="B11" t="inlineStr">
        <is>
          <t>Deepa Joshi</t>
        </is>
      </c>
      <c r="C11" s="9" t="n">
        <v>15000</v>
      </c>
      <c r="D11" s="9" t="n">
        <v>6000</v>
      </c>
      <c r="E11" s="9" t="n">
        <v>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P11" s="6" t="inlineStr">
        <is>
          <t>Rules used (simplified for teaching):</t>
        </is>
      </c>
    </row>
    <row r="12">
      <c r="P12" s="2" t="inlineStr">
        <is>
          <t>PF: 12% of basic, basic capped at ₹15,000 (employee and employer)</t>
        </is>
      </c>
    </row>
    <row r="13">
      <c r="P13" s="2" t="inlineStr">
        <is>
          <t>ESI: 0.75% employee, 3.25% employer, only if gross ≤ ₹21,000, rounded up</t>
        </is>
      </c>
    </row>
    <row r="14">
      <c r="A14" s="12" t="inlineStr">
        <is>
          <t>Payslip: October 2026</t>
        </is>
      </c>
      <c r="P14" s="2" t="inlineStr">
        <is>
          <t>Professional tax: flat ₹200 if gross &gt; ₹10,000 (state rules differ)</t>
        </is>
      </c>
    </row>
    <row r="15">
      <c r="P15" s="2" t="inlineStr">
        <is>
          <t>TDS: new regime, ₹75,000 standard deduction, nil up to ₹12 lakh (87A), 4% cess</t>
        </is>
      </c>
    </row>
    <row r="16">
      <c r="A16" s="6" t="inlineStr">
        <is>
          <t>Emp ID</t>
        </is>
      </c>
      <c r="B16" s="13" t="inlineStr">
        <is>
          <t>E005</t>
        </is>
      </c>
      <c r="P16" s="2" t="inlineStr">
        <is>
          <t>Check current rates before running real payroll.</t>
        </is>
      </c>
    </row>
    <row r="17">
      <c r="A17" t="inlineStr">
        <is>
          <t>Name</t>
        </is>
      </c>
      <c r="B17" s="4" t="n"/>
    </row>
    <row r="18">
      <c r="A18" t="inlineStr">
        <is>
          <t>Basic</t>
        </is>
      </c>
      <c r="B18" s="10" t="n"/>
    </row>
    <row r="19">
      <c r="A19" t="inlineStr">
        <is>
          <t>HRA</t>
        </is>
      </c>
      <c r="B19" s="10" t="n"/>
    </row>
    <row r="20">
      <c r="A20" t="inlineStr">
        <is>
          <t>Special allowance</t>
        </is>
      </c>
      <c r="B20" s="10" t="n"/>
    </row>
    <row r="21">
      <c r="A21" s="6" t="inlineStr">
        <is>
          <t>Gross</t>
        </is>
      </c>
      <c r="B21" s="10" t="n"/>
    </row>
    <row r="22">
      <c r="A22" t="inlineStr">
        <is>
          <t>PF (employee)</t>
        </is>
      </c>
      <c r="B22" s="10" t="n"/>
    </row>
    <row r="23">
      <c r="A23" t="inlineStr">
        <is>
          <t>ESI (employee)</t>
        </is>
      </c>
      <c r="B23" s="10" t="n"/>
    </row>
    <row r="24">
      <c r="A24" t="inlineStr">
        <is>
          <t>Professional tax</t>
        </is>
      </c>
      <c r="B24" s="10" t="n"/>
    </row>
    <row r="25">
      <c r="A25" t="inlineStr">
        <is>
          <t>TDS per month</t>
        </is>
      </c>
      <c r="B25" s="10" t="n"/>
    </row>
    <row r="26">
      <c r="A26" s="6" t="inlineStr">
        <is>
          <t>Total deductions</t>
        </is>
      </c>
      <c r="B26" s="10" t="n"/>
    </row>
    <row r="27">
      <c r="A27" s="6" t="inlineStr">
        <is>
          <t>Net pay</t>
        </is>
      </c>
      <c r="B27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6" max="16"/>
    <col width="7" customWidth="1" min="17" max="17"/>
    <col width="8" customWidth="1" min="18" max="18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Basic</t>
        </is>
      </c>
      <c r="D1" s="3" t="inlineStr">
        <is>
          <t>HRA</t>
        </is>
      </c>
      <c r="E1" s="3" t="inlineStr">
        <is>
          <t>Special allowance</t>
        </is>
      </c>
      <c r="F1" s="3" t="inlineStr">
        <is>
          <t>Gross</t>
        </is>
      </c>
      <c r="G1" s="3" t="inlineStr">
        <is>
          <t>PF (employee)</t>
        </is>
      </c>
      <c r="H1" s="3" t="inlineStr">
        <is>
          <t>ESI (employee)</t>
        </is>
      </c>
      <c r="I1" s="3" t="inlineStr">
        <is>
          <t>Professional tax</t>
        </is>
      </c>
      <c r="J1" s="3" t="inlineStr">
        <is>
          <t>Annual taxable income</t>
        </is>
      </c>
      <c r="K1" s="3" t="inlineStr">
        <is>
          <t>TDS per month</t>
        </is>
      </c>
      <c r="L1" s="3" t="inlineStr">
        <is>
          <t>Net pay</t>
        </is>
      </c>
      <c r="M1" s="3" t="inlineStr">
        <is>
          <t>Employer PF</t>
        </is>
      </c>
      <c r="N1" s="3" t="inlineStr">
        <is>
          <t>Employer ESI</t>
        </is>
      </c>
      <c r="P1" s="3" t="inlineStr">
        <is>
          <t>Slab from (₹)</t>
        </is>
      </c>
      <c r="Q1" s="3" t="inlineStr">
        <is>
          <t>Rate</t>
        </is>
      </c>
      <c r="R1" s="3" t="inlineStr">
        <is>
          <t>Extra rate</t>
        </is>
      </c>
    </row>
    <row r="2">
      <c r="A2" t="inlineStr">
        <is>
          <t>E001</t>
        </is>
      </c>
      <c r="B2" t="inlineStr">
        <is>
          <t>Ravi Kumar</t>
        </is>
      </c>
      <c r="C2" s="9" t="n">
        <v>12000</v>
      </c>
      <c r="D2" s="9" t="n">
        <v>4800</v>
      </c>
      <c r="E2" s="9" t="n">
        <v>2500</v>
      </c>
      <c r="F2" s="10">
        <f>C2+D2+E2</f>
        <v/>
      </c>
      <c r="G2" s="10">
        <f>ROUND(MIN(C2,15000)*12%,0)</f>
        <v/>
      </c>
      <c r="H2" s="10">
        <f>IF(F2&lt;=21000,ROUNDUP(F2*0.75%,0),0)</f>
        <v/>
      </c>
      <c r="I2" s="10">
        <f>IF(F2&gt;10000,200,0)</f>
        <v/>
      </c>
      <c r="J2" s="10">
        <f>F2*12-75000</f>
        <v/>
      </c>
      <c r="K2" s="10">
        <f>IF(J2&lt;=1200000,0,ROUND(SUMPRODUCT((J2&gt;$P$2:$P$8)*(J2-$P$2:$P$8)*$R$2:$R$8)*1.04/12,0))</f>
        <v/>
      </c>
      <c r="L2" s="10">
        <f>F2-G2-H2-I2-K2</f>
        <v/>
      </c>
      <c r="M2" s="10">
        <f>ROUND(MIN(C2,15000)*12%,0)</f>
        <v/>
      </c>
      <c r="N2" s="10">
        <f>IF(F2&lt;=21000,ROUNDUP(F2*3.25%,0),0)</f>
        <v/>
      </c>
      <c r="P2" s="9" t="n">
        <v>0</v>
      </c>
      <c r="Q2" s="11" t="n">
        <v>0</v>
      </c>
      <c r="R2" s="11" t="n">
        <v>0</v>
      </c>
    </row>
    <row r="3">
      <c r="A3" t="inlineStr">
        <is>
          <t>E002</t>
        </is>
      </c>
      <c r="B3" t="inlineStr">
        <is>
          <t>Priya Nair</t>
        </is>
      </c>
      <c r="C3" s="9" t="n">
        <v>14500</v>
      </c>
      <c r="D3" s="9" t="n">
        <v>5800</v>
      </c>
      <c r="E3" s="9" t="n">
        <v>0</v>
      </c>
      <c r="F3" s="10">
        <f>C3+D3+E3</f>
        <v/>
      </c>
      <c r="G3" s="10">
        <f>ROUND(MIN(C3,15000)*12%,0)</f>
        <v/>
      </c>
      <c r="H3" s="10">
        <f>IF(F3&lt;=21000,ROUNDUP(F3*0.75%,0),0)</f>
        <v/>
      </c>
      <c r="I3" s="10">
        <f>IF(F3&gt;10000,200,0)</f>
        <v/>
      </c>
      <c r="J3" s="10">
        <f>F3*12-75000</f>
        <v/>
      </c>
      <c r="K3" s="10">
        <f>IF(J3&lt;=1200000,0,ROUND(SUMPRODUCT((J3&gt;$P$2:$P$8)*(J3-$P$2:$P$8)*$R$2:$R$8)*1.04/12,0))</f>
        <v/>
      </c>
      <c r="L3" s="10">
        <f>F3-G3-H3-I3-K3</f>
        <v/>
      </c>
      <c r="M3" s="10">
        <f>ROUND(MIN(C3,15000)*12%,0)</f>
        <v/>
      </c>
      <c r="N3" s="10">
        <f>IF(F3&lt;=21000,ROUNDUP(F3*3.25%,0),0)</f>
        <v/>
      </c>
      <c r="P3" s="9" t="n">
        <v>400000</v>
      </c>
      <c r="Q3" s="11" t="n">
        <v>0.05</v>
      </c>
      <c r="R3" s="11" t="n">
        <v>0.05</v>
      </c>
    </row>
    <row r="4">
      <c r="A4" t="inlineStr">
        <is>
          <t>E003</t>
        </is>
      </c>
      <c r="B4" t="inlineStr">
        <is>
          <t>Arjun Mehta</t>
        </is>
      </c>
      <c r="C4" s="9" t="n">
        <v>30000</v>
      </c>
      <c r="D4" s="9" t="n">
        <v>12000</v>
      </c>
      <c r="E4" s="9" t="n">
        <v>8000</v>
      </c>
      <c r="F4" s="10">
        <f>C4+D4+E4</f>
        <v/>
      </c>
      <c r="G4" s="10">
        <f>ROUND(MIN(C4,15000)*12%,0)</f>
        <v/>
      </c>
      <c r="H4" s="10">
        <f>IF(F4&lt;=21000,ROUNDUP(F4*0.75%,0),0)</f>
        <v/>
      </c>
      <c r="I4" s="10">
        <f>IF(F4&gt;10000,200,0)</f>
        <v/>
      </c>
      <c r="J4" s="10">
        <f>F4*12-75000</f>
        <v/>
      </c>
      <c r="K4" s="10">
        <f>IF(J4&lt;=1200000,0,ROUND(SUMPRODUCT((J4&gt;$P$2:$P$8)*(J4-$P$2:$P$8)*$R$2:$R$8)*1.04/12,0))</f>
        <v/>
      </c>
      <c r="L4" s="10">
        <f>F4-G4-H4-I4-K4</f>
        <v/>
      </c>
      <c r="M4" s="10">
        <f>ROUND(MIN(C4,15000)*12%,0)</f>
        <v/>
      </c>
      <c r="N4" s="10">
        <f>IF(F4&lt;=21000,ROUNDUP(F4*3.25%,0),0)</f>
        <v/>
      </c>
      <c r="P4" s="9" t="n">
        <v>800000</v>
      </c>
      <c r="Q4" s="11" t="n">
        <v>0.1</v>
      </c>
      <c r="R4" s="11" t="n">
        <v>0.05</v>
      </c>
    </row>
    <row r="5">
      <c r="A5" t="inlineStr">
        <is>
          <t>E004</t>
        </is>
      </c>
      <c r="B5" t="inlineStr">
        <is>
          <t>Sneha Kulkarni</t>
        </is>
      </c>
      <c r="C5" s="9" t="n">
        <v>60000</v>
      </c>
      <c r="D5" s="9" t="n">
        <v>24000</v>
      </c>
      <c r="E5" s="9" t="n">
        <v>21000</v>
      </c>
      <c r="F5" s="10">
        <f>C5+D5+E5</f>
        <v/>
      </c>
      <c r="G5" s="10">
        <f>ROUND(MIN(C5,15000)*12%,0)</f>
        <v/>
      </c>
      <c r="H5" s="10">
        <f>IF(F5&lt;=21000,ROUNDUP(F5*0.75%,0),0)</f>
        <v/>
      </c>
      <c r="I5" s="10">
        <f>IF(F5&gt;10000,200,0)</f>
        <v/>
      </c>
      <c r="J5" s="10">
        <f>F5*12-75000</f>
        <v/>
      </c>
      <c r="K5" s="10">
        <f>IF(J5&lt;=1200000,0,ROUND(SUMPRODUCT((J5&gt;$P$2:$P$8)*(J5-$P$2:$P$8)*$R$2:$R$8)*1.04/12,0))</f>
        <v/>
      </c>
      <c r="L5" s="10">
        <f>F5-G5-H5-I5-K5</f>
        <v/>
      </c>
      <c r="M5" s="10">
        <f>ROUND(MIN(C5,15000)*12%,0)</f>
        <v/>
      </c>
      <c r="N5" s="10">
        <f>IF(F5&lt;=21000,ROUNDUP(F5*3.25%,0),0)</f>
        <v/>
      </c>
      <c r="P5" s="9" t="n">
        <v>1200000</v>
      </c>
      <c r="Q5" s="11" t="n">
        <v>0.15</v>
      </c>
      <c r="R5" s="11" t="n">
        <v>0.05</v>
      </c>
    </row>
    <row r="6">
      <c r="A6" t="inlineStr">
        <is>
          <t>E005</t>
        </is>
      </c>
      <c r="B6" t="inlineStr">
        <is>
          <t>Vikram Singh</t>
        </is>
      </c>
      <c r="C6" s="9" t="n">
        <v>80000</v>
      </c>
      <c r="D6" s="9" t="n">
        <v>32000</v>
      </c>
      <c r="E6" s="9" t="n">
        <v>28000</v>
      </c>
      <c r="F6" s="10">
        <f>C6+D6+E6</f>
        <v/>
      </c>
      <c r="G6" s="10">
        <f>ROUND(MIN(C6,15000)*12%,0)</f>
        <v/>
      </c>
      <c r="H6" s="10">
        <f>IF(F6&lt;=21000,ROUNDUP(F6*0.75%,0),0)</f>
        <v/>
      </c>
      <c r="I6" s="10">
        <f>IF(F6&gt;10000,200,0)</f>
        <v/>
      </c>
      <c r="J6" s="10">
        <f>F6*12-75000</f>
        <v/>
      </c>
      <c r="K6" s="10">
        <f>IF(J6&lt;=1200000,0,ROUND(SUMPRODUCT((J6&gt;$P$2:$P$8)*(J6-$P$2:$P$8)*$R$2:$R$8)*1.04/12,0))</f>
        <v/>
      </c>
      <c r="L6" s="10">
        <f>F6-G6-H6-I6-K6</f>
        <v/>
      </c>
      <c r="M6" s="10">
        <f>ROUND(MIN(C6,15000)*12%,0)</f>
        <v/>
      </c>
      <c r="N6" s="10">
        <f>IF(F6&lt;=21000,ROUNDUP(F6*3.25%,0),0)</f>
        <v/>
      </c>
      <c r="P6" s="9" t="n">
        <v>1600000</v>
      </c>
      <c r="Q6" s="11" t="n">
        <v>0.2</v>
      </c>
      <c r="R6" s="11" t="n">
        <v>0.05</v>
      </c>
    </row>
    <row r="7">
      <c r="A7" t="inlineStr">
        <is>
          <t>E006</t>
        </is>
      </c>
      <c r="B7" t="inlineStr">
        <is>
          <t>Ananya Iyer</t>
        </is>
      </c>
      <c r="C7" s="9" t="n">
        <v>45000</v>
      </c>
      <c r="D7" s="9" t="n">
        <v>18000</v>
      </c>
      <c r="E7" s="9" t="n">
        <v>12000</v>
      </c>
      <c r="F7" s="10">
        <f>C7+D7+E7</f>
        <v/>
      </c>
      <c r="G7" s="10">
        <f>ROUND(MIN(C7,15000)*12%,0)</f>
        <v/>
      </c>
      <c r="H7" s="10">
        <f>IF(F7&lt;=21000,ROUNDUP(F7*0.75%,0),0)</f>
        <v/>
      </c>
      <c r="I7" s="10">
        <f>IF(F7&gt;10000,200,0)</f>
        <v/>
      </c>
      <c r="J7" s="10">
        <f>F7*12-75000</f>
        <v/>
      </c>
      <c r="K7" s="10">
        <f>IF(J7&lt;=1200000,0,ROUND(SUMPRODUCT((J7&gt;$P$2:$P$8)*(J7-$P$2:$P$8)*$R$2:$R$8)*1.04/12,0))</f>
        <v/>
      </c>
      <c r="L7" s="10">
        <f>F7-G7-H7-I7-K7</f>
        <v/>
      </c>
      <c r="M7" s="10">
        <f>ROUND(MIN(C7,15000)*12%,0)</f>
        <v/>
      </c>
      <c r="N7" s="10">
        <f>IF(F7&lt;=21000,ROUNDUP(F7*3.25%,0),0)</f>
        <v/>
      </c>
      <c r="P7" s="9" t="n">
        <v>2000000</v>
      </c>
      <c r="Q7" s="11" t="n">
        <v>0.25</v>
      </c>
      <c r="R7" s="11" t="n">
        <v>0.05</v>
      </c>
    </row>
    <row r="8">
      <c r="A8" t="inlineStr">
        <is>
          <t>E007</t>
        </is>
      </c>
      <c r="B8" t="inlineStr">
        <is>
          <t>Mohammed Faizal</t>
        </is>
      </c>
      <c r="C8" s="9" t="n">
        <v>11000</v>
      </c>
      <c r="D8" s="9" t="n">
        <v>4400</v>
      </c>
      <c r="E8" s="9" t="n">
        <v>3000</v>
      </c>
      <c r="F8" s="10">
        <f>C8+D8+E8</f>
        <v/>
      </c>
      <c r="G8" s="10">
        <f>ROUND(MIN(C8,15000)*12%,0)</f>
        <v/>
      </c>
      <c r="H8" s="10">
        <f>IF(F8&lt;=21000,ROUNDUP(F8*0.75%,0),0)</f>
        <v/>
      </c>
      <c r="I8" s="10">
        <f>IF(F8&gt;10000,200,0)</f>
        <v/>
      </c>
      <c r="J8" s="10">
        <f>F8*12-75000</f>
        <v/>
      </c>
      <c r="K8" s="10">
        <f>IF(J8&lt;=1200000,0,ROUND(SUMPRODUCT((J8&gt;$P$2:$P$8)*(J8-$P$2:$P$8)*$R$2:$R$8)*1.04/12,0))</f>
        <v/>
      </c>
      <c r="L8" s="10">
        <f>F8-G8-H8-I8-K8</f>
        <v/>
      </c>
      <c r="M8" s="10">
        <f>ROUND(MIN(C8,15000)*12%,0)</f>
        <v/>
      </c>
      <c r="N8" s="10">
        <f>IF(F8&lt;=21000,ROUNDUP(F8*3.25%,0),0)</f>
        <v/>
      </c>
      <c r="P8" s="9" t="n">
        <v>2400000</v>
      </c>
      <c r="Q8" s="11" t="n">
        <v>0.3</v>
      </c>
      <c r="R8" s="11" t="n">
        <v>0.05</v>
      </c>
    </row>
    <row r="9">
      <c r="A9" t="inlineStr">
        <is>
          <t>E008</t>
        </is>
      </c>
      <c r="B9" t="inlineStr">
        <is>
          <t>Kavita Reddy</t>
        </is>
      </c>
      <c r="C9" s="9" t="n">
        <v>100000</v>
      </c>
      <c r="D9" s="9" t="n">
        <v>40000</v>
      </c>
      <c r="E9" s="9" t="n">
        <v>35000</v>
      </c>
      <c r="F9" s="10">
        <f>C9+D9+E9</f>
        <v/>
      </c>
      <c r="G9" s="10">
        <f>ROUND(MIN(C9,15000)*12%,0)</f>
        <v/>
      </c>
      <c r="H9" s="10">
        <f>IF(F9&lt;=21000,ROUNDUP(F9*0.75%,0),0)</f>
        <v/>
      </c>
      <c r="I9" s="10">
        <f>IF(F9&gt;10000,200,0)</f>
        <v/>
      </c>
      <c r="J9" s="10">
        <f>F9*12-75000</f>
        <v/>
      </c>
      <c r="K9" s="10">
        <f>IF(J9&lt;=1200000,0,ROUND(SUMPRODUCT((J9&gt;$P$2:$P$8)*(J9-$P$2:$P$8)*$R$2:$R$8)*1.04/12,0))</f>
        <v/>
      </c>
      <c r="L9" s="10">
        <f>F9-G9-H9-I9-K9</f>
        <v/>
      </c>
      <c r="M9" s="10">
        <f>ROUND(MIN(C9,15000)*12%,0)</f>
        <v/>
      </c>
      <c r="N9" s="10">
        <f>IF(F9&lt;=21000,ROUNDUP(F9*3.25%,0),0)</f>
        <v/>
      </c>
    </row>
    <row r="10">
      <c r="A10" t="inlineStr">
        <is>
          <t>E009</t>
        </is>
      </c>
      <c r="B10" t="inlineStr">
        <is>
          <t>Rahul Deshpande</t>
        </is>
      </c>
      <c r="C10" s="9" t="n">
        <v>25000</v>
      </c>
      <c r="D10" s="9" t="n">
        <v>10000</v>
      </c>
      <c r="E10" s="9" t="n">
        <v>6000</v>
      </c>
      <c r="F10" s="10">
        <f>C10+D10+E10</f>
        <v/>
      </c>
      <c r="G10" s="10">
        <f>ROUND(MIN(C10,15000)*12%,0)</f>
        <v/>
      </c>
      <c r="H10" s="10">
        <f>IF(F10&lt;=21000,ROUNDUP(F10*0.75%,0),0)</f>
        <v/>
      </c>
      <c r="I10" s="10">
        <f>IF(F10&gt;10000,200,0)</f>
        <v/>
      </c>
      <c r="J10" s="10">
        <f>F10*12-75000</f>
        <v/>
      </c>
      <c r="K10" s="10">
        <f>IF(J10&lt;=1200000,0,ROUND(SUMPRODUCT((J10&gt;$P$2:$P$8)*(J10-$P$2:$P$8)*$R$2:$R$8)*1.04/12,0))</f>
        <v/>
      </c>
      <c r="L10" s="10">
        <f>F10-G10-H10-I10-K10</f>
        <v/>
      </c>
      <c r="M10" s="10">
        <f>ROUND(MIN(C10,15000)*12%,0)</f>
        <v/>
      </c>
      <c r="N10" s="10">
        <f>IF(F10&lt;=21000,ROUNDUP(F10*3.25%,0),0)</f>
        <v/>
      </c>
    </row>
    <row r="11">
      <c r="A11" t="inlineStr">
        <is>
          <t>E010</t>
        </is>
      </c>
      <c r="B11" t="inlineStr">
        <is>
          <t>Deepa Joshi</t>
        </is>
      </c>
      <c r="C11" s="9" t="n">
        <v>15000</v>
      </c>
      <c r="D11" s="9" t="n">
        <v>6000</v>
      </c>
      <c r="E11" s="9" t="n">
        <v>0</v>
      </c>
      <c r="F11" s="10">
        <f>C11+D11+E11</f>
        <v/>
      </c>
      <c r="G11" s="10">
        <f>ROUND(MIN(C11,15000)*12%,0)</f>
        <v/>
      </c>
      <c r="H11" s="10">
        <f>IF(F11&lt;=21000,ROUNDUP(F11*0.75%,0),0)</f>
        <v/>
      </c>
      <c r="I11" s="10">
        <f>IF(F11&gt;10000,200,0)</f>
        <v/>
      </c>
      <c r="J11" s="10">
        <f>F11*12-75000</f>
        <v/>
      </c>
      <c r="K11" s="10">
        <f>IF(J11&lt;=1200000,0,ROUND(SUMPRODUCT((J11&gt;$P$2:$P$8)*(J11-$P$2:$P$8)*$R$2:$R$8)*1.04/12,0))</f>
        <v/>
      </c>
      <c r="L11" s="10">
        <f>F11-G11-H11-I11-K11</f>
        <v/>
      </c>
      <c r="M11" s="10">
        <f>ROUND(MIN(C11,15000)*12%,0)</f>
        <v/>
      </c>
      <c r="N11" s="10">
        <f>IF(F11&lt;=21000,ROUNDUP(F11*3.25%,0),0)</f>
        <v/>
      </c>
      <c r="P11" s="6" t="inlineStr">
        <is>
          <t>Rules used (simplified for teaching):</t>
        </is>
      </c>
    </row>
    <row r="12">
      <c r="P12" s="2" t="inlineStr">
        <is>
          <t>PF: 12% of basic, basic capped at ₹15,000 (employee and employer)</t>
        </is>
      </c>
    </row>
    <row r="13">
      <c r="P13" s="2" t="inlineStr">
        <is>
          <t>ESI: 0.75% employee, 3.25% employer, only if gross ≤ ₹21,000, rounded up</t>
        </is>
      </c>
    </row>
    <row r="14">
      <c r="A14" s="12" t="inlineStr">
        <is>
          <t>Payslip: October 2026</t>
        </is>
      </c>
      <c r="P14" s="2" t="inlineStr">
        <is>
          <t>Professional tax: flat ₹200 if gross &gt; ₹10,000 (state rules differ)</t>
        </is>
      </c>
    </row>
    <row r="15">
      <c r="P15" s="2" t="inlineStr">
        <is>
          <t>TDS: new regime, ₹75,000 standard deduction, nil up to ₹12 lakh (87A), 4% cess</t>
        </is>
      </c>
    </row>
    <row r="16">
      <c r="A16" s="6" t="inlineStr">
        <is>
          <t>Emp ID</t>
        </is>
      </c>
      <c r="B16" s="13" t="inlineStr">
        <is>
          <t>E005</t>
        </is>
      </c>
      <c r="P16" s="2" t="inlineStr">
        <is>
          <t>Check current rates before running real payroll.</t>
        </is>
      </c>
    </row>
    <row r="17">
      <c r="A17" t="inlineStr">
        <is>
          <t>Name</t>
        </is>
      </c>
      <c r="B17" s="4">
        <f>XLOOKUP($B$16,$A$2:$A$11,XLOOKUP($A17,$A$1:$N$1,$A$2:$N$11))</f>
        <v/>
      </c>
    </row>
    <row r="18">
      <c r="A18" t="inlineStr">
        <is>
          <t>Basic</t>
        </is>
      </c>
      <c r="B18" s="10">
        <f>XLOOKUP($B$16,$A$2:$A$11,XLOOKUP($A18,$A$1:$N$1,$A$2:$N$11))</f>
        <v/>
      </c>
    </row>
    <row r="19">
      <c r="A19" t="inlineStr">
        <is>
          <t>HRA</t>
        </is>
      </c>
      <c r="B19" s="10">
        <f>XLOOKUP($B$16,$A$2:$A$11,XLOOKUP($A19,$A$1:$N$1,$A$2:$N$11))</f>
        <v/>
      </c>
    </row>
    <row r="20">
      <c r="A20" t="inlineStr">
        <is>
          <t>Special allowance</t>
        </is>
      </c>
      <c r="B20" s="10">
        <f>XLOOKUP($B$16,$A$2:$A$11,XLOOKUP($A20,$A$1:$N$1,$A$2:$N$11))</f>
        <v/>
      </c>
    </row>
    <row r="21">
      <c r="A21" s="6" t="inlineStr">
        <is>
          <t>Gross</t>
        </is>
      </c>
      <c r="B21" s="10">
        <f>XLOOKUP($B$16,$A$2:$A$11,XLOOKUP($A21,$A$1:$N$1,$A$2:$N$11))</f>
        <v/>
      </c>
    </row>
    <row r="22">
      <c r="A22" t="inlineStr">
        <is>
          <t>PF (employee)</t>
        </is>
      </c>
      <c r="B22" s="10">
        <f>XLOOKUP($B$16,$A$2:$A$11,XLOOKUP($A22,$A$1:$N$1,$A$2:$N$11))</f>
        <v/>
      </c>
    </row>
    <row r="23">
      <c r="A23" t="inlineStr">
        <is>
          <t>ESI (employee)</t>
        </is>
      </c>
      <c r="B23" s="10">
        <f>XLOOKUP($B$16,$A$2:$A$11,XLOOKUP($A23,$A$1:$N$1,$A$2:$N$11))</f>
        <v/>
      </c>
    </row>
    <row r="24">
      <c r="A24" t="inlineStr">
        <is>
          <t>Professional tax</t>
        </is>
      </c>
      <c r="B24" s="10">
        <f>XLOOKUP($B$16,$A$2:$A$11,XLOOKUP($A24,$A$1:$N$1,$A$2:$N$11))</f>
        <v/>
      </c>
    </row>
    <row r="25">
      <c r="A25" t="inlineStr">
        <is>
          <t>TDS per month</t>
        </is>
      </c>
      <c r="B25" s="10">
        <f>XLOOKUP($B$16,$A$2:$A$11,XLOOKUP($A25,$A$1:$N$1,$A$2:$N$11))</f>
        <v/>
      </c>
    </row>
    <row r="26">
      <c r="A26" s="6" t="inlineStr">
        <is>
          <t>Total deductions</t>
        </is>
      </c>
      <c r="B26" s="10">
        <f>SUM(B22:B25)</f>
        <v/>
      </c>
    </row>
    <row r="27">
      <c r="A27" s="6" t="inlineStr">
        <is>
          <t>Net pay</t>
        </is>
      </c>
      <c r="B27" s="10">
        <f>B21-B26</f>
        <v/>
      </c>
    </row>
  </sheetData>
  <dataValidations count="1">
    <dataValidation sqref="B16" showDropDown="0" showInputMessage="0" showErrorMessage="0" allowBlank="0" type="list">
      <formula1>=$A$2:$A$11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  <col width="10" customWidth="1" min="15" max="15"/>
    <col width="13" customWidth="1" min="16" max="16"/>
  </cols>
  <sheetData>
    <row r="1">
      <c r="A1" s="14" t="inlineStr">
        <is>
          <t>Budget FY 2025-26 (April to March)</t>
        </is>
      </c>
    </row>
    <row r="2">
      <c r="A2" s="3" t="inlineStr">
        <is>
          <t>Expense head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FY total</t>
        </is>
      </c>
    </row>
    <row r="3">
      <c r="A3" t="inlineStr">
        <is>
          <t>Salaries</t>
        </is>
      </c>
      <c r="B3" s="9" t="n">
        <v>1850000</v>
      </c>
      <c r="C3" s="9" t="n">
        <v>1850000</v>
      </c>
      <c r="D3" s="9" t="n">
        <v>1850000</v>
      </c>
      <c r="E3" s="9" t="n">
        <v>1850000</v>
      </c>
      <c r="F3" s="9" t="n">
        <v>1850000</v>
      </c>
      <c r="G3" s="9" t="n">
        <v>1850000</v>
      </c>
      <c r="H3" s="9" t="n">
        <v>1961000</v>
      </c>
      <c r="I3" s="9" t="n">
        <v>1961000</v>
      </c>
      <c r="J3" s="9" t="n">
        <v>1961000</v>
      </c>
      <c r="K3" s="9" t="n">
        <v>1961000</v>
      </c>
      <c r="L3" s="9" t="n">
        <v>1961000</v>
      </c>
      <c r="M3" s="9" t="n">
        <v>1961000</v>
      </c>
      <c r="N3" s="9">
        <f>SUM(B3:M3)</f>
        <v/>
      </c>
    </row>
    <row r="4">
      <c r="A4" t="inlineStr">
        <is>
          <t>Office rent</t>
        </is>
      </c>
      <c r="B4" s="9" t="n">
        <v>420000</v>
      </c>
      <c r="C4" s="9" t="n">
        <v>420000</v>
      </c>
      <c r="D4" s="9" t="n">
        <v>420000</v>
      </c>
      <c r="E4" s="9" t="n">
        <v>420000</v>
      </c>
      <c r="F4" s="9" t="n">
        <v>420000</v>
      </c>
      <c r="G4" s="9" t="n">
        <v>420000</v>
      </c>
      <c r="H4" s="9" t="n">
        <v>420000</v>
      </c>
      <c r="I4" s="9" t="n">
        <v>420000</v>
      </c>
      <c r="J4" s="9" t="n">
        <v>420000</v>
      </c>
      <c r="K4" s="9" t="n">
        <v>420000</v>
      </c>
      <c r="L4" s="9" t="n">
        <v>420000</v>
      </c>
      <c r="M4" s="9" t="n">
        <v>420000</v>
      </c>
      <c r="N4" s="9">
        <f>SUM(B4:M4)</f>
        <v/>
      </c>
    </row>
    <row r="5">
      <c r="A5" t="inlineStr">
        <is>
          <t>Electricity</t>
        </is>
      </c>
      <c r="B5" s="9" t="n">
        <v>68000</v>
      </c>
      <c r="C5" s="9" t="n">
        <v>68000</v>
      </c>
      <c r="D5" s="9" t="n">
        <v>68000</v>
      </c>
      <c r="E5" s="9" t="n">
        <v>68000</v>
      </c>
      <c r="F5" s="9" t="n">
        <v>68000</v>
      </c>
      <c r="G5" s="9" t="n">
        <v>68000</v>
      </c>
      <c r="H5" s="9" t="n">
        <v>68000</v>
      </c>
      <c r="I5" s="9" t="n">
        <v>68000</v>
      </c>
      <c r="J5" s="9" t="n">
        <v>68000</v>
      </c>
      <c r="K5" s="9" t="n">
        <v>68000</v>
      </c>
      <c r="L5" s="9" t="n">
        <v>68000</v>
      </c>
      <c r="M5" s="9" t="n">
        <v>68000</v>
      </c>
      <c r="N5" s="9">
        <f>SUM(B5:M5)</f>
        <v/>
      </c>
    </row>
    <row r="6">
      <c r="A6" t="inlineStr">
        <is>
          <t>Travel</t>
        </is>
      </c>
      <c r="B6" s="9" t="n">
        <v>140000</v>
      </c>
      <c r="C6" s="9" t="n">
        <v>140000</v>
      </c>
      <c r="D6" s="9" t="n">
        <v>140000</v>
      </c>
      <c r="E6" s="9" t="n">
        <v>140000</v>
      </c>
      <c r="F6" s="9" t="n">
        <v>140000</v>
      </c>
      <c r="G6" s="9" t="n">
        <v>140000</v>
      </c>
      <c r="H6" s="9" t="n">
        <v>140000</v>
      </c>
      <c r="I6" s="9" t="n">
        <v>140000</v>
      </c>
      <c r="J6" s="9" t="n">
        <v>140000</v>
      </c>
      <c r="K6" s="9" t="n">
        <v>140000</v>
      </c>
      <c r="L6" s="9" t="n">
        <v>140000</v>
      </c>
      <c r="M6" s="9" t="n">
        <v>140000</v>
      </c>
      <c r="N6" s="9">
        <f>SUM(B6:M6)</f>
        <v/>
      </c>
    </row>
    <row r="7">
      <c r="A7" t="inlineStr">
        <is>
          <t>Marketing</t>
        </is>
      </c>
      <c r="B7" s="9" t="n">
        <v>260000</v>
      </c>
      <c r="C7" s="9" t="n">
        <v>260000</v>
      </c>
      <c r="D7" s="9" t="n">
        <v>260000</v>
      </c>
      <c r="E7" s="9" t="n">
        <v>260000</v>
      </c>
      <c r="F7" s="9" t="n">
        <v>260000</v>
      </c>
      <c r="G7" s="9" t="n">
        <v>260000</v>
      </c>
      <c r="H7" s="9" t="n">
        <v>416000</v>
      </c>
      <c r="I7" s="9" t="n">
        <v>416000</v>
      </c>
      <c r="J7" s="9" t="n">
        <v>260000</v>
      </c>
      <c r="K7" s="9" t="n">
        <v>260000</v>
      </c>
      <c r="L7" s="9" t="n">
        <v>260000</v>
      </c>
      <c r="M7" s="9" t="n">
        <v>260000</v>
      </c>
      <c r="N7" s="9">
        <f>SUM(B7:M7)</f>
        <v/>
      </c>
    </row>
    <row r="8">
      <c r="A8" t="inlineStr">
        <is>
          <t>IT and software</t>
        </is>
      </c>
      <c r="B8" s="9" t="n">
        <v>95000</v>
      </c>
      <c r="C8" s="9" t="n">
        <v>95000</v>
      </c>
      <c r="D8" s="9" t="n">
        <v>95000</v>
      </c>
      <c r="E8" s="9" t="n">
        <v>95000</v>
      </c>
      <c r="F8" s="9" t="n">
        <v>95000</v>
      </c>
      <c r="G8" s="9" t="n">
        <v>95000</v>
      </c>
      <c r="H8" s="9" t="n">
        <v>95000</v>
      </c>
      <c r="I8" s="9" t="n">
        <v>95000</v>
      </c>
      <c r="J8" s="9" t="n">
        <v>95000</v>
      </c>
      <c r="K8" s="9" t="n">
        <v>95000</v>
      </c>
      <c r="L8" s="9" t="n">
        <v>95000</v>
      </c>
      <c r="M8" s="9" t="n">
        <v>95000</v>
      </c>
      <c r="N8" s="9">
        <f>SUM(B8:M8)</f>
        <v/>
      </c>
    </row>
    <row r="9">
      <c r="A9" t="inlineStr">
        <is>
          <t>Office supplies</t>
        </is>
      </c>
      <c r="B9" s="9" t="n">
        <v>22000</v>
      </c>
      <c r="C9" s="9" t="n">
        <v>22000</v>
      </c>
      <c r="D9" s="9" t="n">
        <v>22000</v>
      </c>
      <c r="E9" s="9" t="n">
        <v>22000</v>
      </c>
      <c r="F9" s="9" t="n">
        <v>22000</v>
      </c>
      <c r="G9" s="9" t="n">
        <v>22000</v>
      </c>
      <c r="H9" s="9" t="n">
        <v>22000</v>
      </c>
      <c r="I9" s="9" t="n">
        <v>22000</v>
      </c>
      <c r="J9" s="9" t="n">
        <v>22000</v>
      </c>
      <c r="K9" s="9" t="n">
        <v>22000</v>
      </c>
      <c r="L9" s="9" t="n">
        <v>22000</v>
      </c>
      <c r="M9" s="9" t="n">
        <v>22000</v>
      </c>
      <c r="N9" s="9">
        <f>SUM(B9:M9)</f>
        <v/>
      </c>
    </row>
    <row r="10">
      <c r="A10" t="inlineStr">
        <is>
          <t>Professional fees</t>
        </is>
      </c>
      <c r="B10" s="9" t="n">
        <v>75000</v>
      </c>
      <c r="C10" s="9" t="n">
        <v>75000</v>
      </c>
      <c r="D10" s="9" t="n">
        <v>75000</v>
      </c>
      <c r="E10" s="9" t="n">
        <v>75000</v>
      </c>
      <c r="F10" s="9" t="n">
        <v>75000</v>
      </c>
      <c r="G10" s="9" t="n">
        <v>75000</v>
      </c>
      <c r="H10" s="9" t="n">
        <v>75000</v>
      </c>
      <c r="I10" s="9" t="n">
        <v>75000</v>
      </c>
      <c r="J10" s="9" t="n">
        <v>75000</v>
      </c>
      <c r="K10" s="9" t="n">
        <v>75000</v>
      </c>
      <c r="L10" s="9" t="n">
        <v>75000</v>
      </c>
      <c r="M10" s="9" t="n">
        <v>75000</v>
      </c>
      <c r="N10" s="9">
        <f>SUM(B10:M10)</f>
        <v/>
      </c>
    </row>
    <row r="11">
      <c r="A11" s="6" t="inlineStr">
        <is>
          <t>Total</t>
        </is>
      </c>
      <c r="B11" s="15">
        <f>SUM(B3:B10)</f>
        <v/>
      </c>
      <c r="C11" s="15">
        <f>SUM(C3:C10)</f>
        <v/>
      </c>
      <c r="D11" s="15">
        <f>SUM(D3:D10)</f>
        <v/>
      </c>
      <c r="E11" s="15">
        <f>SUM(E3:E10)</f>
        <v/>
      </c>
      <c r="F11" s="15">
        <f>SUM(F3:F10)</f>
        <v/>
      </c>
      <c r="G11" s="15">
        <f>SUM(G3:G10)</f>
        <v/>
      </c>
      <c r="H11" s="15">
        <f>SUM(H3:H10)</f>
        <v/>
      </c>
      <c r="I11" s="15">
        <f>SUM(I3:I10)</f>
        <v/>
      </c>
      <c r="J11" s="15">
        <f>SUM(J3:J10)</f>
        <v/>
      </c>
      <c r="K11" s="15">
        <f>SUM(K3:K10)</f>
        <v/>
      </c>
      <c r="L11" s="15">
        <f>SUM(L3:L10)</f>
        <v/>
      </c>
      <c r="M11" s="15">
        <f>SUM(M3:M10)</f>
        <v/>
      </c>
      <c r="N11" s="15">
        <f>SUM(N3:N10)</f>
        <v/>
      </c>
    </row>
    <row r="13">
      <c r="A13" s="14" t="inlineStr">
        <is>
          <t>Actual FY 2025-26</t>
        </is>
      </c>
    </row>
    <row r="14">
      <c r="A14" s="3" t="inlineStr">
        <is>
          <t>Expense head</t>
        </is>
      </c>
      <c r="B14" s="3" t="inlineStr">
        <is>
          <t>Apr-25</t>
        </is>
      </c>
      <c r="C14" s="3" t="inlineStr">
        <is>
          <t>May-25</t>
        </is>
      </c>
      <c r="D14" s="3" t="inlineStr">
        <is>
          <t>Jun-25</t>
        </is>
      </c>
      <c r="E14" s="3" t="inlineStr">
        <is>
          <t>Jul-25</t>
        </is>
      </c>
      <c r="F14" s="3" t="inlineStr">
        <is>
          <t>Aug-25</t>
        </is>
      </c>
      <c r="G14" s="3" t="inlineStr">
        <is>
          <t>Sep-25</t>
        </is>
      </c>
      <c r="H14" s="3" t="inlineStr">
        <is>
          <t>Oct-25</t>
        </is>
      </c>
      <c r="I14" s="3" t="inlineStr">
        <is>
          <t>Nov-25</t>
        </is>
      </c>
      <c r="J14" s="3" t="inlineStr">
        <is>
          <t>Dec-25</t>
        </is>
      </c>
      <c r="K14" s="3" t="inlineStr">
        <is>
          <t>Jan-26</t>
        </is>
      </c>
      <c r="L14" s="3" t="inlineStr">
        <is>
          <t>Feb-26</t>
        </is>
      </c>
      <c r="M14" s="3" t="inlineStr">
        <is>
          <t>Mar-26</t>
        </is>
      </c>
      <c r="N14" s="3" t="inlineStr">
        <is>
          <t>FY total</t>
        </is>
      </c>
    </row>
    <row r="15">
      <c r="A15" t="inlineStr">
        <is>
          <t>Salaries</t>
        </is>
      </c>
      <c r="B15" s="9" t="n">
        <v>1901400</v>
      </c>
      <c r="C15" s="9" t="n">
        <v>1851700</v>
      </c>
      <c r="D15" s="9" t="n">
        <v>1768800</v>
      </c>
      <c r="E15" s="9" t="n">
        <v>1884400</v>
      </c>
      <c r="F15" s="9" t="n">
        <v>1833900</v>
      </c>
      <c r="G15" s="9" t="n">
        <v>1868500</v>
      </c>
      <c r="H15" s="9" t="n">
        <v>2016500</v>
      </c>
      <c r="I15" s="9" t="n">
        <v>1980300</v>
      </c>
      <c r="J15" s="9" t="n">
        <v>1994900</v>
      </c>
      <c r="K15" s="9" t="n">
        <v>2044200</v>
      </c>
      <c r="L15" s="9" t="n">
        <v>1960700</v>
      </c>
      <c r="M15" s="9" t="n">
        <v>1986900</v>
      </c>
      <c r="N15" s="9">
        <f>SUM(B15:M15)</f>
        <v/>
      </c>
    </row>
    <row r="16">
      <c r="A16" t="inlineStr">
        <is>
          <t>Office rent</t>
        </is>
      </c>
      <c r="B16" s="9" t="n">
        <v>404400</v>
      </c>
      <c r="C16" s="9" t="n">
        <v>399600</v>
      </c>
      <c r="D16" s="9" t="n">
        <v>418600</v>
      </c>
      <c r="E16" s="9" t="n">
        <v>432700</v>
      </c>
      <c r="F16" s="9" t="n">
        <v>425200</v>
      </c>
      <c r="G16" s="9" t="n">
        <v>433200</v>
      </c>
      <c r="H16" s="9" t="n">
        <v>412000</v>
      </c>
      <c r="I16" s="9" t="n">
        <v>439400</v>
      </c>
      <c r="J16" s="9" t="n">
        <v>421700</v>
      </c>
      <c r="K16" s="9" t="n">
        <v>420300</v>
      </c>
      <c r="L16" s="9" t="n">
        <v>417000</v>
      </c>
      <c r="M16" s="9" t="n">
        <v>407200</v>
      </c>
      <c r="N16" s="9">
        <f>SUM(B16:M16)</f>
        <v/>
      </c>
    </row>
    <row r="17">
      <c r="A17" t="inlineStr">
        <is>
          <t>Electricity</t>
        </is>
      </c>
      <c r="B17" s="9" t="n">
        <v>75000</v>
      </c>
      <c r="C17" s="9" t="n">
        <v>74600</v>
      </c>
      <c r="D17" s="9" t="n">
        <v>72300</v>
      </c>
      <c r="E17" s="9" t="n">
        <v>70900</v>
      </c>
      <c r="F17" s="9" t="n">
        <v>73000</v>
      </c>
      <c r="G17" s="9" t="n">
        <v>71100</v>
      </c>
      <c r="H17" s="9" t="n">
        <v>71700</v>
      </c>
      <c r="I17" s="9" t="n">
        <v>73200</v>
      </c>
      <c r="J17" s="9" t="n">
        <v>70100</v>
      </c>
      <c r="K17" s="9" t="n">
        <v>76100</v>
      </c>
      <c r="L17" s="9" t="n">
        <v>73500</v>
      </c>
      <c r="M17" s="9" t="n">
        <v>73000</v>
      </c>
      <c r="N17" s="9">
        <f>SUM(B17:M17)</f>
        <v/>
      </c>
    </row>
    <row r="18">
      <c r="A18" t="inlineStr">
        <is>
          <t>Travel</t>
        </is>
      </c>
      <c r="B18" s="9" t="n">
        <v>157600</v>
      </c>
      <c r="C18" s="9" t="n">
        <v>156700</v>
      </c>
      <c r="D18" s="9" t="n">
        <v>161500</v>
      </c>
      <c r="E18" s="9" t="n">
        <v>153000</v>
      </c>
      <c r="F18" s="9" t="n">
        <v>167400</v>
      </c>
      <c r="G18" s="9" t="n">
        <v>162200</v>
      </c>
      <c r="H18" s="9" t="n">
        <v>161900</v>
      </c>
      <c r="I18" s="9" t="n">
        <v>153300</v>
      </c>
      <c r="J18" s="9" t="n">
        <v>158100</v>
      </c>
      <c r="K18" s="9" t="n">
        <v>156300</v>
      </c>
      <c r="L18" s="9" t="n">
        <v>162600</v>
      </c>
      <c r="M18" s="9" t="n">
        <v>162100</v>
      </c>
      <c r="N18" s="9">
        <f>SUM(B18:M18)</f>
        <v/>
      </c>
    </row>
    <row r="19">
      <c r="A19" t="inlineStr">
        <is>
          <t>Marketing</t>
        </is>
      </c>
      <c r="B19" s="9" t="n">
        <v>271200</v>
      </c>
      <c r="C19" s="9" t="n">
        <v>280300</v>
      </c>
      <c r="D19" s="9" t="n">
        <v>277900</v>
      </c>
      <c r="E19" s="9" t="n">
        <v>277600</v>
      </c>
      <c r="F19" s="9" t="n">
        <v>290000</v>
      </c>
      <c r="G19" s="9" t="n">
        <v>284400</v>
      </c>
      <c r="H19" s="9" t="n">
        <v>439000</v>
      </c>
      <c r="I19" s="9" t="n">
        <v>474000</v>
      </c>
      <c r="J19" s="9" t="n">
        <v>286500</v>
      </c>
      <c r="K19" s="9" t="n">
        <v>277600</v>
      </c>
      <c r="L19" s="9" t="n">
        <v>281400</v>
      </c>
      <c r="M19" s="9" t="n">
        <v>277900</v>
      </c>
      <c r="N19" s="9">
        <f>SUM(B19:M19)</f>
        <v/>
      </c>
    </row>
    <row r="20">
      <c r="A20" t="inlineStr">
        <is>
          <t>IT and software</t>
        </is>
      </c>
      <c r="B20" s="9" t="n">
        <v>79900</v>
      </c>
      <c r="C20" s="9" t="n">
        <v>86000</v>
      </c>
      <c r="D20" s="9" t="n">
        <v>80300</v>
      </c>
      <c r="E20" s="9" t="n">
        <v>83500</v>
      </c>
      <c r="F20" s="9" t="n">
        <v>80600</v>
      </c>
      <c r="G20" s="9" t="n">
        <v>80800</v>
      </c>
      <c r="H20" s="9" t="n">
        <v>79700</v>
      </c>
      <c r="I20" s="9" t="n">
        <v>80400</v>
      </c>
      <c r="J20" s="9" t="n">
        <v>86300</v>
      </c>
      <c r="K20" s="9" t="n">
        <v>82700</v>
      </c>
      <c r="L20" s="9" t="n">
        <v>83600</v>
      </c>
      <c r="M20" s="9" t="n">
        <v>83700</v>
      </c>
      <c r="N20" s="9">
        <f>SUM(B20:M20)</f>
        <v/>
      </c>
    </row>
    <row r="21">
      <c r="A21" t="inlineStr">
        <is>
          <t>Office supplies</t>
        </is>
      </c>
      <c r="B21" s="9" t="n">
        <v>20900</v>
      </c>
      <c r="C21" s="9" t="n">
        <v>21200</v>
      </c>
      <c r="D21" s="9" t="n">
        <v>21800</v>
      </c>
      <c r="E21" s="9" t="n">
        <v>20300</v>
      </c>
      <c r="F21" s="9" t="n">
        <v>20700</v>
      </c>
      <c r="G21" s="9" t="n">
        <v>20300</v>
      </c>
      <c r="H21" s="9" t="n">
        <v>20300</v>
      </c>
      <c r="I21" s="9" t="n">
        <v>21500</v>
      </c>
      <c r="J21" s="9" t="n">
        <v>20400</v>
      </c>
      <c r="K21" s="9" t="n">
        <v>21100</v>
      </c>
      <c r="L21" s="9" t="n">
        <v>20400</v>
      </c>
      <c r="M21" s="9" t="n">
        <v>22100</v>
      </c>
      <c r="N21" s="9">
        <f>SUM(B21:M21)</f>
        <v/>
      </c>
    </row>
    <row r="22">
      <c r="A22" t="inlineStr">
        <is>
          <t>Professional fees</t>
        </is>
      </c>
      <c r="B22" s="9" t="n">
        <v>78000</v>
      </c>
      <c r="C22" s="9" t="n">
        <v>75400</v>
      </c>
      <c r="D22" s="9" t="n">
        <v>73600</v>
      </c>
      <c r="E22" s="9" t="n">
        <v>71400</v>
      </c>
      <c r="F22" s="9" t="n">
        <v>75300</v>
      </c>
      <c r="G22" s="9" t="n">
        <v>71800</v>
      </c>
      <c r="H22" s="9" t="n">
        <v>78600</v>
      </c>
      <c r="I22" s="9" t="n">
        <v>75300</v>
      </c>
      <c r="J22" s="9" t="n">
        <v>78300</v>
      </c>
      <c r="K22" s="9" t="n">
        <v>73100</v>
      </c>
      <c r="L22" s="9" t="n">
        <v>71300</v>
      </c>
      <c r="M22" s="9" t="n">
        <v>77000</v>
      </c>
      <c r="N22" s="9">
        <f>SUM(B22:M22)</f>
        <v/>
      </c>
    </row>
    <row r="23">
      <c r="A23" s="6" t="inlineStr">
        <is>
          <t>Total</t>
        </is>
      </c>
      <c r="B23" s="15">
        <f>SUM(B15:B22)</f>
        <v/>
      </c>
      <c r="C23" s="15">
        <f>SUM(C15:C22)</f>
        <v/>
      </c>
      <c r="D23" s="15">
        <f>SUM(D15:D22)</f>
        <v/>
      </c>
      <c r="E23" s="15">
        <f>SUM(E15:E22)</f>
        <v/>
      </c>
      <c r="F23" s="15">
        <f>SUM(F15:F22)</f>
        <v/>
      </c>
      <c r="G23" s="15">
        <f>SUM(G15:G22)</f>
        <v/>
      </c>
      <c r="H23" s="15">
        <f>SUM(H15:H22)</f>
        <v/>
      </c>
      <c r="I23" s="15">
        <f>SUM(I15:I22)</f>
        <v/>
      </c>
      <c r="J23" s="15">
        <f>SUM(J15:J22)</f>
        <v/>
      </c>
      <c r="K23" s="15">
        <f>SUM(K15:K22)</f>
        <v/>
      </c>
      <c r="L23" s="15">
        <f>SUM(L15:L22)</f>
        <v/>
      </c>
      <c r="M23" s="15">
        <f>SUM(M15:M22)</f>
        <v/>
      </c>
      <c r="N23" s="15">
        <f>SUM(N15:N22)</f>
        <v/>
      </c>
    </row>
    <row r="25">
      <c r="A25" s="14" t="inlineStr">
        <is>
          <t>Variance (Actual minus Budget): positive = overspent</t>
        </is>
      </c>
    </row>
    <row r="26">
      <c r="A26" s="3" t="inlineStr">
        <is>
          <t>Expense head</t>
        </is>
      </c>
      <c r="B26" s="3" t="inlineStr">
        <is>
          <t>Apr-25</t>
        </is>
      </c>
      <c r="C26" s="3" t="inlineStr">
        <is>
          <t>May-25</t>
        </is>
      </c>
      <c r="D26" s="3" t="inlineStr">
        <is>
          <t>Jun-25</t>
        </is>
      </c>
      <c r="E26" s="3" t="inlineStr">
        <is>
          <t>Jul-25</t>
        </is>
      </c>
      <c r="F26" s="3" t="inlineStr">
        <is>
          <t>Aug-25</t>
        </is>
      </c>
      <c r="G26" s="3" t="inlineStr">
        <is>
          <t>Sep-25</t>
        </is>
      </c>
      <c r="H26" s="3" t="inlineStr">
        <is>
          <t>Oct-25</t>
        </is>
      </c>
      <c r="I26" s="3" t="inlineStr">
        <is>
          <t>Nov-25</t>
        </is>
      </c>
      <c r="J26" s="3" t="inlineStr">
        <is>
          <t>Dec-25</t>
        </is>
      </c>
      <c r="K26" s="3" t="inlineStr">
        <is>
          <t>Jan-26</t>
        </is>
      </c>
      <c r="L26" s="3" t="inlineStr">
        <is>
          <t>Feb-26</t>
        </is>
      </c>
      <c r="M26" s="3" t="inlineStr">
        <is>
          <t>Mar-26</t>
        </is>
      </c>
      <c r="N26" s="3" t="inlineStr">
        <is>
          <t>FY total</t>
        </is>
      </c>
      <c r="O26" s="3" t="inlineStr">
        <is>
          <t>Variance %</t>
        </is>
      </c>
      <c r="P26" s="3" t="inlineStr">
        <is>
          <t>Status</t>
        </is>
      </c>
    </row>
    <row r="27">
      <c r="A27" t="inlineStr">
        <is>
          <t>Salaries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7" t="n"/>
      <c r="P27" s="4" t="n"/>
    </row>
    <row r="28">
      <c r="A28" t="inlineStr">
        <is>
          <t>Office rent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4" t="n"/>
    </row>
    <row r="29">
      <c r="A29" t="inlineStr">
        <is>
          <t>Electricity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7" t="n"/>
      <c r="P29" s="4" t="n"/>
    </row>
    <row r="30">
      <c r="A30" t="inlineStr">
        <is>
          <t>Travel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7" t="n"/>
      <c r="P30" s="4" t="n"/>
    </row>
    <row r="31">
      <c r="A31" t="inlineStr">
        <is>
          <t>Marketing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4" t="n"/>
    </row>
    <row r="32">
      <c r="A32" t="inlineStr">
        <is>
          <t>IT and software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7" t="n"/>
      <c r="P32" s="4" t="n"/>
    </row>
    <row r="33">
      <c r="A33" t="inlineStr">
        <is>
          <t>Office supplies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7" t="n"/>
      <c r="P33" s="4" t="n"/>
    </row>
    <row r="34">
      <c r="A34" t="inlineStr">
        <is>
          <t>Professional fees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4" t="n"/>
    </row>
    <row r="35">
      <c r="A35" s="6" t="inlineStr">
        <is>
          <t>Total</t>
        </is>
      </c>
      <c r="B35" s="18">
        <f>SUM(B27:B34)</f>
        <v/>
      </c>
      <c r="C35" s="18">
        <f>SUM(C27:C34)</f>
        <v/>
      </c>
      <c r="D35" s="18">
        <f>SUM(D27:D34)</f>
        <v/>
      </c>
      <c r="E35" s="18">
        <f>SUM(E27:E34)</f>
        <v/>
      </c>
      <c r="F35" s="18">
        <f>SUM(F27:F34)</f>
        <v/>
      </c>
      <c r="G35" s="18">
        <f>SUM(G27:G34)</f>
        <v/>
      </c>
      <c r="H35" s="18">
        <f>SUM(H27:H34)</f>
        <v/>
      </c>
      <c r="I35" s="18">
        <f>SUM(I27:I34)</f>
        <v/>
      </c>
      <c r="J35" s="18">
        <f>SUM(J27:J34)</f>
        <v/>
      </c>
      <c r="K35" s="18">
        <f>SUM(K27:K34)</f>
        <v/>
      </c>
      <c r="L35" s="18">
        <f>SUM(L27:L34)</f>
        <v/>
      </c>
      <c r="M35" s="18">
        <f>SUM(M27:M34)</f>
        <v/>
      </c>
      <c r="N35" s="18">
        <f>SUM(N27:N34)</f>
        <v/>
      </c>
      <c r="O35" s="19">
        <f>N35/N11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  <col width="10" customWidth="1" min="15" max="15"/>
    <col width="13" customWidth="1" min="16" max="16"/>
  </cols>
  <sheetData>
    <row r="1">
      <c r="A1" s="14" t="inlineStr">
        <is>
          <t>Budget FY 2025-26 (April to March)</t>
        </is>
      </c>
    </row>
    <row r="2">
      <c r="A2" s="3" t="inlineStr">
        <is>
          <t>Expense head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FY total</t>
        </is>
      </c>
    </row>
    <row r="3">
      <c r="A3" t="inlineStr">
        <is>
          <t>Salaries</t>
        </is>
      </c>
      <c r="B3" s="9" t="n">
        <v>1850000</v>
      </c>
      <c r="C3" s="9" t="n">
        <v>1850000</v>
      </c>
      <c r="D3" s="9" t="n">
        <v>1850000</v>
      </c>
      <c r="E3" s="9" t="n">
        <v>1850000</v>
      </c>
      <c r="F3" s="9" t="n">
        <v>1850000</v>
      </c>
      <c r="G3" s="9" t="n">
        <v>1850000</v>
      </c>
      <c r="H3" s="9" t="n">
        <v>1961000</v>
      </c>
      <c r="I3" s="9" t="n">
        <v>1961000</v>
      </c>
      <c r="J3" s="9" t="n">
        <v>1961000</v>
      </c>
      <c r="K3" s="9" t="n">
        <v>1961000</v>
      </c>
      <c r="L3" s="9" t="n">
        <v>1961000</v>
      </c>
      <c r="M3" s="9" t="n">
        <v>1961000</v>
      </c>
      <c r="N3" s="9">
        <f>SUM(B3:M3)</f>
        <v/>
      </c>
    </row>
    <row r="4">
      <c r="A4" t="inlineStr">
        <is>
          <t>Office rent</t>
        </is>
      </c>
      <c r="B4" s="9" t="n">
        <v>420000</v>
      </c>
      <c r="C4" s="9" t="n">
        <v>420000</v>
      </c>
      <c r="D4" s="9" t="n">
        <v>420000</v>
      </c>
      <c r="E4" s="9" t="n">
        <v>420000</v>
      </c>
      <c r="F4" s="9" t="n">
        <v>420000</v>
      </c>
      <c r="G4" s="9" t="n">
        <v>420000</v>
      </c>
      <c r="H4" s="9" t="n">
        <v>420000</v>
      </c>
      <c r="I4" s="9" t="n">
        <v>420000</v>
      </c>
      <c r="J4" s="9" t="n">
        <v>420000</v>
      </c>
      <c r="K4" s="9" t="n">
        <v>420000</v>
      </c>
      <c r="L4" s="9" t="n">
        <v>420000</v>
      </c>
      <c r="M4" s="9" t="n">
        <v>420000</v>
      </c>
      <c r="N4" s="9">
        <f>SUM(B4:M4)</f>
        <v/>
      </c>
    </row>
    <row r="5">
      <c r="A5" t="inlineStr">
        <is>
          <t>Electricity</t>
        </is>
      </c>
      <c r="B5" s="9" t="n">
        <v>68000</v>
      </c>
      <c r="C5" s="9" t="n">
        <v>68000</v>
      </c>
      <c r="D5" s="9" t="n">
        <v>68000</v>
      </c>
      <c r="E5" s="9" t="n">
        <v>68000</v>
      </c>
      <c r="F5" s="9" t="n">
        <v>68000</v>
      </c>
      <c r="G5" s="9" t="n">
        <v>68000</v>
      </c>
      <c r="H5" s="9" t="n">
        <v>68000</v>
      </c>
      <c r="I5" s="9" t="n">
        <v>68000</v>
      </c>
      <c r="J5" s="9" t="n">
        <v>68000</v>
      </c>
      <c r="K5" s="9" t="n">
        <v>68000</v>
      </c>
      <c r="L5" s="9" t="n">
        <v>68000</v>
      </c>
      <c r="M5" s="9" t="n">
        <v>68000</v>
      </c>
      <c r="N5" s="9">
        <f>SUM(B5:M5)</f>
        <v/>
      </c>
    </row>
    <row r="6">
      <c r="A6" t="inlineStr">
        <is>
          <t>Travel</t>
        </is>
      </c>
      <c r="B6" s="9" t="n">
        <v>140000</v>
      </c>
      <c r="C6" s="9" t="n">
        <v>140000</v>
      </c>
      <c r="D6" s="9" t="n">
        <v>140000</v>
      </c>
      <c r="E6" s="9" t="n">
        <v>140000</v>
      </c>
      <c r="F6" s="9" t="n">
        <v>140000</v>
      </c>
      <c r="G6" s="9" t="n">
        <v>140000</v>
      </c>
      <c r="H6" s="9" t="n">
        <v>140000</v>
      </c>
      <c r="I6" s="9" t="n">
        <v>140000</v>
      </c>
      <c r="J6" s="9" t="n">
        <v>140000</v>
      </c>
      <c r="K6" s="9" t="n">
        <v>140000</v>
      </c>
      <c r="L6" s="9" t="n">
        <v>140000</v>
      </c>
      <c r="M6" s="9" t="n">
        <v>140000</v>
      </c>
      <c r="N6" s="9">
        <f>SUM(B6:M6)</f>
        <v/>
      </c>
    </row>
    <row r="7">
      <c r="A7" t="inlineStr">
        <is>
          <t>Marketing</t>
        </is>
      </c>
      <c r="B7" s="9" t="n">
        <v>260000</v>
      </c>
      <c r="C7" s="9" t="n">
        <v>260000</v>
      </c>
      <c r="D7" s="9" t="n">
        <v>260000</v>
      </c>
      <c r="E7" s="9" t="n">
        <v>260000</v>
      </c>
      <c r="F7" s="9" t="n">
        <v>260000</v>
      </c>
      <c r="G7" s="9" t="n">
        <v>260000</v>
      </c>
      <c r="H7" s="9" t="n">
        <v>416000</v>
      </c>
      <c r="I7" s="9" t="n">
        <v>416000</v>
      </c>
      <c r="J7" s="9" t="n">
        <v>260000</v>
      </c>
      <c r="K7" s="9" t="n">
        <v>260000</v>
      </c>
      <c r="L7" s="9" t="n">
        <v>260000</v>
      </c>
      <c r="M7" s="9" t="n">
        <v>260000</v>
      </c>
      <c r="N7" s="9">
        <f>SUM(B7:M7)</f>
        <v/>
      </c>
    </row>
    <row r="8">
      <c r="A8" t="inlineStr">
        <is>
          <t>IT and software</t>
        </is>
      </c>
      <c r="B8" s="9" t="n">
        <v>95000</v>
      </c>
      <c r="C8" s="9" t="n">
        <v>95000</v>
      </c>
      <c r="D8" s="9" t="n">
        <v>95000</v>
      </c>
      <c r="E8" s="9" t="n">
        <v>95000</v>
      </c>
      <c r="F8" s="9" t="n">
        <v>95000</v>
      </c>
      <c r="G8" s="9" t="n">
        <v>95000</v>
      </c>
      <c r="H8" s="9" t="n">
        <v>95000</v>
      </c>
      <c r="I8" s="9" t="n">
        <v>95000</v>
      </c>
      <c r="J8" s="9" t="n">
        <v>95000</v>
      </c>
      <c r="K8" s="9" t="n">
        <v>95000</v>
      </c>
      <c r="L8" s="9" t="n">
        <v>95000</v>
      </c>
      <c r="M8" s="9" t="n">
        <v>95000</v>
      </c>
      <c r="N8" s="9">
        <f>SUM(B8:M8)</f>
        <v/>
      </c>
    </row>
    <row r="9">
      <c r="A9" t="inlineStr">
        <is>
          <t>Office supplies</t>
        </is>
      </c>
      <c r="B9" s="9" t="n">
        <v>22000</v>
      </c>
      <c r="C9" s="9" t="n">
        <v>22000</v>
      </c>
      <c r="D9" s="9" t="n">
        <v>22000</v>
      </c>
      <c r="E9" s="9" t="n">
        <v>22000</v>
      </c>
      <c r="F9" s="9" t="n">
        <v>22000</v>
      </c>
      <c r="G9" s="9" t="n">
        <v>22000</v>
      </c>
      <c r="H9" s="9" t="n">
        <v>22000</v>
      </c>
      <c r="I9" s="9" t="n">
        <v>22000</v>
      </c>
      <c r="J9" s="9" t="n">
        <v>22000</v>
      </c>
      <c r="K9" s="9" t="n">
        <v>22000</v>
      </c>
      <c r="L9" s="9" t="n">
        <v>22000</v>
      </c>
      <c r="M9" s="9" t="n">
        <v>22000</v>
      </c>
      <c r="N9" s="9">
        <f>SUM(B9:M9)</f>
        <v/>
      </c>
    </row>
    <row r="10">
      <c r="A10" t="inlineStr">
        <is>
          <t>Professional fees</t>
        </is>
      </c>
      <c r="B10" s="9" t="n">
        <v>75000</v>
      </c>
      <c r="C10" s="9" t="n">
        <v>75000</v>
      </c>
      <c r="D10" s="9" t="n">
        <v>75000</v>
      </c>
      <c r="E10" s="9" t="n">
        <v>75000</v>
      </c>
      <c r="F10" s="9" t="n">
        <v>75000</v>
      </c>
      <c r="G10" s="9" t="n">
        <v>75000</v>
      </c>
      <c r="H10" s="9" t="n">
        <v>75000</v>
      </c>
      <c r="I10" s="9" t="n">
        <v>75000</v>
      </c>
      <c r="J10" s="9" t="n">
        <v>75000</v>
      </c>
      <c r="K10" s="9" t="n">
        <v>75000</v>
      </c>
      <c r="L10" s="9" t="n">
        <v>75000</v>
      </c>
      <c r="M10" s="9" t="n">
        <v>75000</v>
      </c>
      <c r="N10" s="9">
        <f>SUM(B10:M10)</f>
        <v/>
      </c>
    </row>
    <row r="11">
      <c r="A11" s="6" t="inlineStr">
        <is>
          <t>Total</t>
        </is>
      </c>
      <c r="B11" s="15">
        <f>SUM(B3:B10)</f>
        <v/>
      </c>
      <c r="C11" s="15">
        <f>SUM(C3:C10)</f>
        <v/>
      </c>
      <c r="D11" s="15">
        <f>SUM(D3:D10)</f>
        <v/>
      </c>
      <c r="E11" s="15">
        <f>SUM(E3:E10)</f>
        <v/>
      </c>
      <c r="F11" s="15">
        <f>SUM(F3:F10)</f>
        <v/>
      </c>
      <c r="G11" s="15">
        <f>SUM(G3:G10)</f>
        <v/>
      </c>
      <c r="H11" s="15">
        <f>SUM(H3:H10)</f>
        <v/>
      </c>
      <c r="I11" s="15">
        <f>SUM(I3:I10)</f>
        <v/>
      </c>
      <c r="J11" s="15">
        <f>SUM(J3:J10)</f>
        <v/>
      </c>
      <c r="K11" s="15">
        <f>SUM(K3:K10)</f>
        <v/>
      </c>
      <c r="L11" s="15">
        <f>SUM(L3:L10)</f>
        <v/>
      </c>
      <c r="M11" s="15">
        <f>SUM(M3:M10)</f>
        <v/>
      </c>
      <c r="N11" s="15">
        <f>SUM(N3:N10)</f>
        <v/>
      </c>
    </row>
    <row r="13">
      <c r="A13" s="14" t="inlineStr">
        <is>
          <t>Actual FY 2025-26</t>
        </is>
      </c>
    </row>
    <row r="14">
      <c r="A14" s="3" t="inlineStr">
        <is>
          <t>Expense head</t>
        </is>
      </c>
      <c r="B14" s="3" t="inlineStr">
        <is>
          <t>Apr-25</t>
        </is>
      </c>
      <c r="C14" s="3" t="inlineStr">
        <is>
          <t>May-25</t>
        </is>
      </c>
      <c r="D14" s="3" t="inlineStr">
        <is>
          <t>Jun-25</t>
        </is>
      </c>
      <c r="E14" s="3" t="inlineStr">
        <is>
          <t>Jul-25</t>
        </is>
      </c>
      <c r="F14" s="3" t="inlineStr">
        <is>
          <t>Aug-25</t>
        </is>
      </c>
      <c r="G14" s="3" t="inlineStr">
        <is>
          <t>Sep-25</t>
        </is>
      </c>
      <c r="H14" s="3" t="inlineStr">
        <is>
          <t>Oct-25</t>
        </is>
      </c>
      <c r="I14" s="3" t="inlineStr">
        <is>
          <t>Nov-25</t>
        </is>
      </c>
      <c r="J14" s="3" t="inlineStr">
        <is>
          <t>Dec-25</t>
        </is>
      </c>
      <c r="K14" s="3" t="inlineStr">
        <is>
          <t>Jan-26</t>
        </is>
      </c>
      <c r="L14" s="3" t="inlineStr">
        <is>
          <t>Feb-26</t>
        </is>
      </c>
      <c r="M14" s="3" t="inlineStr">
        <is>
          <t>Mar-26</t>
        </is>
      </c>
      <c r="N14" s="3" t="inlineStr">
        <is>
          <t>FY total</t>
        </is>
      </c>
    </row>
    <row r="15">
      <c r="A15" t="inlineStr">
        <is>
          <t>Salaries</t>
        </is>
      </c>
      <c r="B15" s="9" t="n">
        <v>1901400</v>
      </c>
      <c r="C15" s="9" t="n">
        <v>1851700</v>
      </c>
      <c r="D15" s="9" t="n">
        <v>1768800</v>
      </c>
      <c r="E15" s="9" t="n">
        <v>1884400</v>
      </c>
      <c r="F15" s="9" t="n">
        <v>1833900</v>
      </c>
      <c r="G15" s="9" t="n">
        <v>1868500</v>
      </c>
      <c r="H15" s="9" t="n">
        <v>2016500</v>
      </c>
      <c r="I15" s="9" t="n">
        <v>1980300</v>
      </c>
      <c r="J15" s="9" t="n">
        <v>1994900</v>
      </c>
      <c r="K15" s="9" t="n">
        <v>2044200</v>
      </c>
      <c r="L15" s="9" t="n">
        <v>1960700</v>
      </c>
      <c r="M15" s="9" t="n">
        <v>1986900</v>
      </c>
      <c r="N15" s="9">
        <f>SUM(B15:M15)</f>
        <v/>
      </c>
    </row>
    <row r="16">
      <c r="A16" t="inlineStr">
        <is>
          <t>Office rent</t>
        </is>
      </c>
      <c r="B16" s="9" t="n">
        <v>404400</v>
      </c>
      <c r="C16" s="9" t="n">
        <v>399600</v>
      </c>
      <c r="D16" s="9" t="n">
        <v>418600</v>
      </c>
      <c r="E16" s="9" t="n">
        <v>432700</v>
      </c>
      <c r="F16" s="9" t="n">
        <v>425200</v>
      </c>
      <c r="G16" s="9" t="n">
        <v>433200</v>
      </c>
      <c r="H16" s="9" t="n">
        <v>412000</v>
      </c>
      <c r="I16" s="9" t="n">
        <v>439400</v>
      </c>
      <c r="J16" s="9" t="n">
        <v>421700</v>
      </c>
      <c r="K16" s="9" t="n">
        <v>420300</v>
      </c>
      <c r="L16" s="9" t="n">
        <v>417000</v>
      </c>
      <c r="M16" s="9" t="n">
        <v>407200</v>
      </c>
      <c r="N16" s="9">
        <f>SUM(B16:M16)</f>
        <v/>
      </c>
    </row>
    <row r="17">
      <c r="A17" t="inlineStr">
        <is>
          <t>Electricity</t>
        </is>
      </c>
      <c r="B17" s="9" t="n">
        <v>75000</v>
      </c>
      <c r="C17" s="9" t="n">
        <v>74600</v>
      </c>
      <c r="D17" s="9" t="n">
        <v>72300</v>
      </c>
      <c r="E17" s="9" t="n">
        <v>70900</v>
      </c>
      <c r="F17" s="9" t="n">
        <v>73000</v>
      </c>
      <c r="G17" s="9" t="n">
        <v>71100</v>
      </c>
      <c r="H17" s="9" t="n">
        <v>71700</v>
      </c>
      <c r="I17" s="9" t="n">
        <v>73200</v>
      </c>
      <c r="J17" s="9" t="n">
        <v>70100</v>
      </c>
      <c r="K17" s="9" t="n">
        <v>76100</v>
      </c>
      <c r="L17" s="9" t="n">
        <v>73500</v>
      </c>
      <c r="M17" s="9" t="n">
        <v>73000</v>
      </c>
      <c r="N17" s="9">
        <f>SUM(B17:M17)</f>
        <v/>
      </c>
    </row>
    <row r="18">
      <c r="A18" t="inlineStr">
        <is>
          <t>Travel</t>
        </is>
      </c>
      <c r="B18" s="9" t="n">
        <v>157600</v>
      </c>
      <c r="C18" s="9" t="n">
        <v>156700</v>
      </c>
      <c r="D18" s="9" t="n">
        <v>161500</v>
      </c>
      <c r="E18" s="9" t="n">
        <v>153000</v>
      </c>
      <c r="F18" s="9" t="n">
        <v>167400</v>
      </c>
      <c r="G18" s="9" t="n">
        <v>162200</v>
      </c>
      <c r="H18" s="9" t="n">
        <v>161900</v>
      </c>
      <c r="I18" s="9" t="n">
        <v>153300</v>
      </c>
      <c r="J18" s="9" t="n">
        <v>158100</v>
      </c>
      <c r="K18" s="9" t="n">
        <v>156300</v>
      </c>
      <c r="L18" s="9" t="n">
        <v>162600</v>
      </c>
      <c r="M18" s="9" t="n">
        <v>162100</v>
      </c>
      <c r="N18" s="9">
        <f>SUM(B18:M18)</f>
        <v/>
      </c>
    </row>
    <row r="19">
      <c r="A19" t="inlineStr">
        <is>
          <t>Marketing</t>
        </is>
      </c>
      <c r="B19" s="9" t="n">
        <v>271200</v>
      </c>
      <c r="C19" s="9" t="n">
        <v>280300</v>
      </c>
      <c r="D19" s="9" t="n">
        <v>277900</v>
      </c>
      <c r="E19" s="9" t="n">
        <v>277600</v>
      </c>
      <c r="F19" s="9" t="n">
        <v>290000</v>
      </c>
      <c r="G19" s="9" t="n">
        <v>284400</v>
      </c>
      <c r="H19" s="9" t="n">
        <v>439000</v>
      </c>
      <c r="I19" s="9" t="n">
        <v>474000</v>
      </c>
      <c r="J19" s="9" t="n">
        <v>286500</v>
      </c>
      <c r="K19" s="9" t="n">
        <v>277600</v>
      </c>
      <c r="L19" s="9" t="n">
        <v>281400</v>
      </c>
      <c r="M19" s="9" t="n">
        <v>277900</v>
      </c>
      <c r="N19" s="9">
        <f>SUM(B19:M19)</f>
        <v/>
      </c>
    </row>
    <row r="20">
      <c r="A20" t="inlineStr">
        <is>
          <t>IT and software</t>
        </is>
      </c>
      <c r="B20" s="9" t="n">
        <v>79900</v>
      </c>
      <c r="C20" s="9" t="n">
        <v>86000</v>
      </c>
      <c r="D20" s="9" t="n">
        <v>80300</v>
      </c>
      <c r="E20" s="9" t="n">
        <v>83500</v>
      </c>
      <c r="F20" s="9" t="n">
        <v>80600</v>
      </c>
      <c r="G20" s="9" t="n">
        <v>80800</v>
      </c>
      <c r="H20" s="9" t="n">
        <v>79700</v>
      </c>
      <c r="I20" s="9" t="n">
        <v>80400</v>
      </c>
      <c r="J20" s="9" t="n">
        <v>86300</v>
      </c>
      <c r="K20" s="9" t="n">
        <v>82700</v>
      </c>
      <c r="L20" s="9" t="n">
        <v>83600</v>
      </c>
      <c r="M20" s="9" t="n">
        <v>83700</v>
      </c>
      <c r="N20" s="9">
        <f>SUM(B20:M20)</f>
        <v/>
      </c>
    </row>
    <row r="21">
      <c r="A21" t="inlineStr">
        <is>
          <t>Office supplies</t>
        </is>
      </c>
      <c r="B21" s="9" t="n">
        <v>20900</v>
      </c>
      <c r="C21" s="9" t="n">
        <v>21200</v>
      </c>
      <c r="D21" s="9" t="n">
        <v>21800</v>
      </c>
      <c r="E21" s="9" t="n">
        <v>20300</v>
      </c>
      <c r="F21" s="9" t="n">
        <v>20700</v>
      </c>
      <c r="G21" s="9" t="n">
        <v>20300</v>
      </c>
      <c r="H21" s="9" t="n">
        <v>20300</v>
      </c>
      <c r="I21" s="9" t="n">
        <v>21500</v>
      </c>
      <c r="J21" s="9" t="n">
        <v>20400</v>
      </c>
      <c r="K21" s="9" t="n">
        <v>21100</v>
      </c>
      <c r="L21" s="9" t="n">
        <v>20400</v>
      </c>
      <c r="M21" s="9" t="n">
        <v>22100</v>
      </c>
      <c r="N21" s="9">
        <f>SUM(B21:M21)</f>
        <v/>
      </c>
    </row>
    <row r="22">
      <c r="A22" t="inlineStr">
        <is>
          <t>Professional fees</t>
        </is>
      </c>
      <c r="B22" s="9" t="n">
        <v>78000</v>
      </c>
      <c r="C22" s="9" t="n">
        <v>75400</v>
      </c>
      <c r="D22" s="9" t="n">
        <v>73600</v>
      </c>
      <c r="E22" s="9" t="n">
        <v>71400</v>
      </c>
      <c r="F22" s="9" t="n">
        <v>75300</v>
      </c>
      <c r="G22" s="9" t="n">
        <v>71800</v>
      </c>
      <c r="H22" s="9" t="n">
        <v>78600</v>
      </c>
      <c r="I22" s="9" t="n">
        <v>75300</v>
      </c>
      <c r="J22" s="9" t="n">
        <v>78300</v>
      </c>
      <c r="K22" s="9" t="n">
        <v>73100</v>
      </c>
      <c r="L22" s="9" t="n">
        <v>71300</v>
      </c>
      <c r="M22" s="9" t="n">
        <v>77000</v>
      </c>
      <c r="N22" s="9">
        <f>SUM(B22:M22)</f>
        <v/>
      </c>
    </row>
    <row r="23">
      <c r="A23" s="6" t="inlineStr">
        <is>
          <t>Total</t>
        </is>
      </c>
      <c r="B23" s="15">
        <f>SUM(B15:B22)</f>
        <v/>
      </c>
      <c r="C23" s="15">
        <f>SUM(C15:C22)</f>
        <v/>
      </c>
      <c r="D23" s="15">
        <f>SUM(D15:D22)</f>
        <v/>
      </c>
      <c r="E23" s="15">
        <f>SUM(E15:E22)</f>
        <v/>
      </c>
      <c r="F23" s="15">
        <f>SUM(F15:F22)</f>
        <v/>
      </c>
      <c r="G23" s="15">
        <f>SUM(G15:G22)</f>
        <v/>
      </c>
      <c r="H23" s="15">
        <f>SUM(H15:H22)</f>
        <v/>
      </c>
      <c r="I23" s="15">
        <f>SUM(I15:I22)</f>
        <v/>
      </c>
      <c r="J23" s="15">
        <f>SUM(J15:J22)</f>
        <v/>
      </c>
      <c r="K23" s="15">
        <f>SUM(K15:K22)</f>
        <v/>
      </c>
      <c r="L23" s="15">
        <f>SUM(L15:L22)</f>
        <v/>
      </c>
      <c r="M23" s="15">
        <f>SUM(M15:M22)</f>
        <v/>
      </c>
      <c r="N23" s="15">
        <f>SUM(N15:N22)</f>
        <v/>
      </c>
    </row>
    <row r="25">
      <c r="A25" s="14" t="inlineStr">
        <is>
          <t>Variance (Actual minus Budget): positive = overspent</t>
        </is>
      </c>
    </row>
    <row r="26">
      <c r="A26" s="3" t="inlineStr">
        <is>
          <t>Expense head</t>
        </is>
      </c>
      <c r="B26" s="3" t="inlineStr">
        <is>
          <t>Apr-25</t>
        </is>
      </c>
      <c r="C26" s="3" t="inlineStr">
        <is>
          <t>May-25</t>
        </is>
      </c>
      <c r="D26" s="3" t="inlineStr">
        <is>
          <t>Jun-25</t>
        </is>
      </c>
      <c r="E26" s="3" t="inlineStr">
        <is>
          <t>Jul-25</t>
        </is>
      </c>
      <c r="F26" s="3" t="inlineStr">
        <is>
          <t>Aug-25</t>
        </is>
      </c>
      <c r="G26" s="3" t="inlineStr">
        <is>
          <t>Sep-25</t>
        </is>
      </c>
      <c r="H26" s="3" t="inlineStr">
        <is>
          <t>Oct-25</t>
        </is>
      </c>
      <c r="I26" s="3" t="inlineStr">
        <is>
          <t>Nov-25</t>
        </is>
      </c>
      <c r="J26" s="3" t="inlineStr">
        <is>
          <t>Dec-25</t>
        </is>
      </c>
      <c r="K26" s="3" t="inlineStr">
        <is>
          <t>Jan-26</t>
        </is>
      </c>
      <c r="L26" s="3" t="inlineStr">
        <is>
          <t>Feb-26</t>
        </is>
      </c>
      <c r="M26" s="3" t="inlineStr">
        <is>
          <t>Mar-26</t>
        </is>
      </c>
      <c r="N26" s="3" t="inlineStr">
        <is>
          <t>FY total</t>
        </is>
      </c>
      <c r="O26" s="3" t="inlineStr">
        <is>
          <t>Variance %</t>
        </is>
      </c>
      <c r="P26" s="3" t="inlineStr">
        <is>
          <t>Status</t>
        </is>
      </c>
    </row>
    <row r="27">
      <c r="A27" t="inlineStr">
        <is>
          <t>Salaries</t>
        </is>
      </c>
      <c r="B27" s="16">
        <f>B15-B3</f>
        <v/>
      </c>
      <c r="C27" s="16">
        <f>C15-C3</f>
        <v/>
      </c>
      <c r="D27" s="16">
        <f>D15-D3</f>
        <v/>
      </c>
      <c r="E27" s="16">
        <f>E15-E3</f>
        <v/>
      </c>
      <c r="F27" s="16">
        <f>F15-F3</f>
        <v/>
      </c>
      <c r="G27" s="16">
        <f>G15-G3</f>
        <v/>
      </c>
      <c r="H27" s="16">
        <f>H15-H3</f>
        <v/>
      </c>
      <c r="I27" s="16">
        <f>I15-I3</f>
        <v/>
      </c>
      <c r="J27" s="16">
        <f>J15-J3</f>
        <v/>
      </c>
      <c r="K27" s="16">
        <f>K15-K3</f>
        <v/>
      </c>
      <c r="L27" s="16">
        <f>L15-L3</f>
        <v/>
      </c>
      <c r="M27" s="16">
        <f>M15-M3</f>
        <v/>
      </c>
      <c r="N27" s="16">
        <f>N15-N3</f>
        <v/>
      </c>
      <c r="O27" s="17">
        <f>N27/N3</f>
        <v/>
      </c>
      <c r="P27" s="4">
        <f>IF(O27&gt;5%,"Over budget",IF(O27&lt;-5%,"Under budget","On track"))</f>
        <v/>
      </c>
    </row>
    <row r="28">
      <c r="A28" t="inlineStr">
        <is>
          <t>Office rent</t>
        </is>
      </c>
      <c r="B28" s="16">
        <f>B16-B4</f>
        <v/>
      </c>
      <c r="C28" s="16">
        <f>C16-C4</f>
        <v/>
      </c>
      <c r="D28" s="16">
        <f>D16-D4</f>
        <v/>
      </c>
      <c r="E28" s="16">
        <f>E16-E4</f>
        <v/>
      </c>
      <c r="F28" s="16">
        <f>F16-F4</f>
        <v/>
      </c>
      <c r="G28" s="16">
        <f>G16-G4</f>
        <v/>
      </c>
      <c r="H28" s="16">
        <f>H16-H4</f>
        <v/>
      </c>
      <c r="I28" s="16">
        <f>I16-I4</f>
        <v/>
      </c>
      <c r="J28" s="16">
        <f>J16-J4</f>
        <v/>
      </c>
      <c r="K28" s="16">
        <f>K16-K4</f>
        <v/>
      </c>
      <c r="L28" s="16">
        <f>L16-L4</f>
        <v/>
      </c>
      <c r="M28" s="16">
        <f>M16-M4</f>
        <v/>
      </c>
      <c r="N28" s="16">
        <f>N16-N4</f>
        <v/>
      </c>
      <c r="O28" s="17">
        <f>N28/N4</f>
        <v/>
      </c>
      <c r="P28" s="4">
        <f>IF(O28&gt;5%,"Over budget",IF(O28&lt;-5%,"Under budget","On track"))</f>
        <v/>
      </c>
    </row>
    <row r="29">
      <c r="A29" t="inlineStr">
        <is>
          <t>Electricity</t>
        </is>
      </c>
      <c r="B29" s="16">
        <f>B17-B5</f>
        <v/>
      </c>
      <c r="C29" s="16">
        <f>C17-C5</f>
        <v/>
      </c>
      <c r="D29" s="16">
        <f>D17-D5</f>
        <v/>
      </c>
      <c r="E29" s="16">
        <f>E17-E5</f>
        <v/>
      </c>
      <c r="F29" s="16">
        <f>F17-F5</f>
        <v/>
      </c>
      <c r="G29" s="16">
        <f>G17-G5</f>
        <v/>
      </c>
      <c r="H29" s="16">
        <f>H17-H5</f>
        <v/>
      </c>
      <c r="I29" s="16">
        <f>I17-I5</f>
        <v/>
      </c>
      <c r="J29" s="16">
        <f>J17-J5</f>
        <v/>
      </c>
      <c r="K29" s="16">
        <f>K17-K5</f>
        <v/>
      </c>
      <c r="L29" s="16">
        <f>L17-L5</f>
        <v/>
      </c>
      <c r="M29" s="16">
        <f>M17-M5</f>
        <v/>
      </c>
      <c r="N29" s="16">
        <f>N17-N5</f>
        <v/>
      </c>
      <c r="O29" s="17">
        <f>N29/N5</f>
        <v/>
      </c>
      <c r="P29" s="4">
        <f>IF(O29&gt;5%,"Over budget",IF(O29&lt;-5%,"Under budget","On track"))</f>
        <v/>
      </c>
    </row>
    <row r="30">
      <c r="A30" t="inlineStr">
        <is>
          <t>Travel</t>
        </is>
      </c>
      <c r="B30" s="16">
        <f>B18-B6</f>
        <v/>
      </c>
      <c r="C30" s="16">
        <f>C18-C6</f>
        <v/>
      </c>
      <c r="D30" s="16">
        <f>D18-D6</f>
        <v/>
      </c>
      <c r="E30" s="16">
        <f>E18-E6</f>
        <v/>
      </c>
      <c r="F30" s="16">
        <f>F18-F6</f>
        <v/>
      </c>
      <c r="G30" s="16">
        <f>G18-G6</f>
        <v/>
      </c>
      <c r="H30" s="16">
        <f>H18-H6</f>
        <v/>
      </c>
      <c r="I30" s="16">
        <f>I18-I6</f>
        <v/>
      </c>
      <c r="J30" s="16">
        <f>J18-J6</f>
        <v/>
      </c>
      <c r="K30" s="16">
        <f>K18-K6</f>
        <v/>
      </c>
      <c r="L30" s="16">
        <f>L18-L6</f>
        <v/>
      </c>
      <c r="M30" s="16">
        <f>M18-M6</f>
        <v/>
      </c>
      <c r="N30" s="16">
        <f>N18-N6</f>
        <v/>
      </c>
      <c r="O30" s="17">
        <f>N30/N6</f>
        <v/>
      </c>
      <c r="P30" s="4">
        <f>IF(O30&gt;5%,"Over budget",IF(O30&lt;-5%,"Under budget","On track"))</f>
        <v/>
      </c>
    </row>
    <row r="31">
      <c r="A31" t="inlineStr">
        <is>
          <t>Marketing</t>
        </is>
      </c>
      <c r="B31" s="16">
        <f>B19-B7</f>
        <v/>
      </c>
      <c r="C31" s="16">
        <f>C19-C7</f>
        <v/>
      </c>
      <c r="D31" s="16">
        <f>D19-D7</f>
        <v/>
      </c>
      <c r="E31" s="16">
        <f>E19-E7</f>
        <v/>
      </c>
      <c r="F31" s="16">
        <f>F19-F7</f>
        <v/>
      </c>
      <c r="G31" s="16">
        <f>G19-G7</f>
        <v/>
      </c>
      <c r="H31" s="16">
        <f>H19-H7</f>
        <v/>
      </c>
      <c r="I31" s="16">
        <f>I19-I7</f>
        <v/>
      </c>
      <c r="J31" s="16">
        <f>J19-J7</f>
        <v/>
      </c>
      <c r="K31" s="16">
        <f>K19-K7</f>
        <v/>
      </c>
      <c r="L31" s="16">
        <f>L19-L7</f>
        <v/>
      </c>
      <c r="M31" s="16">
        <f>M19-M7</f>
        <v/>
      </c>
      <c r="N31" s="16">
        <f>N19-N7</f>
        <v/>
      </c>
      <c r="O31" s="17">
        <f>N31/N7</f>
        <v/>
      </c>
      <c r="P31" s="4">
        <f>IF(O31&gt;5%,"Over budget",IF(O31&lt;-5%,"Under budget","On track"))</f>
        <v/>
      </c>
    </row>
    <row r="32">
      <c r="A32" t="inlineStr">
        <is>
          <t>IT and software</t>
        </is>
      </c>
      <c r="B32" s="16">
        <f>B20-B8</f>
        <v/>
      </c>
      <c r="C32" s="16">
        <f>C20-C8</f>
        <v/>
      </c>
      <c r="D32" s="16">
        <f>D20-D8</f>
        <v/>
      </c>
      <c r="E32" s="16">
        <f>E20-E8</f>
        <v/>
      </c>
      <c r="F32" s="16">
        <f>F20-F8</f>
        <v/>
      </c>
      <c r="G32" s="16">
        <f>G20-G8</f>
        <v/>
      </c>
      <c r="H32" s="16">
        <f>H20-H8</f>
        <v/>
      </c>
      <c r="I32" s="16">
        <f>I20-I8</f>
        <v/>
      </c>
      <c r="J32" s="16">
        <f>J20-J8</f>
        <v/>
      </c>
      <c r="K32" s="16">
        <f>K20-K8</f>
        <v/>
      </c>
      <c r="L32" s="16">
        <f>L20-L8</f>
        <v/>
      </c>
      <c r="M32" s="16">
        <f>M20-M8</f>
        <v/>
      </c>
      <c r="N32" s="16">
        <f>N20-N8</f>
        <v/>
      </c>
      <c r="O32" s="17">
        <f>N32/N8</f>
        <v/>
      </c>
      <c r="P32" s="4">
        <f>IF(O32&gt;5%,"Over budget",IF(O32&lt;-5%,"Under budget","On track"))</f>
        <v/>
      </c>
    </row>
    <row r="33">
      <c r="A33" t="inlineStr">
        <is>
          <t>Office supplies</t>
        </is>
      </c>
      <c r="B33" s="16">
        <f>B21-B9</f>
        <v/>
      </c>
      <c r="C33" s="16">
        <f>C21-C9</f>
        <v/>
      </c>
      <c r="D33" s="16">
        <f>D21-D9</f>
        <v/>
      </c>
      <c r="E33" s="16">
        <f>E21-E9</f>
        <v/>
      </c>
      <c r="F33" s="16">
        <f>F21-F9</f>
        <v/>
      </c>
      <c r="G33" s="16">
        <f>G21-G9</f>
        <v/>
      </c>
      <c r="H33" s="16">
        <f>H21-H9</f>
        <v/>
      </c>
      <c r="I33" s="16">
        <f>I21-I9</f>
        <v/>
      </c>
      <c r="J33" s="16">
        <f>J21-J9</f>
        <v/>
      </c>
      <c r="K33" s="16">
        <f>K21-K9</f>
        <v/>
      </c>
      <c r="L33" s="16">
        <f>L21-L9</f>
        <v/>
      </c>
      <c r="M33" s="16">
        <f>M21-M9</f>
        <v/>
      </c>
      <c r="N33" s="16">
        <f>N21-N9</f>
        <v/>
      </c>
      <c r="O33" s="17">
        <f>N33/N9</f>
        <v/>
      </c>
      <c r="P33" s="4">
        <f>IF(O33&gt;5%,"Over budget",IF(O33&lt;-5%,"Under budget","On track"))</f>
        <v/>
      </c>
    </row>
    <row r="34">
      <c r="A34" t="inlineStr">
        <is>
          <t>Professional fees</t>
        </is>
      </c>
      <c r="B34" s="16">
        <f>B22-B10</f>
        <v/>
      </c>
      <c r="C34" s="16">
        <f>C22-C10</f>
        <v/>
      </c>
      <c r="D34" s="16">
        <f>D22-D10</f>
        <v/>
      </c>
      <c r="E34" s="16">
        <f>E22-E10</f>
        <v/>
      </c>
      <c r="F34" s="16">
        <f>F22-F10</f>
        <v/>
      </c>
      <c r="G34" s="16">
        <f>G22-G10</f>
        <v/>
      </c>
      <c r="H34" s="16">
        <f>H22-H10</f>
        <v/>
      </c>
      <c r="I34" s="16">
        <f>I22-I10</f>
        <v/>
      </c>
      <c r="J34" s="16">
        <f>J22-J10</f>
        <v/>
      </c>
      <c r="K34" s="16">
        <f>K22-K10</f>
        <v/>
      </c>
      <c r="L34" s="16">
        <f>L22-L10</f>
        <v/>
      </c>
      <c r="M34" s="16">
        <f>M22-M10</f>
        <v/>
      </c>
      <c r="N34" s="16">
        <f>N22-N10</f>
        <v/>
      </c>
      <c r="O34" s="17">
        <f>N34/N10</f>
        <v/>
      </c>
      <c r="P34" s="4">
        <f>IF(O34&gt;5%,"Over budget",IF(O34&lt;-5%,"Under budget","On track"))</f>
        <v/>
      </c>
    </row>
    <row r="35">
      <c r="A35" s="6" t="inlineStr">
        <is>
          <t>Total</t>
        </is>
      </c>
      <c r="B35" s="18">
        <f>SUM(B27:B34)</f>
        <v/>
      </c>
      <c r="C35" s="18">
        <f>SUM(C27:C34)</f>
        <v/>
      </c>
      <c r="D35" s="18">
        <f>SUM(D27:D34)</f>
        <v/>
      </c>
      <c r="E35" s="18">
        <f>SUM(E27:E34)</f>
        <v/>
      </c>
      <c r="F35" s="18">
        <f>SUM(F27:F34)</f>
        <v/>
      </c>
      <c r="G35" s="18">
        <f>SUM(G27:G34)</f>
        <v/>
      </c>
      <c r="H35" s="18">
        <f>SUM(H27:H34)</f>
        <v/>
      </c>
      <c r="I35" s="18">
        <f>SUM(I27:I34)</f>
        <v/>
      </c>
      <c r="J35" s="18">
        <f>SUM(J27:J34)</f>
        <v/>
      </c>
      <c r="K35" s="18">
        <f>SUM(K27:K34)</f>
        <v/>
      </c>
      <c r="L35" s="18">
        <f>SUM(L27:L34)</f>
        <v/>
      </c>
      <c r="M35" s="18">
        <f>SUM(M27:M34)</f>
        <v/>
      </c>
      <c r="N35" s="18">
        <f>SUM(N27:N34)</f>
        <v/>
      </c>
      <c r="O35" s="19">
        <f>N35/N11</f>
        <v/>
      </c>
    </row>
  </sheetData>
  <conditionalFormatting sqref="P27:P34">
    <cfRule type="expression" priority="1" dxfId="0">
      <formula>ISNUMBER(SEARCH("Over",P27))</formula>
    </cfRule>
    <cfRule type="expression" priority="2" dxfId="1">
      <formula>ISNUMBER(SEARCH("On track",P27))</formula>
    </cfRule>
    <cfRule type="expression" priority="3" dxfId="2">
      <formula>ISNUMBER(SEARCH("Under",P27))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4" customWidth="1" min="4" max="4"/>
    <col width="16" customWidth="1" min="5" max="5"/>
    <col width="14" customWidth="1" min="6" max="6"/>
    <col width="5" customWidth="1" min="7" max="7"/>
    <col width="12" customWidth="1" min="8" max="8"/>
    <col width="24" customWidth="1" min="10" max="10"/>
    <col width="14" customWidth="1" min="11" max="11"/>
    <col width="12" customWidth="1" min="12" max="12"/>
  </cols>
  <sheetData>
    <row r="1">
      <c r="A1" s="3" t="inlineStr">
        <is>
          <t>Invoice No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State</t>
        </is>
      </c>
      <c r="E1" s="3" t="inlineStr">
        <is>
          <t>Category</t>
        </is>
      </c>
      <c r="F1" s="3" t="inlineStr">
        <is>
          <t>Sales exec</t>
        </is>
      </c>
      <c r="G1" s="3" t="inlineStr">
        <is>
          <t>Qty</t>
        </is>
      </c>
      <c r="H1" s="3" t="inlineStr">
        <is>
          <t>Net amount</t>
        </is>
      </c>
      <c r="J1" s="12" t="inlineStr">
        <is>
          <t>Sales MIS: Q2 FY 2026-27 (July to September 2026)</t>
        </is>
      </c>
    </row>
    <row r="2">
      <c r="A2" t="inlineStr">
        <is>
          <t>INV-26070001</t>
        </is>
      </c>
      <c r="B2" s="5" t="n">
        <v>46205</v>
      </c>
      <c r="C2" t="inlineStr">
        <is>
          <t>South</t>
        </is>
      </c>
      <c r="D2" t="inlineStr">
        <is>
          <t>Telangana</t>
        </is>
      </c>
      <c r="E2" t="inlineStr">
        <is>
          <t>Furniture</t>
        </is>
      </c>
      <c r="F2" t="inlineStr">
        <is>
          <t>Eshan Gill</t>
        </is>
      </c>
      <c r="G2" t="n">
        <v>6</v>
      </c>
      <c r="H2" s="9" t="n">
        <v>286910</v>
      </c>
    </row>
    <row r="3">
      <c r="A3" t="inlineStr">
        <is>
          <t>INV-26070002</t>
        </is>
      </c>
      <c r="B3" s="5" t="n">
        <v>46206</v>
      </c>
      <c r="C3" t="inlineStr">
        <is>
          <t>North</t>
        </is>
      </c>
      <c r="D3" t="inlineStr">
        <is>
          <t>Punjab</t>
        </is>
      </c>
      <c r="E3" t="inlineStr">
        <is>
          <t>Lighting</t>
        </is>
      </c>
      <c r="F3" t="inlineStr">
        <is>
          <t>Amit Saxena</t>
        </is>
      </c>
      <c r="G3" t="n">
        <v>4</v>
      </c>
      <c r="H3" s="9" t="n">
        <v>11240</v>
      </c>
      <c r="J3" s="6" t="inlineStr">
        <is>
          <t>Total sales</t>
        </is>
      </c>
      <c r="K3" s="10" t="n"/>
    </row>
    <row r="4">
      <c r="A4" t="inlineStr">
        <is>
          <t>INV-26070003</t>
        </is>
      </c>
      <c r="B4" s="5" t="n">
        <v>46208</v>
      </c>
      <c r="C4" t="inlineStr">
        <is>
          <t>North</t>
        </is>
      </c>
      <c r="D4" t="inlineStr">
        <is>
          <t>Punjab</t>
        </is>
      </c>
      <c r="E4" t="inlineStr">
        <is>
          <t>Furniture</t>
        </is>
      </c>
      <c r="F4" t="inlineStr">
        <is>
          <t>Amit Saxena</t>
        </is>
      </c>
      <c r="G4" t="n">
        <v>1</v>
      </c>
      <c r="H4" s="9" t="n">
        <v>13620</v>
      </c>
      <c r="J4" s="6" t="inlineStr">
        <is>
          <t>Invoices</t>
        </is>
      </c>
      <c r="K4" s="20" t="n"/>
    </row>
    <row r="5">
      <c r="A5" t="inlineStr">
        <is>
          <t>INV-26070004</t>
        </is>
      </c>
      <c r="B5" s="5" t="n">
        <v>46211</v>
      </c>
      <c r="C5" t="inlineStr">
        <is>
          <t>North</t>
        </is>
      </c>
      <c r="D5" t="inlineStr">
        <is>
          <t>Uttar Pradesh</t>
        </is>
      </c>
      <c r="E5" t="inlineStr">
        <is>
          <t>Furniture</t>
        </is>
      </c>
      <c r="F5" t="inlineStr">
        <is>
          <t>Divya Bhat</t>
        </is>
      </c>
      <c r="G5" t="n">
        <v>7</v>
      </c>
      <c r="H5" s="9" t="n">
        <v>211100</v>
      </c>
      <c r="J5" s="6" t="inlineStr">
        <is>
          <t>Average invoice</t>
        </is>
      </c>
      <c r="K5" s="10" t="n"/>
    </row>
    <row r="6">
      <c r="A6" t="inlineStr">
        <is>
          <t>INV-26070005</t>
        </is>
      </c>
      <c r="B6" s="5" t="n">
        <v>46211</v>
      </c>
      <c r="C6" t="inlineStr">
        <is>
          <t>West</t>
        </is>
      </c>
      <c r="D6" t="inlineStr">
        <is>
          <t>Rajasthan</t>
        </is>
      </c>
      <c r="E6" t="inlineStr">
        <is>
          <t>Furniture</t>
        </is>
      </c>
      <c r="F6" t="inlineStr">
        <is>
          <t>Bhavna Rao</t>
        </is>
      </c>
      <c r="G6" t="n">
        <v>4</v>
      </c>
      <c r="H6" s="9" t="n">
        <v>68250</v>
      </c>
      <c r="J6" s="6" t="inlineStr">
        <is>
          <t>Top region</t>
        </is>
      </c>
      <c r="K6" s="4" t="n"/>
    </row>
    <row r="7">
      <c r="A7" t="inlineStr">
        <is>
          <t>INV-26070006</t>
        </is>
      </c>
      <c r="B7" s="5" t="n">
        <v>46212</v>
      </c>
      <c r="C7" t="inlineStr">
        <is>
          <t>North</t>
        </is>
      </c>
      <c r="D7" t="inlineStr">
        <is>
          <t>Uttar Pradesh</t>
        </is>
      </c>
      <c r="E7" t="inlineStr">
        <is>
          <t>Furniture</t>
        </is>
      </c>
      <c r="F7" t="inlineStr">
        <is>
          <t>Amit Saxena</t>
        </is>
      </c>
      <c r="G7" t="n">
        <v>7</v>
      </c>
      <c r="H7" s="9" t="n">
        <v>164370</v>
      </c>
    </row>
    <row r="8">
      <c r="A8" t="inlineStr">
        <is>
          <t>INV-26070007</t>
        </is>
      </c>
      <c r="B8" s="5" t="n">
        <v>46212</v>
      </c>
      <c r="C8" t="inlineStr">
        <is>
          <t>South</t>
        </is>
      </c>
      <c r="D8" t="inlineStr">
        <is>
          <t>Kerala</t>
        </is>
      </c>
      <c r="E8" t="inlineStr">
        <is>
          <t>Home appliances</t>
        </is>
      </c>
      <c r="F8" t="inlineStr">
        <is>
          <t>Divya Bhat</t>
        </is>
      </c>
      <c r="G8" t="n">
        <v>1</v>
      </c>
      <c r="H8" s="9" t="n">
        <v>56300</v>
      </c>
    </row>
    <row r="9">
      <c r="A9" t="inlineStr">
        <is>
          <t>INV-26070008</t>
        </is>
      </c>
      <c r="B9" s="5" t="n">
        <v>46213</v>
      </c>
      <c r="C9" t="inlineStr">
        <is>
          <t>East</t>
        </is>
      </c>
      <c r="D9" t="inlineStr">
        <is>
          <t>Odisha</t>
        </is>
      </c>
      <c r="E9" t="inlineStr">
        <is>
          <t>Furniture</t>
        </is>
      </c>
      <c r="F9" t="inlineStr">
        <is>
          <t>Chetan Pillai</t>
        </is>
      </c>
      <c r="G9" t="n">
        <v>2</v>
      </c>
      <c r="H9" s="9" t="n">
        <v>40180</v>
      </c>
      <c r="J9" s="3" t="inlineStr">
        <is>
          <t>Region</t>
        </is>
      </c>
      <c r="K9" s="3" t="inlineStr">
        <is>
          <t>Sales</t>
        </is>
      </c>
      <c r="L9" s="3" t="inlineStr">
        <is>
          <t>Share</t>
        </is>
      </c>
    </row>
    <row r="10">
      <c r="A10" t="inlineStr">
        <is>
          <t>INV-26070009</t>
        </is>
      </c>
      <c r="B10" s="5" t="n">
        <v>46213</v>
      </c>
      <c r="C10" t="inlineStr">
        <is>
          <t>South</t>
        </is>
      </c>
      <c r="D10" t="inlineStr">
        <is>
          <t>Tamil Nadu</t>
        </is>
      </c>
      <c r="E10" t="inlineStr">
        <is>
          <t>Kitchenware</t>
        </is>
      </c>
      <c r="F10" t="inlineStr">
        <is>
          <t>Fatima Sheikh</t>
        </is>
      </c>
      <c r="G10" t="n">
        <v>4</v>
      </c>
      <c r="H10" s="9" t="n">
        <v>33600</v>
      </c>
      <c r="J10" t="inlineStr">
        <is>
          <t>North</t>
        </is>
      </c>
      <c r="K10" s="10" t="n"/>
      <c r="L10" s="17" t="n"/>
    </row>
    <row r="11">
      <c r="A11" t="inlineStr">
        <is>
          <t>INV-26070010</t>
        </is>
      </c>
      <c r="B11" s="5" t="n">
        <v>46213</v>
      </c>
      <c r="C11" t="inlineStr">
        <is>
          <t>North</t>
        </is>
      </c>
      <c r="D11" t="inlineStr">
        <is>
          <t>Delhi</t>
        </is>
      </c>
      <c r="E11" t="inlineStr">
        <is>
          <t>Home appliances</t>
        </is>
      </c>
      <c r="F11" t="inlineStr">
        <is>
          <t>Fatima Sheikh</t>
        </is>
      </c>
      <c r="G11" t="n">
        <v>5</v>
      </c>
      <c r="H11" s="9" t="n">
        <v>173480</v>
      </c>
      <c r="J11" t="inlineStr">
        <is>
          <t>South</t>
        </is>
      </c>
      <c r="K11" s="10" t="n"/>
      <c r="L11" s="17" t="n"/>
    </row>
    <row r="12">
      <c r="A12" t="inlineStr">
        <is>
          <t>INV-26070011</t>
        </is>
      </c>
      <c r="B12" s="5" t="n">
        <v>46214</v>
      </c>
      <c r="C12" t="inlineStr">
        <is>
          <t>North</t>
        </is>
      </c>
      <c r="D12" t="inlineStr">
        <is>
          <t>Punjab</t>
        </is>
      </c>
      <c r="E12" t="inlineStr">
        <is>
          <t>Lighting</t>
        </is>
      </c>
      <c r="F12" t="inlineStr">
        <is>
          <t>Amit Saxena</t>
        </is>
      </c>
      <c r="G12" t="n">
        <v>1</v>
      </c>
      <c r="H12" s="9" t="n">
        <v>4920</v>
      </c>
      <c r="J12" t="inlineStr">
        <is>
          <t>East</t>
        </is>
      </c>
      <c r="K12" s="10" t="n"/>
      <c r="L12" s="17" t="n"/>
    </row>
    <row r="13">
      <c r="A13" t="inlineStr">
        <is>
          <t>INV-26070012</t>
        </is>
      </c>
      <c r="B13" s="5" t="n">
        <v>46215</v>
      </c>
      <c r="C13" t="inlineStr">
        <is>
          <t>South</t>
        </is>
      </c>
      <c r="D13" t="inlineStr">
        <is>
          <t>Tamil Nadu</t>
        </is>
      </c>
      <c r="E13" t="inlineStr">
        <is>
          <t>Furniture</t>
        </is>
      </c>
      <c r="F13" t="inlineStr">
        <is>
          <t>Chetan Pillai</t>
        </is>
      </c>
      <c r="G13" t="n">
        <v>8</v>
      </c>
      <c r="H13" s="9" t="n">
        <v>255950</v>
      </c>
      <c r="J13" t="inlineStr">
        <is>
          <t>West</t>
        </is>
      </c>
      <c r="K13" s="10" t="n"/>
      <c r="L13" s="17" t="n"/>
    </row>
    <row r="14">
      <c r="A14" t="inlineStr">
        <is>
          <t>INV-26070013</t>
        </is>
      </c>
      <c r="B14" s="5" t="n">
        <v>46215</v>
      </c>
      <c r="C14" t="inlineStr">
        <is>
          <t>West</t>
        </is>
      </c>
      <c r="D14" t="inlineStr">
        <is>
          <t>Maharashtra</t>
        </is>
      </c>
      <c r="E14" t="inlineStr">
        <is>
          <t>Furniture</t>
        </is>
      </c>
      <c r="F14" t="inlineStr">
        <is>
          <t>Divya Bhat</t>
        </is>
      </c>
      <c r="G14" t="n">
        <v>4</v>
      </c>
      <c r="H14" s="9" t="n">
        <v>190610</v>
      </c>
    </row>
    <row r="15">
      <c r="A15" t="inlineStr">
        <is>
          <t>INV-26070014</t>
        </is>
      </c>
      <c r="B15" s="5" t="n">
        <v>46215</v>
      </c>
      <c r="C15" t="inlineStr">
        <is>
          <t>North</t>
        </is>
      </c>
      <c r="D15" t="inlineStr">
        <is>
          <t>Delhi</t>
        </is>
      </c>
      <c r="E15" t="inlineStr">
        <is>
          <t>Lighting</t>
        </is>
      </c>
      <c r="F15" t="inlineStr">
        <is>
          <t>Chetan Pillai</t>
        </is>
      </c>
      <c r="G15" t="n">
        <v>3</v>
      </c>
      <c r="H15" s="9" t="n">
        <v>23140</v>
      </c>
      <c r="J15" s="3" t="inlineStr">
        <is>
          <t>Month</t>
        </is>
      </c>
      <c r="K15" s="3" t="inlineStr">
        <is>
          <t>Sales</t>
        </is>
      </c>
      <c r="L15" s="3" t="inlineStr">
        <is>
          <t>Growth vs last month</t>
        </is>
      </c>
    </row>
    <row r="16">
      <c r="A16" t="inlineStr">
        <is>
          <t>INV-26070015</t>
        </is>
      </c>
      <c r="B16" s="5" t="n">
        <v>46216</v>
      </c>
      <c r="C16" t="inlineStr">
        <is>
          <t>West</t>
        </is>
      </c>
      <c r="D16" t="inlineStr">
        <is>
          <t>Maharashtra</t>
        </is>
      </c>
      <c r="E16" t="inlineStr">
        <is>
          <t>Furniture</t>
        </is>
      </c>
      <c r="F16" t="inlineStr">
        <is>
          <t>Chetan Pillai</t>
        </is>
      </c>
      <c r="G16" t="n">
        <v>3</v>
      </c>
      <c r="H16" s="9" t="n">
        <v>127960</v>
      </c>
      <c r="J16" s="21" t="n">
        <v>46204</v>
      </c>
      <c r="K16" s="10" t="n"/>
    </row>
    <row r="17">
      <c r="A17" t="inlineStr">
        <is>
          <t>INV-26070016</t>
        </is>
      </c>
      <c r="B17" s="5" t="n">
        <v>46216</v>
      </c>
      <c r="C17" t="inlineStr">
        <is>
          <t>North</t>
        </is>
      </c>
      <c r="D17" t="inlineStr">
        <is>
          <t>Delhi</t>
        </is>
      </c>
      <c r="E17" t="inlineStr">
        <is>
          <t>Furniture</t>
        </is>
      </c>
      <c r="F17" t="inlineStr">
        <is>
          <t>Bhavna Rao</t>
        </is>
      </c>
      <c r="G17" t="n">
        <v>1</v>
      </c>
      <c r="H17" s="9" t="n">
        <v>23560</v>
      </c>
      <c r="J17" s="21" t="n">
        <v>46235</v>
      </c>
      <c r="K17" s="10" t="n"/>
      <c r="L17" s="17" t="n"/>
    </row>
    <row r="18">
      <c r="A18" t="inlineStr">
        <is>
          <t>INV-26070017</t>
        </is>
      </c>
      <c r="B18" s="5" t="n">
        <v>46218</v>
      </c>
      <c r="C18" t="inlineStr">
        <is>
          <t>West</t>
        </is>
      </c>
      <c r="D18" t="inlineStr">
        <is>
          <t>Rajasthan</t>
        </is>
      </c>
      <c r="E18" t="inlineStr">
        <is>
          <t>Home appliances</t>
        </is>
      </c>
      <c r="F18" t="inlineStr">
        <is>
          <t>Amit Saxena</t>
        </is>
      </c>
      <c r="G18" t="n">
        <v>6</v>
      </c>
      <c r="H18" s="9" t="n">
        <v>278410</v>
      </c>
      <c r="J18" s="21" t="n">
        <v>46266</v>
      </c>
      <c r="K18" s="10" t="n"/>
      <c r="L18" s="17" t="n"/>
    </row>
    <row r="19">
      <c r="A19" t="inlineStr">
        <is>
          <t>INV-26070018</t>
        </is>
      </c>
      <c r="B19" s="5" t="n">
        <v>46219</v>
      </c>
      <c r="C19" t="inlineStr">
        <is>
          <t>North</t>
        </is>
      </c>
      <c r="D19" t="inlineStr">
        <is>
          <t>Delhi</t>
        </is>
      </c>
      <c r="E19" t="inlineStr">
        <is>
          <t>Home appliances</t>
        </is>
      </c>
      <c r="F19" t="inlineStr">
        <is>
          <t>Divya Bhat</t>
        </is>
      </c>
      <c r="G19" t="n">
        <v>7</v>
      </c>
      <c r="H19" s="9" t="n">
        <v>300500</v>
      </c>
    </row>
    <row r="20">
      <c r="A20" t="inlineStr">
        <is>
          <t>INV-26070019</t>
        </is>
      </c>
      <c r="B20" s="5" t="n">
        <v>46219</v>
      </c>
      <c r="C20" t="inlineStr">
        <is>
          <t>East</t>
        </is>
      </c>
      <c r="D20" t="inlineStr">
        <is>
          <t>Odisha</t>
        </is>
      </c>
      <c r="E20" t="inlineStr">
        <is>
          <t>Kitchenware</t>
        </is>
      </c>
      <c r="F20" t="inlineStr">
        <is>
          <t>Chetan Pillai</t>
        </is>
      </c>
      <c r="G20" t="n">
        <v>8</v>
      </c>
      <c r="H20" s="9" t="n">
        <v>50130</v>
      </c>
      <c r="J20" s="3" t="inlineStr">
        <is>
          <t>Category</t>
        </is>
      </c>
      <c r="K20" s="3" t="inlineStr">
        <is>
          <t>Sales</t>
        </is>
      </c>
      <c r="L20" s="3" t="inlineStr">
        <is>
          <t>Share</t>
        </is>
      </c>
    </row>
    <row r="21">
      <c r="A21" t="inlineStr">
        <is>
          <t>INV-26070020</t>
        </is>
      </c>
      <c r="B21" s="5" t="n">
        <v>46219</v>
      </c>
      <c r="C21" t="inlineStr">
        <is>
          <t>South</t>
        </is>
      </c>
      <c r="D21" t="inlineStr">
        <is>
          <t>Karnataka</t>
        </is>
      </c>
      <c r="E21" t="inlineStr">
        <is>
          <t>Kitchenware</t>
        </is>
      </c>
      <c r="F21" t="inlineStr">
        <is>
          <t>Divya Bhat</t>
        </is>
      </c>
      <c r="G21" t="n">
        <v>2</v>
      </c>
      <c r="H21" s="9" t="n">
        <v>17780</v>
      </c>
      <c r="J21" t="inlineStr">
        <is>
          <t>Home appliances</t>
        </is>
      </c>
      <c r="K21" s="10" t="n"/>
      <c r="L21" s="17" t="n"/>
    </row>
    <row r="22">
      <c r="A22" t="inlineStr">
        <is>
          <t>INV-26070021</t>
        </is>
      </c>
      <c r="B22" s="5" t="n">
        <v>46220</v>
      </c>
      <c r="C22" t="inlineStr">
        <is>
          <t>North</t>
        </is>
      </c>
      <c r="D22" t="inlineStr">
        <is>
          <t>Delhi</t>
        </is>
      </c>
      <c r="E22" t="inlineStr">
        <is>
          <t>Kitchenware</t>
        </is>
      </c>
      <c r="F22" t="inlineStr">
        <is>
          <t>Bhavna Rao</t>
        </is>
      </c>
      <c r="G22" t="n">
        <v>7</v>
      </c>
      <c r="H22" s="9" t="n">
        <v>36860</v>
      </c>
      <c r="J22" t="inlineStr">
        <is>
          <t>Kitchenware</t>
        </is>
      </c>
      <c r="K22" s="10" t="n"/>
      <c r="L22" s="17" t="n"/>
    </row>
    <row r="23">
      <c r="A23" t="inlineStr">
        <is>
          <t>INV-26070022</t>
        </is>
      </c>
      <c r="B23" s="5" t="n">
        <v>46220</v>
      </c>
      <c r="C23" t="inlineStr">
        <is>
          <t>North</t>
        </is>
      </c>
      <c r="D23" t="inlineStr">
        <is>
          <t>Delhi</t>
        </is>
      </c>
      <c r="E23" t="inlineStr">
        <is>
          <t>Lighting</t>
        </is>
      </c>
      <c r="F23" t="inlineStr">
        <is>
          <t>Amit Saxena</t>
        </is>
      </c>
      <c r="G23" t="n">
        <v>1</v>
      </c>
      <c r="H23" s="9" t="n">
        <v>7860</v>
      </c>
      <c r="J23" t="inlineStr">
        <is>
          <t>Lighting</t>
        </is>
      </c>
      <c r="K23" s="10" t="n"/>
      <c r="L23" s="17" t="n"/>
    </row>
    <row r="24">
      <c r="A24" t="inlineStr">
        <is>
          <t>INV-26070023</t>
        </is>
      </c>
      <c r="B24" s="5" t="n">
        <v>46220</v>
      </c>
      <c r="C24" t="inlineStr">
        <is>
          <t>North</t>
        </is>
      </c>
      <c r="D24" t="inlineStr">
        <is>
          <t>Punjab</t>
        </is>
      </c>
      <c r="E24" t="inlineStr">
        <is>
          <t>Kitchenware</t>
        </is>
      </c>
      <c r="F24" t="inlineStr">
        <is>
          <t>Fatima Sheikh</t>
        </is>
      </c>
      <c r="G24" t="n">
        <v>5</v>
      </c>
      <c r="H24" s="9" t="n">
        <v>45350</v>
      </c>
      <c r="J24" t="inlineStr">
        <is>
          <t>Furniture</t>
        </is>
      </c>
      <c r="K24" s="10" t="n"/>
      <c r="L24" s="17" t="n"/>
    </row>
    <row r="25">
      <c r="A25" t="inlineStr">
        <is>
          <t>INV-26070024</t>
        </is>
      </c>
      <c r="B25" s="5" t="n">
        <v>46222</v>
      </c>
      <c r="C25" t="inlineStr">
        <is>
          <t>West</t>
        </is>
      </c>
      <c r="D25" t="inlineStr">
        <is>
          <t>Rajasthan</t>
        </is>
      </c>
      <c r="E25" t="inlineStr">
        <is>
          <t>Home appliances</t>
        </is>
      </c>
      <c r="F25" t="inlineStr">
        <is>
          <t>Eshan Gill</t>
        </is>
      </c>
      <c r="G25" t="n">
        <v>1</v>
      </c>
      <c r="H25" s="9" t="n">
        <v>50680</v>
      </c>
    </row>
    <row r="26">
      <c r="A26" t="inlineStr">
        <is>
          <t>INV-26070025</t>
        </is>
      </c>
      <c r="B26" s="5" t="n">
        <v>46222</v>
      </c>
      <c r="C26" t="inlineStr">
        <is>
          <t>South</t>
        </is>
      </c>
      <c r="D26" t="inlineStr">
        <is>
          <t>Tamil Nadu</t>
        </is>
      </c>
      <c r="E26" t="inlineStr">
        <is>
          <t>Lighting</t>
        </is>
      </c>
      <c r="F26" t="inlineStr">
        <is>
          <t>Amit Saxena</t>
        </is>
      </c>
      <c r="G26" t="n">
        <v>7</v>
      </c>
      <c r="H26" s="9" t="n">
        <v>60850</v>
      </c>
      <c r="J26" s="6" t="inlineStr">
        <is>
          <t>Commentary (AI draft, checked against the numbers above)</t>
        </is>
      </c>
    </row>
    <row r="27">
      <c r="A27" t="inlineStr">
        <is>
          <t>INV-26070026</t>
        </is>
      </c>
      <c r="B27" s="5" t="n">
        <v>46223</v>
      </c>
      <c r="C27" t="inlineStr">
        <is>
          <t>East</t>
        </is>
      </c>
      <c r="D27" t="inlineStr">
        <is>
          <t>Bihar</t>
        </is>
      </c>
      <c r="E27" t="inlineStr">
        <is>
          <t>Kitchenware</t>
        </is>
      </c>
      <c r="F27" t="inlineStr">
        <is>
          <t>Eshan Gill</t>
        </is>
      </c>
      <c r="G27" t="n">
        <v>2</v>
      </c>
      <c r="H27" s="9" t="n">
        <v>12480</v>
      </c>
      <c r="J27" s="4" t="n"/>
    </row>
    <row r="28">
      <c r="A28" t="inlineStr">
        <is>
          <t>INV-26070027</t>
        </is>
      </c>
      <c r="B28" s="5" t="n">
        <v>46223</v>
      </c>
      <c r="C28" t="inlineStr">
        <is>
          <t>East</t>
        </is>
      </c>
      <c r="D28" t="inlineStr">
        <is>
          <t>Bihar</t>
        </is>
      </c>
      <c r="E28" t="inlineStr">
        <is>
          <t>Furniture</t>
        </is>
      </c>
      <c r="F28" t="inlineStr">
        <is>
          <t>Eshan Gill</t>
        </is>
      </c>
      <c r="G28" t="n">
        <v>2</v>
      </c>
      <c r="H28" s="9" t="n">
        <v>61110</v>
      </c>
      <c r="J28" s="4" t="n"/>
    </row>
    <row r="29">
      <c r="A29" t="inlineStr">
        <is>
          <t>INV-26070028</t>
        </is>
      </c>
      <c r="B29" s="5" t="n">
        <v>46224</v>
      </c>
      <c r="C29" t="inlineStr">
        <is>
          <t>North</t>
        </is>
      </c>
      <c r="D29" t="inlineStr">
        <is>
          <t>Punjab</t>
        </is>
      </c>
      <c r="E29" t="inlineStr">
        <is>
          <t>Home appliances</t>
        </is>
      </c>
      <c r="F29" t="inlineStr">
        <is>
          <t>Divya Bhat</t>
        </is>
      </c>
      <c r="G29" t="n">
        <v>6</v>
      </c>
      <c r="H29" s="9" t="n">
        <v>238960</v>
      </c>
      <c r="J29" s="4" t="n"/>
    </row>
    <row r="30">
      <c r="A30" t="inlineStr">
        <is>
          <t>INV-26070029</t>
        </is>
      </c>
      <c r="B30" s="5" t="n">
        <v>46224</v>
      </c>
      <c r="C30" t="inlineStr">
        <is>
          <t>South</t>
        </is>
      </c>
      <c r="D30" t="inlineStr">
        <is>
          <t>Kerala</t>
        </is>
      </c>
      <c r="E30" t="inlineStr">
        <is>
          <t>Home appliances</t>
        </is>
      </c>
      <c r="F30" t="inlineStr">
        <is>
          <t>Divya Bhat</t>
        </is>
      </c>
      <c r="G30" t="n">
        <v>2</v>
      </c>
      <c r="H30" s="9" t="n">
        <v>81250</v>
      </c>
      <c r="J30" s="4" t="n"/>
    </row>
    <row r="31">
      <c r="A31" t="inlineStr">
        <is>
          <t>INV-26070030</t>
        </is>
      </c>
      <c r="B31" s="5" t="n">
        <v>46224</v>
      </c>
      <c r="C31" t="inlineStr">
        <is>
          <t>South</t>
        </is>
      </c>
      <c r="D31" t="inlineStr">
        <is>
          <t>Tamil Nadu</t>
        </is>
      </c>
      <c r="E31" t="inlineStr">
        <is>
          <t>Lighting</t>
        </is>
      </c>
      <c r="F31" t="inlineStr">
        <is>
          <t>Amit Saxena</t>
        </is>
      </c>
      <c r="G31" t="n">
        <v>2</v>
      </c>
      <c r="H31" s="9" t="n">
        <v>4710</v>
      </c>
      <c r="J31" s="4" t="n"/>
    </row>
    <row r="32">
      <c r="A32" t="inlineStr">
        <is>
          <t>INV-26070031</t>
        </is>
      </c>
      <c r="B32" s="5" t="n">
        <v>46225</v>
      </c>
      <c r="C32" t="inlineStr">
        <is>
          <t>South</t>
        </is>
      </c>
      <c r="D32" t="inlineStr">
        <is>
          <t>Kerala</t>
        </is>
      </c>
      <c r="E32" t="inlineStr">
        <is>
          <t>Home appliances</t>
        </is>
      </c>
      <c r="F32" t="inlineStr">
        <is>
          <t>Chetan Pillai</t>
        </is>
      </c>
      <c r="G32" t="n">
        <v>6</v>
      </c>
      <c r="H32" s="9" t="n">
        <v>369320</v>
      </c>
    </row>
    <row r="33">
      <c r="A33" t="inlineStr">
        <is>
          <t>INV-26070032</t>
        </is>
      </c>
      <c r="B33" s="5" t="n">
        <v>46225</v>
      </c>
      <c r="C33" t="inlineStr">
        <is>
          <t>North</t>
        </is>
      </c>
      <c r="D33" t="inlineStr">
        <is>
          <t>Delhi</t>
        </is>
      </c>
      <c r="E33" t="inlineStr">
        <is>
          <t>Home appliances</t>
        </is>
      </c>
      <c r="F33" t="inlineStr">
        <is>
          <t>Chetan Pillai</t>
        </is>
      </c>
      <c r="G33" t="n">
        <v>5</v>
      </c>
      <c r="H33" s="9" t="n">
        <v>132120</v>
      </c>
    </row>
    <row r="34">
      <c r="A34" t="inlineStr">
        <is>
          <t>INV-26070033</t>
        </is>
      </c>
      <c r="B34" s="5" t="n">
        <v>46225</v>
      </c>
      <c r="C34" t="inlineStr">
        <is>
          <t>South</t>
        </is>
      </c>
      <c r="D34" t="inlineStr">
        <is>
          <t>Telangana</t>
        </is>
      </c>
      <c r="E34" t="inlineStr">
        <is>
          <t>Lighting</t>
        </is>
      </c>
      <c r="F34" t="inlineStr">
        <is>
          <t>Amit Saxena</t>
        </is>
      </c>
      <c r="G34" t="n">
        <v>2</v>
      </c>
      <c r="H34" s="9" t="n">
        <v>8590</v>
      </c>
    </row>
    <row r="35">
      <c r="A35" t="inlineStr">
        <is>
          <t>INV-26070034</t>
        </is>
      </c>
      <c r="B35" s="5" t="n">
        <v>46225</v>
      </c>
      <c r="C35" t="inlineStr">
        <is>
          <t>South</t>
        </is>
      </c>
      <c r="D35" t="inlineStr">
        <is>
          <t>Tamil Nadu</t>
        </is>
      </c>
      <c r="E35" t="inlineStr">
        <is>
          <t>Kitchenware</t>
        </is>
      </c>
      <c r="F35" t="inlineStr">
        <is>
          <t>Eshan Gill</t>
        </is>
      </c>
      <c r="G35" t="n">
        <v>4</v>
      </c>
      <c r="H35" s="9" t="n">
        <v>32740</v>
      </c>
    </row>
    <row r="36">
      <c r="A36" t="inlineStr">
        <is>
          <t>INV-26070035</t>
        </is>
      </c>
      <c r="B36" s="5" t="n">
        <v>46226</v>
      </c>
      <c r="C36" t="inlineStr">
        <is>
          <t>East</t>
        </is>
      </c>
      <c r="D36" t="inlineStr">
        <is>
          <t>West Bengal</t>
        </is>
      </c>
      <c r="E36" t="inlineStr">
        <is>
          <t>Lighting</t>
        </is>
      </c>
      <c r="F36" t="inlineStr">
        <is>
          <t>Chetan Pillai</t>
        </is>
      </c>
      <c r="G36" t="n">
        <v>7</v>
      </c>
      <c r="H36" s="9" t="n">
        <v>43070</v>
      </c>
    </row>
    <row r="37">
      <c r="A37" t="inlineStr">
        <is>
          <t>INV-26070036</t>
        </is>
      </c>
      <c r="B37" s="5" t="n">
        <v>46227</v>
      </c>
      <c r="C37" t="inlineStr">
        <is>
          <t>South</t>
        </is>
      </c>
      <c r="D37" t="inlineStr">
        <is>
          <t>Telangana</t>
        </is>
      </c>
      <c r="E37" t="inlineStr">
        <is>
          <t>Lighting</t>
        </is>
      </c>
      <c r="F37" t="inlineStr">
        <is>
          <t>Chetan Pillai</t>
        </is>
      </c>
      <c r="G37" t="n">
        <v>4</v>
      </c>
      <c r="H37" s="9" t="n">
        <v>17040</v>
      </c>
    </row>
    <row r="38">
      <c r="A38" t="inlineStr">
        <is>
          <t>INV-26070037</t>
        </is>
      </c>
      <c r="B38" s="5" t="n">
        <v>46227</v>
      </c>
      <c r="C38" t="inlineStr">
        <is>
          <t>East</t>
        </is>
      </c>
      <c r="D38" t="inlineStr">
        <is>
          <t>West Bengal</t>
        </is>
      </c>
      <c r="E38" t="inlineStr">
        <is>
          <t>Furniture</t>
        </is>
      </c>
      <c r="F38" t="inlineStr">
        <is>
          <t>Bhavna Rao</t>
        </is>
      </c>
      <c r="G38" t="n">
        <v>8</v>
      </c>
      <c r="H38" s="9" t="n">
        <v>215210</v>
      </c>
    </row>
    <row r="39">
      <c r="A39" t="inlineStr">
        <is>
          <t>INV-26070038</t>
        </is>
      </c>
      <c r="B39" s="5" t="n">
        <v>46228</v>
      </c>
      <c r="C39" t="inlineStr">
        <is>
          <t>East</t>
        </is>
      </c>
      <c r="D39" t="inlineStr">
        <is>
          <t>West Bengal</t>
        </is>
      </c>
      <c r="E39" t="inlineStr">
        <is>
          <t>Furniture</t>
        </is>
      </c>
      <c r="F39" t="inlineStr">
        <is>
          <t>Amit Saxena</t>
        </is>
      </c>
      <c r="G39" t="n">
        <v>5</v>
      </c>
      <c r="H39" s="9" t="n">
        <v>173340</v>
      </c>
    </row>
    <row r="40">
      <c r="A40" t="inlineStr">
        <is>
          <t>INV-26070039</t>
        </is>
      </c>
      <c r="B40" s="5" t="n">
        <v>46228</v>
      </c>
      <c r="C40" t="inlineStr">
        <is>
          <t>South</t>
        </is>
      </c>
      <c r="D40" t="inlineStr">
        <is>
          <t>Kerala</t>
        </is>
      </c>
      <c r="E40" t="inlineStr">
        <is>
          <t>Furniture</t>
        </is>
      </c>
      <c r="F40" t="inlineStr">
        <is>
          <t>Amit Saxena</t>
        </is>
      </c>
      <c r="G40" t="n">
        <v>3</v>
      </c>
      <c r="H40" s="9" t="n">
        <v>76760</v>
      </c>
    </row>
    <row r="41">
      <c r="A41" t="inlineStr">
        <is>
          <t>INV-26070040</t>
        </is>
      </c>
      <c r="B41" s="5" t="n">
        <v>46231</v>
      </c>
      <c r="C41" t="inlineStr">
        <is>
          <t>East</t>
        </is>
      </c>
      <c r="D41" t="inlineStr">
        <is>
          <t>Odisha</t>
        </is>
      </c>
      <c r="E41" t="inlineStr">
        <is>
          <t>Home appliances</t>
        </is>
      </c>
      <c r="F41" t="inlineStr">
        <is>
          <t>Divya Bhat</t>
        </is>
      </c>
      <c r="G41" t="n">
        <v>7</v>
      </c>
      <c r="H41" s="9" t="n">
        <v>423820</v>
      </c>
    </row>
    <row r="42">
      <c r="A42" t="inlineStr">
        <is>
          <t>INV-26070041</t>
        </is>
      </c>
      <c r="B42" s="5" t="n">
        <v>46231</v>
      </c>
      <c r="C42" t="inlineStr">
        <is>
          <t>South</t>
        </is>
      </c>
      <c r="D42" t="inlineStr">
        <is>
          <t>Telangana</t>
        </is>
      </c>
      <c r="E42" t="inlineStr">
        <is>
          <t>Lighting</t>
        </is>
      </c>
      <c r="F42" t="inlineStr">
        <is>
          <t>Eshan Gill</t>
        </is>
      </c>
      <c r="G42" t="n">
        <v>1</v>
      </c>
      <c r="H42" s="9" t="n">
        <v>6350</v>
      </c>
    </row>
    <row r="43">
      <c r="A43" t="inlineStr">
        <is>
          <t>INV-26070042</t>
        </is>
      </c>
      <c r="B43" s="5" t="n">
        <v>46232</v>
      </c>
      <c r="C43" t="inlineStr">
        <is>
          <t>North</t>
        </is>
      </c>
      <c r="D43" t="inlineStr">
        <is>
          <t>Uttar Pradesh</t>
        </is>
      </c>
      <c r="E43" t="inlineStr">
        <is>
          <t>Home appliances</t>
        </is>
      </c>
      <c r="F43" t="inlineStr">
        <is>
          <t>Chetan Pillai</t>
        </is>
      </c>
      <c r="G43" t="n">
        <v>6</v>
      </c>
      <c r="H43" s="9" t="n">
        <v>376900</v>
      </c>
    </row>
    <row r="44">
      <c r="A44" t="inlineStr">
        <is>
          <t>INV-26070043</t>
        </is>
      </c>
      <c r="B44" s="5" t="n">
        <v>46233</v>
      </c>
      <c r="C44" t="inlineStr">
        <is>
          <t>North</t>
        </is>
      </c>
      <c r="D44" t="inlineStr">
        <is>
          <t>Delhi</t>
        </is>
      </c>
      <c r="E44" t="inlineStr">
        <is>
          <t>Furniture</t>
        </is>
      </c>
      <c r="F44" t="inlineStr">
        <is>
          <t>Amit Saxena</t>
        </is>
      </c>
      <c r="G44" t="n">
        <v>5</v>
      </c>
      <c r="H44" s="9" t="n">
        <v>136540</v>
      </c>
    </row>
    <row r="45">
      <c r="A45" t="inlineStr">
        <is>
          <t>INV-26070044</t>
        </is>
      </c>
      <c r="B45" s="5" t="n">
        <v>46233</v>
      </c>
      <c r="C45" t="inlineStr">
        <is>
          <t>West</t>
        </is>
      </c>
      <c r="D45" t="inlineStr">
        <is>
          <t>Gujarat</t>
        </is>
      </c>
      <c r="E45" t="inlineStr">
        <is>
          <t>Furniture</t>
        </is>
      </c>
      <c r="F45" t="inlineStr">
        <is>
          <t>Bhavna Rao</t>
        </is>
      </c>
      <c r="G45" t="n">
        <v>6</v>
      </c>
      <c r="H45" s="9" t="n">
        <v>196780</v>
      </c>
    </row>
    <row r="46">
      <c r="A46" t="inlineStr">
        <is>
          <t>INV-26070045</t>
        </is>
      </c>
      <c r="B46" s="5" t="n">
        <v>46234</v>
      </c>
      <c r="C46" t="inlineStr">
        <is>
          <t>West</t>
        </is>
      </c>
      <c r="D46" t="inlineStr">
        <is>
          <t>Rajasthan</t>
        </is>
      </c>
      <c r="E46" t="inlineStr">
        <is>
          <t>Lighting</t>
        </is>
      </c>
      <c r="F46" t="inlineStr">
        <is>
          <t>Chetan Pillai</t>
        </is>
      </c>
      <c r="G46" t="n">
        <v>4</v>
      </c>
      <c r="H46" s="9" t="n">
        <v>32580</v>
      </c>
    </row>
    <row r="47">
      <c r="A47" t="inlineStr">
        <is>
          <t>INV-26070046</t>
        </is>
      </c>
      <c r="B47" s="5" t="n">
        <v>46235</v>
      </c>
      <c r="C47" t="inlineStr">
        <is>
          <t>West</t>
        </is>
      </c>
      <c r="D47" t="inlineStr">
        <is>
          <t>Maharashtra</t>
        </is>
      </c>
      <c r="E47" t="inlineStr">
        <is>
          <t>Furniture</t>
        </is>
      </c>
      <c r="F47" t="inlineStr">
        <is>
          <t>Eshan Gill</t>
        </is>
      </c>
      <c r="G47" t="n">
        <v>1</v>
      </c>
      <c r="H47" s="9" t="n">
        <v>26920</v>
      </c>
    </row>
    <row r="48">
      <c r="A48" t="inlineStr">
        <is>
          <t>INV-26070047</t>
        </is>
      </c>
      <c r="B48" s="5" t="n">
        <v>46236</v>
      </c>
      <c r="C48" t="inlineStr">
        <is>
          <t>West</t>
        </is>
      </c>
      <c r="D48" t="inlineStr">
        <is>
          <t>Rajasthan</t>
        </is>
      </c>
      <c r="E48" t="inlineStr">
        <is>
          <t>Furniture</t>
        </is>
      </c>
      <c r="F48" t="inlineStr">
        <is>
          <t>Chetan Pillai</t>
        </is>
      </c>
      <c r="G48" t="n">
        <v>3</v>
      </c>
      <c r="H48" s="9" t="n">
        <v>51060</v>
      </c>
    </row>
    <row r="49">
      <c r="A49" t="inlineStr">
        <is>
          <t>INV-26070048</t>
        </is>
      </c>
      <c r="B49" s="5" t="n">
        <v>46237</v>
      </c>
      <c r="C49" t="inlineStr">
        <is>
          <t>West</t>
        </is>
      </c>
      <c r="D49" t="inlineStr">
        <is>
          <t>Rajasthan</t>
        </is>
      </c>
      <c r="E49" t="inlineStr">
        <is>
          <t>Furniture</t>
        </is>
      </c>
      <c r="F49" t="inlineStr">
        <is>
          <t>Chetan Pillai</t>
        </is>
      </c>
      <c r="G49" t="n">
        <v>8</v>
      </c>
      <c r="H49" s="9" t="n">
        <v>314970</v>
      </c>
    </row>
    <row r="50">
      <c r="A50" t="inlineStr">
        <is>
          <t>INV-26070049</t>
        </is>
      </c>
      <c r="B50" s="5" t="n">
        <v>46238</v>
      </c>
      <c r="C50" t="inlineStr">
        <is>
          <t>West</t>
        </is>
      </c>
      <c r="D50" t="inlineStr">
        <is>
          <t>Gujarat</t>
        </is>
      </c>
      <c r="E50" t="inlineStr">
        <is>
          <t>Home appliances</t>
        </is>
      </c>
      <c r="F50" t="inlineStr">
        <is>
          <t>Chetan Pillai</t>
        </is>
      </c>
      <c r="G50" t="n">
        <v>5</v>
      </c>
      <c r="H50" s="9" t="n">
        <v>211710</v>
      </c>
    </row>
    <row r="51">
      <c r="A51" t="inlineStr">
        <is>
          <t>INV-26070050</t>
        </is>
      </c>
      <c r="B51" s="5" t="n">
        <v>46238</v>
      </c>
      <c r="C51" t="inlineStr">
        <is>
          <t>South</t>
        </is>
      </c>
      <c r="D51" t="inlineStr">
        <is>
          <t>Karnataka</t>
        </is>
      </c>
      <c r="E51" t="inlineStr">
        <is>
          <t>Furniture</t>
        </is>
      </c>
      <c r="F51" t="inlineStr">
        <is>
          <t>Eshan Gill</t>
        </is>
      </c>
      <c r="G51" t="n">
        <v>3</v>
      </c>
      <c r="H51" s="9" t="n">
        <v>143710</v>
      </c>
    </row>
    <row r="52">
      <c r="A52" t="inlineStr">
        <is>
          <t>INV-26070051</t>
        </is>
      </c>
      <c r="B52" s="5" t="n">
        <v>46238</v>
      </c>
      <c r="C52" t="inlineStr">
        <is>
          <t>East</t>
        </is>
      </c>
      <c r="D52" t="inlineStr">
        <is>
          <t>Odisha</t>
        </is>
      </c>
      <c r="E52" t="inlineStr">
        <is>
          <t>Lighting</t>
        </is>
      </c>
      <c r="F52" t="inlineStr">
        <is>
          <t>Bhavna Rao</t>
        </is>
      </c>
      <c r="G52" t="n">
        <v>3</v>
      </c>
      <c r="H52" s="9" t="n">
        <v>21940</v>
      </c>
    </row>
    <row r="53">
      <c r="A53" t="inlineStr">
        <is>
          <t>INV-26070052</t>
        </is>
      </c>
      <c r="B53" s="5" t="n">
        <v>46240</v>
      </c>
      <c r="C53" t="inlineStr">
        <is>
          <t>West</t>
        </is>
      </c>
      <c r="D53" t="inlineStr">
        <is>
          <t>Rajasthan</t>
        </is>
      </c>
      <c r="E53" t="inlineStr">
        <is>
          <t>Lighting</t>
        </is>
      </c>
      <c r="F53" t="inlineStr">
        <is>
          <t>Chetan Pillai</t>
        </is>
      </c>
      <c r="G53" t="n">
        <v>5</v>
      </c>
      <c r="H53" s="9" t="n">
        <v>32890</v>
      </c>
    </row>
    <row r="54">
      <c r="A54" t="inlineStr">
        <is>
          <t>INV-26070053</t>
        </is>
      </c>
      <c r="B54" s="5" t="n">
        <v>46240</v>
      </c>
      <c r="C54" t="inlineStr">
        <is>
          <t>North</t>
        </is>
      </c>
      <c r="D54" t="inlineStr">
        <is>
          <t>Uttar Pradesh</t>
        </is>
      </c>
      <c r="E54" t="inlineStr">
        <is>
          <t>Kitchenware</t>
        </is>
      </c>
      <c r="F54" t="inlineStr">
        <is>
          <t>Eshan Gill</t>
        </is>
      </c>
      <c r="G54" t="n">
        <v>2</v>
      </c>
      <c r="H54" s="9" t="n">
        <v>18210</v>
      </c>
    </row>
    <row r="55">
      <c r="A55" t="inlineStr">
        <is>
          <t>INV-26070054</t>
        </is>
      </c>
      <c r="B55" s="5" t="n">
        <v>46240</v>
      </c>
      <c r="C55" t="inlineStr">
        <is>
          <t>East</t>
        </is>
      </c>
      <c r="D55" t="inlineStr">
        <is>
          <t>West Bengal</t>
        </is>
      </c>
      <c r="E55" t="inlineStr">
        <is>
          <t>Lighting</t>
        </is>
      </c>
      <c r="F55" t="inlineStr">
        <is>
          <t>Chetan Pillai</t>
        </is>
      </c>
      <c r="G55" t="n">
        <v>1</v>
      </c>
      <c r="H55" s="9" t="n">
        <v>6860</v>
      </c>
    </row>
    <row r="56">
      <c r="A56" t="inlineStr">
        <is>
          <t>INV-26070055</t>
        </is>
      </c>
      <c r="B56" s="5" t="n">
        <v>46240</v>
      </c>
      <c r="C56" t="inlineStr">
        <is>
          <t>East</t>
        </is>
      </c>
      <c r="D56" t="inlineStr">
        <is>
          <t>Bihar</t>
        </is>
      </c>
      <c r="E56" t="inlineStr">
        <is>
          <t>Lighting</t>
        </is>
      </c>
      <c r="F56" t="inlineStr">
        <is>
          <t>Chetan Pillai</t>
        </is>
      </c>
      <c r="G56" t="n">
        <v>1</v>
      </c>
      <c r="H56" s="9" t="n">
        <v>8840</v>
      </c>
    </row>
    <row r="57">
      <c r="A57" t="inlineStr">
        <is>
          <t>INV-26070056</t>
        </is>
      </c>
      <c r="B57" s="5" t="n">
        <v>46241</v>
      </c>
      <c r="C57" t="inlineStr">
        <is>
          <t>North</t>
        </is>
      </c>
      <c r="D57" t="inlineStr">
        <is>
          <t>Uttar Pradesh</t>
        </is>
      </c>
      <c r="E57" t="inlineStr">
        <is>
          <t>Furniture</t>
        </is>
      </c>
      <c r="F57" t="inlineStr">
        <is>
          <t>Eshan Gill</t>
        </is>
      </c>
      <c r="G57" t="n">
        <v>8</v>
      </c>
      <c r="H57" s="9" t="n">
        <v>253440</v>
      </c>
    </row>
    <row r="58">
      <c r="A58" t="inlineStr">
        <is>
          <t>INV-26070057</t>
        </is>
      </c>
      <c r="B58" s="5" t="n">
        <v>46241</v>
      </c>
      <c r="C58" t="inlineStr">
        <is>
          <t>West</t>
        </is>
      </c>
      <c r="D58" t="inlineStr">
        <is>
          <t>Rajasthan</t>
        </is>
      </c>
      <c r="E58" t="inlineStr">
        <is>
          <t>Kitchenware</t>
        </is>
      </c>
      <c r="F58" t="inlineStr">
        <is>
          <t>Amit Saxena</t>
        </is>
      </c>
      <c r="G58" t="n">
        <v>7</v>
      </c>
      <c r="H58" s="9" t="n">
        <v>61560</v>
      </c>
    </row>
    <row r="59">
      <c r="A59" t="inlineStr">
        <is>
          <t>INV-26070058</t>
        </is>
      </c>
      <c r="B59" s="5" t="n">
        <v>46241</v>
      </c>
      <c r="C59" t="inlineStr">
        <is>
          <t>West</t>
        </is>
      </c>
      <c r="D59" t="inlineStr">
        <is>
          <t>Rajasthan</t>
        </is>
      </c>
      <c r="E59" t="inlineStr">
        <is>
          <t>Furniture</t>
        </is>
      </c>
      <c r="F59" t="inlineStr">
        <is>
          <t>Bhavna Rao</t>
        </is>
      </c>
      <c r="G59" t="n">
        <v>7</v>
      </c>
      <c r="H59" s="9" t="n">
        <v>250730</v>
      </c>
    </row>
    <row r="60">
      <c r="A60" t="inlineStr">
        <is>
          <t>INV-26070059</t>
        </is>
      </c>
      <c r="B60" s="5" t="n">
        <v>46242</v>
      </c>
      <c r="C60" t="inlineStr">
        <is>
          <t>South</t>
        </is>
      </c>
      <c r="D60" t="inlineStr">
        <is>
          <t>Telangana</t>
        </is>
      </c>
      <c r="E60" t="inlineStr">
        <is>
          <t>Lighting</t>
        </is>
      </c>
      <c r="F60" t="inlineStr">
        <is>
          <t>Amit Saxena</t>
        </is>
      </c>
      <c r="G60" t="n">
        <v>1</v>
      </c>
      <c r="H60" s="9" t="n">
        <v>7050</v>
      </c>
    </row>
    <row r="61">
      <c r="A61" t="inlineStr">
        <is>
          <t>INV-26070060</t>
        </is>
      </c>
      <c r="B61" s="5" t="n">
        <v>46242</v>
      </c>
      <c r="C61" t="inlineStr">
        <is>
          <t>West</t>
        </is>
      </c>
      <c r="D61" t="inlineStr">
        <is>
          <t>Rajasthan</t>
        </is>
      </c>
      <c r="E61" t="inlineStr">
        <is>
          <t>Lighting</t>
        </is>
      </c>
      <c r="F61" t="inlineStr">
        <is>
          <t>Bhavna Rao</t>
        </is>
      </c>
      <c r="G61" t="n">
        <v>1</v>
      </c>
      <c r="H61" s="9" t="n">
        <v>8520</v>
      </c>
    </row>
    <row r="62">
      <c r="A62" t="inlineStr">
        <is>
          <t>INV-26070061</t>
        </is>
      </c>
      <c r="B62" s="5" t="n">
        <v>46243</v>
      </c>
      <c r="C62" t="inlineStr">
        <is>
          <t>North</t>
        </is>
      </c>
      <c r="D62" t="inlineStr">
        <is>
          <t>Delhi</t>
        </is>
      </c>
      <c r="E62" t="inlineStr">
        <is>
          <t>Lighting</t>
        </is>
      </c>
      <c r="F62" t="inlineStr">
        <is>
          <t>Fatima Sheikh</t>
        </is>
      </c>
      <c r="G62" t="n">
        <v>5</v>
      </c>
      <c r="H62" s="9" t="n">
        <v>15610</v>
      </c>
    </row>
    <row r="63">
      <c r="A63" t="inlineStr">
        <is>
          <t>INV-26070062</t>
        </is>
      </c>
      <c r="B63" s="5" t="n">
        <v>46243</v>
      </c>
      <c r="C63" t="inlineStr">
        <is>
          <t>South</t>
        </is>
      </c>
      <c r="D63" t="inlineStr">
        <is>
          <t>Kerala</t>
        </is>
      </c>
      <c r="E63" t="inlineStr">
        <is>
          <t>Furniture</t>
        </is>
      </c>
      <c r="F63" t="inlineStr">
        <is>
          <t>Bhavna Rao</t>
        </is>
      </c>
      <c r="G63" t="n">
        <v>2</v>
      </c>
      <c r="H63" s="9" t="n">
        <v>48310</v>
      </c>
    </row>
    <row r="64">
      <c r="A64" t="inlineStr">
        <is>
          <t>INV-26070063</t>
        </is>
      </c>
      <c r="B64" s="5" t="n">
        <v>46244</v>
      </c>
      <c r="C64" t="inlineStr">
        <is>
          <t>South</t>
        </is>
      </c>
      <c r="D64" t="inlineStr">
        <is>
          <t>Karnataka</t>
        </is>
      </c>
      <c r="E64" t="inlineStr">
        <is>
          <t>Home appliances</t>
        </is>
      </c>
      <c r="F64" t="inlineStr">
        <is>
          <t>Divya Bhat</t>
        </is>
      </c>
      <c r="G64" t="n">
        <v>1</v>
      </c>
      <c r="H64" s="9" t="n">
        <v>43520</v>
      </c>
    </row>
    <row r="65">
      <c r="A65" t="inlineStr">
        <is>
          <t>INV-26070064</t>
        </is>
      </c>
      <c r="B65" s="5" t="n">
        <v>46245</v>
      </c>
      <c r="C65" t="inlineStr">
        <is>
          <t>South</t>
        </is>
      </c>
      <c r="D65" t="inlineStr">
        <is>
          <t>Tamil Nadu</t>
        </is>
      </c>
      <c r="E65" t="inlineStr">
        <is>
          <t>Furniture</t>
        </is>
      </c>
      <c r="F65" t="inlineStr">
        <is>
          <t>Amit Saxena</t>
        </is>
      </c>
      <c r="G65" t="n">
        <v>1</v>
      </c>
      <c r="H65" s="9" t="n">
        <v>35920</v>
      </c>
    </row>
    <row r="66">
      <c r="A66" t="inlineStr">
        <is>
          <t>INV-26070065</t>
        </is>
      </c>
      <c r="B66" s="5" t="n">
        <v>46245</v>
      </c>
      <c r="C66" t="inlineStr">
        <is>
          <t>West</t>
        </is>
      </c>
      <c r="D66" t="inlineStr">
        <is>
          <t>Gujarat</t>
        </is>
      </c>
      <c r="E66" t="inlineStr">
        <is>
          <t>Kitchenware</t>
        </is>
      </c>
      <c r="F66" t="inlineStr">
        <is>
          <t>Fatima Sheikh</t>
        </is>
      </c>
      <c r="G66" t="n">
        <v>1</v>
      </c>
      <c r="H66" s="9" t="n">
        <v>9150</v>
      </c>
    </row>
    <row r="67">
      <c r="A67" t="inlineStr">
        <is>
          <t>INV-26070066</t>
        </is>
      </c>
      <c r="B67" s="5" t="n">
        <v>46245</v>
      </c>
      <c r="C67" t="inlineStr">
        <is>
          <t>North</t>
        </is>
      </c>
      <c r="D67" t="inlineStr">
        <is>
          <t>Punjab</t>
        </is>
      </c>
      <c r="E67" t="inlineStr">
        <is>
          <t>Lighting</t>
        </is>
      </c>
      <c r="F67" t="inlineStr">
        <is>
          <t>Chetan Pillai</t>
        </is>
      </c>
      <c r="G67" t="n">
        <v>3</v>
      </c>
      <c r="H67" s="9" t="n">
        <v>25460</v>
      </c>
    </row>
    <row r="68">
      <c r="A68" t="inlineStr">
        <is>
          <t>INV-26070067</t>
        </is>
      </c>
      <c r="B68" s="5" t="n">
        <v>46245</v>
      </c>
      <c r="C68" t="inlineStr">
        <is>
          <t>South</t>
        </is>
      </c>
      <c r="D68" t="inlineStr">
        <is>
          <t>Kerala</t>
        </is>
      </c>
      <c r="E68" t="inlineStr">
        <is>
          <t>Lighting</t>
        </is>
      </c>
      <c r="F68" t="inlineStr">
        <is>
          <t>Chetan Pillai</t>
        </is>
      </c>
      <c r="G68" t="n">
        <v>5</v>
      </c>
      <c r="H68" s="9" t="n">
        <v>28330</v>
      </c>
    </row>
    <row r="69">
      <c r="A69" t="inlineStr">
        <is>
          <t>INV-26070068</t>
        </is>
      </c>
      <c r="B69" s="5" t="n">
        <v>46246</v>
      </c>
      <c r="C69" t="inlineStr">
        <is>
          <t>South</t>
        </is>
      </c>
      <c r="D69" t="inlineStr">
        <is>
          <t>Karnataka</t>
        </is>
      </c>
      <c r="E69" t="inlineStr">
        <is>
          <t>Home appliances</t>
        </is>
      </c>
      <c r="F69" t="inlineStr">
        <is>
          <t>Eshan Gill</t>
        </is>
      </c>
      <c r="G69" t="n">
        <v>4</v>
      </c>
      <c r="H69" s="9" t="n">
        <v>148710</v>
      </c>
    </row>
    <row r="70">
      <c r="A70" t="inlineStr">
        <is>
          <t>INV-26070069</t>
        </is>
      </c>
      <c r="B70" s="5" t="n">
        <v>46246</v>
      </c>
      <c r="C70" t="inlineStr">
        <is>
          <t>South</t>
        </is>
      </c>
      <c r="D70" t="inlineStr">
        <is>
          <t>Telangana</t>
        </is>
      </c>
      <c r="E70" t="inlineStr">
        <is>
          <t>Furniture</t>
        </is>
      </c>
      <c r="F70" t="inlineStr">
        <is>
          <t>Chetan Pillai</t>
        </is>
      </c>
      <c r="G70" t="n">
        <v>8</v>
      </c>
      <c r="H70" s="9" t="n">
        <v>201320</v>
      </c>
    </row>
    <row r="71">
      <c r="A71" t="inlineStr">
        <is>
          <t>INV-26070070</t>
        </is>
      </c>
      <c r="B71" s="5" t="n">
        <v>46246</v>
      </c>
      <c r="C71" t="inlineStr">
        <is>
          <t>West</t>
        </is>
      </c>
      <c r="D71" t="inlineStr">
        <is>
          <t>Gujarat</t>
        </is>
      </c>
      <c r="E71" t="inlineStr">
        <is>
          <t>Furniture</t>
        </is>
      </c>
      <c r="F71" t="inlineStr">
        <is>
          <t>Divya Bhat</t>
        </is>
      </c>
      <c r="G71" t="n">
        <v>5</v>
      </c>
      <c r="H71" s="9" t="n">
        <v>136280</v>
      </c>
    </row>
    <row r="72">
      <c r="A72" t="inlineStr">
        <is>
          <t>INV-26070071</t>
        </is>
      </c>
      <c r="B72" s="5" t="n">
        <v>46246</v>
      </c>
      <c r="C72" t="inlineStr">
        <is>
          <t>West</t>
        </is>
      </c>
      <c r="D72" t="inlineStr">
        <is>
          <t>Maharashtra</t>
        </is>
      </c>
      <c r="E72" t="inlineStr">
        <is>
          <t>Kitchenware</t>
        </is>
      </c>
      <c r="F72" t="inlineStr">
        <is>
          <t>Eshan Gill</t>
        </is>
      </c>
      <c r="G72" t="n">
        <v>6</v>
      </c>
      <c r="H72" s="9" t="n">
        <v>30540</v>
      </c>
    </row>
    <row r="73">
      <c r="A73" t="inlineStr">
        <is>
          <t>INV-26070072</t>
        </is>
      </c>
      <c r="B73" s="5" t="n">
        <v>46247</v>
      </c>
      <c r="C73" t="inlineStr">
        <is>
          <t>North</t>
        </is>
      </c>
      <c r="D73" t="inlineStr">
        <is>
          <t>Delhi</t>
        </is>
      </c>
      <c r="E73" t="inlineStr">
        <is>
          <t>Kitchenware</t>
        </is>
      </c>
      <c r="F73" t="inlineStr">
        <is>
          <t>Chetan Pillai</t>
        </is>
      </c>
      <c r="G73" t="n">
        <v>4</v>
      </c>
      <c r="H73" s="9" t="n">
        <v>27280</v>
      </c>
    </row>
    <row r="74">
      <c r="A74" t="inlineStr">
        <is>
          <t>INV-26070073</t>
        </is>
      </c>
      <c r="B74" s="5" t="n">
        <v>46248</v>
      </c>
      <c r="C74" t="inlineStr">
        <is>
          <t>North</t>
        </is>
      </c>
      <c r="D74" t="inlineStr">
        <is>
          <t>Haryana</t>
        </is>
      </c>
      <c r="E74" t="inlineStr">
        <is>
          <t>Kitchenware</t>
        </is>
      </c>
      <c r="F74" t="inlineStr">
        <is>
          <t>Chetan Pillai</t>
        </is>
      </c>
      <c r="G74" t="n">
        <v>3</v>
      </c>
      <c r="H74" s="9" t="n">
        <v>35800</v>
      </c>
    </row>
    <row r="75">
      <c r="A75" t="inlineStr">
        <is>
          <t>INV-26070074</t>
        </is>
      </c>
      <c r="B75" s="5" t="n">
        <v>46249</v>
      </c>
      <c r="C75" t="inlineStr">
        <is>
          <t>North</t>
        </is>
      </c>
      <c r="D75" t="inlineStr">
        <is>
          <t>Uttar Pradesh</t>
        </is>
      </c>
      <c r="E75" t="inlineStr">
        <is>
          <t>Lighting</t>
        </is>
      </c>
      <c r="F75" t="inlineStr">
        <is>
          <t>Eshan Gill</t>
        </is>
      </c>
      <c r="G75" t="n">
        <v>6</v>
      </c>
      <c r="H75" s="9" t="n">
        <v>30500</v>
      </c>
    </row>
    <row r="76">
      <c r="A76" t="inlineStr">
        <is>
          <t>INV-26070075</t>
        </is>
      </c>
      <c r="B76" s="5" t="n">
        <v>46249</v>
      </c>
      <c r="C76" t="inlineStr">
        <is>
          <t>North</t>
        </is>
      </c>
      <c r="D76" t="inlineStr">
        <is>
          <t>Haryana</t>
        </is>
      </c>
      <c r="E76" t="inlineStr">
        <is>
          <t>Home appliances</t>
        </is>
      </c>
      <c r="F76" t="inlineStr">
        <is>
          <t>Eshan Gill</t>
        </is>
      </c>
      <c r="G76" t="n">
        <v>7</v>
      </c>
      <c r="H76" s="9" t="n">
        <v>239170</v>
      </c>
    </row>
    <row r="77">
      <c r="A77" t="inlineStr">
        <is>
          <t>INV-26070076</t>
        </is>
      </c>
      <c r="B77" s="5" t="n">
        <v>46249</v>
      </c>
      <c r="C77" t="inlineStr">
        <is>
          <t>South</t>
        </is>
      </c>
      <c r="D77" t="inlineStr">
        <is>
          <t>Kerala</t>
        </is>
      </c>
      <c r="E77" t="inlineStr">
        <is>
          <t>Furniture</t>
        </is>
      </c>
      <c r="F77" t="inlineStr">
        <is>
          <t>Bhavna Rao</t>
        </is>
      </c>
      <c r="G77" t="n">
        <v>2</v>
      </c>
      <c r="H77" s="9" t="n">
        <v>52770</v>
      </c>
    </row>
    <row r="78">
      <c r="A78" t="inlineStr">
        <is>
          <t>INV-26070077</t>
        </is>
      </c>
      <c r="B78" s="5" t="n">
        <v>46249</v>
      </c>
      <c r="C78" t="inlineStr">
        <is>
          <t>West</t>
        </is>
      </c>
      <c r="D78" t="inlineStr">
        <is>
          <t>Gujarat</t>
        </is>
      </c>
      <c r="E78" t="inlineStr">
        <is>
          <t>Home appliances</t>
        </is>
      </c>
      <c r="F78" t="inlineStr">
        <is>
          <t>Fatima Sheikh</t>
        </is>
      </c>
      <c r="G78" t="n">
        <v>8</v>
      </c>
      <c r="H78" s="9" t="n">
        <v>251270</v>
      </c>
    </row>
    <row r="79">
      <c r="A79" t="inlineStr">
        <is>
          <t>INV-26070078</t>
        </is>
      </c>
      <c r="B79" s="5" t="n">
        <v>46250</v>
      </c>
      <c r="C79" t="inlineStr">
        <is>
          <t>East</t>
        </is>
      </c>
      <c r="D79" t="inlineStr">
        <is>
          <t>West Bengal</t>
        </is>
      </c>
      <c r="E79" t="inlineStr">
        <is>
          <t>Home appliances</t>
        </is>
      </c>
      <c r="F79" t="inlineStr">
        <is>
          <t>Divya Bhat</t>
        </is>
      </c>
      <c r="G79" t="n">
        <v>8</v>
      </c>
      <c r="H79" s="9" t="n">
        <v>516810</v>
      </c>
    </row>
    <row r="80">
      <c r="A80" t="inlineStr">
        <is>
          <t>INV-26070079</t>
        </is>
      </c>
      <c r="B80" s="5" t="n">
        <v>46251</v>
      </c>
      <c r="C80" t="inlineStr">
        <is>
          <t>East</t>
        </is>
      </c>
      <c r="D80" t="inlineStr">
        <is>
          <t>West Bengal</t>
        </is>
      </c>
      <c r="E80" t="inlineStr">
        <is>
          <t>Furniture</t>
        </is>
      </c>
      <c r="F80" t="inlineStr">
        <is>
          <t>Divya Bhat</t>
        </is>
      </c>
      <c r="G80" t="n">
        <v>4</v>
      </c>
      <c r="H80" s="9" t="n">
        <v>105470</v>
      </c>
    </row>
    <row r="81">
      <c r="A81" t="inlineStr">
        <is>
          <t>INV-26070080</t>
        </is>
      </c>
      <c r="B81" s="5" t="n">
        <v>46251</v>
      </c>
      <c r="C81" t="inlineStr">
        <is>
          <t>West</t>
        </is>
      </c>
      <c r="D81" t="inlineStr">
        <is>
          <t>Gujarat</t>
        </is>
      </c>
      <c r="E81" t="inlineStr">
        <is>
          <t>Kitchenware</t>
        </is>
      </c>
      <c r="F81" t="inlineStr">
        <is>
          <t>Eshan Gill</t>
        </is>
      </c>
      <c r="G81" t="n">
        <v>2</v>
      </c>
      <c r="H81" s="9" t="n">
        <v>6470</v>
      </c>
    </row>
    <row r="82">
      <c r="A82" t="inlineStr">
        <is>
          <t>INV-26070081</t>
        </is>
      </c>
      <c r="B82" s="5" t="n">
        <v>46251</v>
      </c>
      <c r="C82" t="inlineStr">
        <is>
          <t>West</t>
        </is>
      </c>
      <c r="D82" t="inlineStr">
        <is>
          <t>Gujarat</t>
        </is>
      </c>
      <c r="E82" t="inlineStr">
        <is>
          <t>Lighting</t>
        </is>
      </c>
      <c r="F82" t="inlineStr">
        <is>
          <t>Bhavna Rao</t>
        </is>
      </c>
      <c r="G82" t="n">
        <v>2</v>
      </c>
      <c r="H82" s="9" t="n">
        <v>15930</v>
      </c>
    </row>
    <row r="83">
      <c r="A83" t="inlineStr">
        <is>
          <t>INV-26070082</t>
        </is>
      </c>
      <c r="B83" s="5" t="n">
        <v>46252</v>
      </c>
      <c r="C83" t="inlineStr">
        <is>
          <t>West</t>
        </is>
      </c>
      <c r="D83" t="inlineStr">
        <is>
          <t>Gujarat</t>
        </is>
      </c>
      <c r="E83" t="inlineStr">
        <is>
          <t>Home appliances</t>
        </is>
      </c>
      <c r="F83" t="inlineStr">
        <is>
          <t>Amit Saxena</t>
        </is>
      </c>
      <c r="G83" t="n">
        <v>5</v>
      </c>
      <c r="H83" s="9" t="n">
        <v>184500</v>
      </c>
    </row>
    <row r="84">
      <c r="A84" t="inlineStr">
        <is>
          <t>INV-26070083</t>
        </is>
      </c>
      <c r="B84" s="5" t="n">
        <v>46252</v>
      </c>
      <c r="C84" t="inlineStr">
        <is>
          <t>West</t>
        </is>
      </c>
      <c r="D84" t="inlineStr">
        <is>
          <t>Rajasthan</t>
        </is>
      </c>
      <c r="E84" t="inlineStr">
        <is>
          <t>Furniture</t>
        </is>
      </c>
      <c r="F84" t="inlineStr">
        <is>
          <t>Chetan Pillai</t>
        </is>
      </c>
      <c r="G84" t="n">
        <v>2</v>
      </c>
      <c r="H84" s="9" t="n">
        <v>51510</v>
      </c>
    </row>
    <row r="85">
      <c r="A85" t="inlineStr">
        <is>
          <t>INV-26070084</t>
        </is>
      </c>
      <c r="B85" s="5" t="n">
        <v>46254</v>
      </c>
      <c r="C85" t="inlineStr">
        <is>
          <t>West</t>
        </is>
      </c>
      <c r="D85" t="inlineStr">
        <is>
          <t>Rajasthan</t>
        </is>
      </c>
      <c r="E85" t="inlineStr">
        <is>
          <t>Lighting</t>
        </is>
      </c>
      <c r="F85" t="inlineStr">
        <is>
          <t>Divya Bhat</t>
        </is>
      </c>
      <c r="G85" t="n">
        <v>6</v>
      </c>
      <c r="H85" s="9" t="n">
        <v>45650</v>
      </c>
    </row>
    <row r="86">
      <c r="A86" t="inlineStr">
        <is>
          <t>INV-26070085</t>
        </is>
      </c>
      <c r="B86" s="5" t="n">
        <v>46255</v>
      </c>
      <c r="C86" t="inlineStr">
        <is>
          <t>North</t>
        </is>
      </c>
      <c r="D86" t="inlineStr">
        <is>
          <t>Punjab</t>
        </is>
      </c>
      <c r="E86" t="inlineStr">
        <is>
          <t>Kitchenware</t>
        </is>
      </c>
      <c r="F86" t="inlineStr">
        <is>
          <t>Eshan Gill</t>
        </is>
      </c>
      <c r="G86" t="n">
        <v>8</v>
      </c>
      <c r="H86" s="9" t="n">
        <v>70690</v>
      </c>
    </row>
    <row r="87">
      <c r="A87" t="inlineStr">
        <is>
          <t>INV-26070086</t>
        </is>
      </c>
      <c r="B87" s="5" t="n">
        <v>46256</v>
      </c>
      <c r="C87" t="inlineStr">
        <is>
          <t>East</t>
        </is>
      </c>
      <c r="D87" t="inlineStr">
        <is>
          <t>Odisha</t>
        </is>
      </c>
      <c r="E87" t="inlineStr">
        <is>
          <t>Lighting</t>
        </is>
      </c>
      <c r="F87" t="inlineStr">
        <is>
          <t>Bhavna Rao</t>
        </is>
      </c>
      <c r="G87" t="n">
        <v>6</v>
      </c>
      <c r="H87" s="9" t="n">
        <v>37810</v>
      </c>
    </row>
    <row r="88">
      <c r="A88" t="inlineStr">
        <is>
          <t>INV-26070087</t>
        </is>
      </c>
      <c r="B88" s="5" t="n">
        <v>46256</v>
      </c>
      <c r="C88" t="inlineStr">
        <is>
          <t>West</t>
        </is>
      </c>
      <c r="D88" t="inlineStr">
        <is>
          <t>Rajasthan</t>
        </is>
      </c>
      <c r="E88" t="inlineStr">
        <is>
          <t>Home appliances</t>
        </is>
      </c>
      <c r="F88" t="inlineStr">
        <is>
          <t>Bhavna Rao</t>
        </is>
      </c>
      <c r="G88" t="n">
        <v>2</v>
      </c>
      <c r="H88" s="9" t="n">
        <v>43700</v>
      </c>
    </row>
    <row r="89">
      <c r="A89" t="inlineStr">
        <is>
          <t>INV-26070088</t>
        </is>
      </c>
      <c r="B89" s="5" t="n">
        <v>46256</v>
      </c>
      <c r="C89" t="inlineStr">
        <is>
          <t>South</t>
        </is>
      </c>
      <c r="D89" t="inlineStr">
        <is>
          <t>Kerala</t>
        </is>
      </c>
      <c r="E89" t="inlineStr">
        <is>
          <t>Furniture</t>
        </is>
      </c>
      <c r="F89" t="inlineStr">
        <is>
          <t>Amit Saxena</t>
        </is>
      </c>
      <c r="G89" t="n">
        <v>6</v>
      </c>
      <c r="H89" s="9" t="n">
        <v>205840</v>
      </c>
    </row>
    <row r="90">
      <c r="A90" t="inlineStr">
        <is>
          <t>INV-26070089</t>
        </is>
      </c>
      <c r="B90" s="5" t="n">
        <v>46257</v>
      </c>
      <c r="C90" t="inlineStr">
        <is>
          <t>East</t>
        </is>
      </c>
      <c r="D90" t="inlineStr">
        <is>
          <t>Odisha</t>
        </is>
      </c>
      <c r="E90" t="inlineStr">
        <is>
          <t>Furniture</t>
        </is>
      </c>
      <c r="F90" t="inlineStr">
        <is>
          <t>Eshan Gill</t>
        </is>
      </c>
      <c r="G90" t="n">
        <v>3</v>
      </c>
      <c r="H90" s="9" t="n">
        <v>44940</v>
      </c>
    </row>
    <row r="91">
      <c r="A91" t="inlineStr">
        <is>
          <t>INV-26070090</t>
        </is>
      </c>
      <c r="B91" s="5" t="n">
        <v>46259</v>
      </c>
      <c r="C91" t="inlineStr">
        <is>
          <t>West</t>
        </is>
      </c>
      <c r="D91" t="inlineStr">
        <is>
          <t>Gujarat</t>
        </is>
      </c>
      <c r="E91" t="inlineStr">
        <is>
          <t>Lighting</t>
        </is>
      </c>
      <c r="F91" t="inlineStr">
        <is>
          <t>Chetan Pillai</t>
        </is>
      </c>
      <c r="G91" t="n">
        <v>1</v>
      </c>
      <c r="H91" s="9" t="n">
        <v>6800</v>
      </c>
    </row>
    <row r="92">
      <c r="A92" t="inlineStr">
        <is>
          <t>INV-26070091</t>
        </is>
      </c>
      <c r="B92" s="5" t="n">
        <v>46259</v>
      </c>
      <c r="C92" t="inlineStr">
        <is>
          <t>West</t>
        </is>
      </c>
      <c r="D92" t="inlineStr">
        <is>
          <t>Gujarat</t>
        </is>
      </c>
      <c r="E92" t="inlineStr">
        <is>
          <t>Lighting</t>
        </is>
      </c>
      <c r="F92" t="inlineStr">
        <is>
          <t>Eshan Gill</t>
        </is>
      </c>
      <c r="G92" t="n">
        <v>6</v>
      </c>
      <c r="H92" s="9" t="n">
        <v>12810</v>
      </c>
    </row>
    <row r="93">
      <c r="A93" t="inlineStr">
        <is>
          <t>INV-26070092</t>
        </is>
      </c>
      <c r="B93" s="5" t="n">
        <v>46260</v>
      </c>
      <c r="C93" t="inlineStr">
        <is>
          <t>South</t>
        </is>
      </c>
      <c r="D93" t="inlineStr">
        <is>
          <t>Karnataka</t>
        </is>
      </c>
      <c r="E93" t="inlineStr">
        <is>
          <t>Furniture</t>
        </is>
      </c>
      <c r="F93" t="inlineStr">
        <is>
          <t>Divya Bhat</t>
        </is>
      </c>
      <c r="G93" t="n">
        <v>8</v>
      </c>
      <c r="H93" s="9" t="n">
        <v>329410</v>
      </c>
    </row>
    <row r="94">
      <c r="A94" t="inlineStr">
        <is>
          <t>INV-26070093</t>
        </is>
      </c>
      <c r="B94" s="5" t="n">
        <v>46260</v>
      </c>
      <c r="C94" t="inlineStr">
        <is>
          <t>South</t>
        </is>
      </c>
      <c r="D94" t="inlineStr">
        <is>
          <t>Kerala</t>
        </is>
      </c>
      <c r="E94" t="inlineStr">
        <is>
          <t>Furniture</t>
        </is>
      </c>
      <c r="F94" t="inlineStr">
        <is>
          <t>Eshan Gill</t>
        </is>
      </c>
      <c r="G94" t="n">
        <v>4</v>
      </c>
      <c r="H94" s="9" t="n">
        <v>73980</v>
      </c>
    </row>
    <row r="95">
      <c r="A95" t="inlineStr">
        <is>
          <t>INV-26070094</t>
        </is>
      </c>
      <c r="B95" s="5" t="n">
        <v>46263</v>
      </c>
      <c r="C95" t="inlineStr">
        <is>
          <t>West</t>
        </is>
      </c>
      <c r="D95" t="inlineStr">
        <is>
          <t>Gujarat</t>
        </is>
      </c>
      <c r="E95" t="inlineStr">
        <is>
          <t>Home appliances</t>
        </is>
      </c>
      <c r="F95" t="inlineStr">
        <is>
          <t>Bhavna Rao</t>
        </is>
      </c>
      <c r="G95" t="n">
        <v>2</v>
      </c>
      <c r="H95" s="9" t="n">
        <v>125500</v>
      </c>
    </row>
    <row r="96">
      <c r="A96" t="inlineStr">
        <is>
          <t>INV-26070095</t>
        </is>
      </c>
      <c r="B96" s="5" t="n">
        <v>46263</v>
      </c>
      <c r="C96" t="inlineStr">
        <is>
          <t>East</t>
        </is>
      </c>
      <c r="D96" t="inlineStr">
        <is>
          <t>West Bengal</t>
        </is>
      </c>
      <c r="E96" t="inlineStr">
        <is>
          <t>Lighting</t>
        </is>
      </c>
      <c r="F96" t="inlineStr">
        <is>
          <t>Fatima Sheikh</t>
        </is>
      </c>
      <c r="G96" t="n">
        <v>2</v>
      </c>
      <c r="H96" s="9" t="n">
        <v>11020</v>
      </c>
    </row>
    <row r="97">
      <c r="A97" t="inlineStr">
        <is>
          <t>INV-26070096</t>
        </is>
      </c>
      <c r="B97" s="5" t="n">
        <v>46263</v>
      </c>
      <c r="C97" t="inlineStr">
        <is>
          <t>South</t>
        </is>
      </c>
      <c r="D97" t="inlineStr">
        <is>
          <t>Tamil Nadu</t>
        </is>
      </c>
      <c r="E97" t="inlineStr">
        <is>
          <t>Kitchenware</t>
        </is>
      </c>
      <c r="F97" t="inlineStr">
        <is>
          <t>Divya Bhat</t>
        </is>
      </c>
      <c r="G97" t="n">
        <v>8</v>
      </c>
      <c r="H97" s="9" t="n">
        <v>63410</v>
      </c>
    </row>
    <row r="98">
      <c r="A98" t="inlineStr">
        <is>
          <t>INV-26070097</t>
        </is>
      </c>
      <c r="B98" s="5" t="n">
        <v>46265</v>
      </c>
      <c r="C98" t="inlineStr">
        <is>
          <t>North</t>
        </is>
      </c>
      <c r="D98" t="inlineStr">
        <is>
          <t>Uttar Pradesh</t>
        </is>
      </c>
      <c r="E98" t="inlineStr">
        <is>
          <t>Lighting</t>
        </is>
      </c>
      <c r="F98" t="inlineStr">
        <is>
          <t>Amit Saxena</t>
        </is>
      </c>
      <c r="G98" t="n">
        <v>2</v>
      </c>
      <c r="H98" s="9" t="n">
        <v>13450</v>
      </c>
    </row>
    <row r="99">
      <c r="A99" t="inlineStr">
        <is>
          <t>INV-26070098</t>
        </is>
      </c>
      <c r="B99" s="5" t="n">
        <v>46265</v>
      </c>
      <c r="C99" t="inlineStr">
        <is>
          <t>West</t>
        </is>
      </c>
      <c r="D99" t="inlineStr">
        <is>
          <t>Maharashtra</t>
        </is>
      </c>
      <c r="E99" t="inlineStr">
        <is>
          <t>Furniture</t>
        </is>
      </c>
      <c r="F99" t="inlineStr">
        <is>
          <t>Eshan Gill</t>
        </is>
      </c>
      <c r="G99" t="n">
        <v>3</v>
      </c>
      <c r="H99" s="9" t="n">
        <v>74790</v>
      </c>
    </row>
    <row r="100">
      <c r="A100" t="inlineStr">
        <is>
          <t>INV-26070099</t>
        </is>
      </c>
      <c r="B100" s="5" t="n">
        <v>46266</v>
      </c>
      <c r="C100" t="inlineStr">
        <is>
          <t>South</t>
        </is>
      </c>
      <c r="D100" t="inlineStr">
        <is>
          <t>Telangana</t>
        </is>
      </c>
      <c r="E100" t="inlineStr">
        <is>
          <t>Furniture</t>
        </is>
      </c>
      <c r="F100" t="inlineStr">
        <is>
          <t>Bhavna Rao</t>
        </is>
      </c>
      <c r="G100" t="n">
        <v>10</v>
      </c>
      <c r="H100" s="9" t="n">
        <v>253430</v>
      </c>
    </row>
    <row r="101">
      <c r="A101" t="inlineStr">
        <is>
          <t>INV-26070100</t>
        </is>
      </c>
      <c r="B101" s="5" t="n">
        <v>46267</v>
      </c>
      <c r="C101" t="inlineStr">
        <is>
          <t>West</t>
        </is>
      </c>
      <c r="D101" t="inlineStr">
        <is>
          <t>Rajasthan</t>
        </is>
      </c>
      <c r="E101" t="inlineStr">
        <is>
          <t>Furniture</t>
        </is>
      </c>
      <c r="F101" t="inlineStr">
        <is>
          <t>Eshan Gill</t>
        </is>
      </c>
      <c r="G101" t="n">
        <v>3</v>
      </c>
      <c r="H101" s="9" t="n">
        <v>71320</v>
      </c>
    </row>
    <row r="102">
      <c r="A102" t="inlineStr">
        <is>
          <t>INV-26070101</t>
        </is>
      </c>
      <c r="B102" s="5" t="n">
        <v>46270</v>
      </c>
      <c r="C102" t="inlineStr">
        <is>
          <t>West</t>
        </is>
      </c>
      <c r="D102" t="inlineStr">
        <is>
          <t>Gujarat</t>
        </is>
      </c>
      <c r="E102" t="inlineStr">
        <is>
          <t>Kitchenware</t>
        </is>
      </c>
      <c r="F102" t="inlineStr">
        <is>
          <t>Fatima Sheikh</t>
        </is>
      </c>
      <c r="G102" t="n">
        <v>2</v>
      </c>
      <c r="H102" s="9" t="n">
        <v>8450</v>
      </c>
    </row>
    <row r="103">
      <c r="A103" t="inlineStr">
        <is>
          <t>INV-26070102</t>
        </is>
      </c>
      <c r="B103" s="5" t="n">
        <v>46271</v>
      </c>
      <c r="C103" t="inlineStr">
        <is>
          <t>South</t>
        </is>
      </c>
      <c r="D103" t="inlineStr">
        <is>
          <t>Telangana</t>
        </is>
      </c>
      <c r="E103" t="inlineStr">
        <is>
          <t>Kitchenware</t>
        </is>
      </c>
      <c r="F103" t="inlineStr">
        <is>
          <t>Bhavna Rao</t>
        </is>
      </c>
      <c r="G103" t="n">
        <v>6</v>
      </c>
      <c r="H103" s="9" t="n">
        <v>56990</v>
      </c>
    </row>
    <row r="104">
      <c r="A104" t="inlineStr">
        <is>
          <t>INV-26070103</t>
        </is>
      </c>
      <c r="B104" s="5" t="n">
        <v>46271</v>
      </c>
      <c r="C104" t="inlineStr">
        <is>
          <t>South</t>
        </is>
      </c>
      <c r="D104" t="inlineStr">
        <is>
          <t>Tamil Nadu</t>
        </is>
      </c>
      <c r="E104" t="inlineStr">
        <is>
          <t>Furniture</t>
        </is>
      </c>
      <c r="F104" t="inlineStr">
        <is>
          <t>Fatima Sheikh</t>
        </is>
      </c>
      <c r="G104" t="n">
        <v>4</v>
      </c>
      <c r="H104" s="9" t="n">
        <v>135980</v>
      </c>
    </row>
    <row r="105">
      <c r="A105" t="inlineStr">
        <is>
          <t>INV-26070104</t>
        </is>
      </c>
      <c r="B105" s="5" t="n">
        <v>46271</v>
      </c>
      <c r="C105" t="inlineStr">
        <is>
          <t>South</t>
        </is>
      </c>
      <c r="D105" t="inlineStr">
        <is>
          <t>Telangana</t>
        </is>
      </c>
      <c r="E105" t="inlineStr">
        <is>
          <t>Kitchenware</t>
        </is>
      </c>
      <c r="F105" t="inlineStr">
        <is>
          <t>Eshan Gill</t>
        </is>
      </c>
      <c r="G105" t="n">
        <v>4</v>
      </c>
      <c r="H105" s="9" t="n">
        <v>31510</v>
      </c>
    </row>
    <row r="106">
      <c r="A106" t="inlineStr">
        <is>
          <t>INV-26070105</t>
        </is>
      </c>
      <c r="B106" s="5" t="n">
        <v>46271</v>
      </c>
      <c r="C106" t="inlineStr">
        <is>
          <t>South</t>
        </is>
      </c>
      <c r="D106" t="inlineStr">
        <is>
          <t>Tamil Nadu</t>
        </is>
      </c>
      <c r="E106" t="inlineStr">
        <is>
          <t>Furniture</t>
        </is>
      </c>
      <c r="F106" t="inlineStr">
        <is>
          <t>Divya Bhat</t>
        </is>
      </c>
      <c r="G106" t="n">
        <v>6</v>
      </c>
      <c r="H106" s="9" t="n">
        <v>192630</v>
      </c>
    </row>
    <row r="107">
      <c r="A107" t="inlineStr">
        <is>
          <t>INV-26070106</t>
        </is>
      </c>
      <c r="B107" s="5" t="n">
        <v>46272</v>
      </c>
      <c r="C107" t="inlineStr">
        <is>
          <t>South</t>
        </is>
      </c>
      <c r="D107" t="inlineStr">
        <is>
          <t>Kerala</t>
        </is>
      </c>
      <c r="E107" t="inlineStr">
        <is>
          <t>Furniture</t>
        </is>
      </c>
      <c r="F107" t="inlineStr">
        <is>
          <t>Divya Bhat</t>
        </is>
      </c>
      <c r="G107" t="n">
        <v>5</v>
      </c>
      <c r="H107" s="9" t="n">
        <v>182580</v>
      </c>
    </row>
    <row r="108">
      <c r="A108" t="inlineStr">
        <is>
          <t>INV-26070107</t>
        </is>
      </c>
      <c r="B108" s="5" t="n">
        <v>46272</v>
      </c>
      <c r="C108" t="inlineStr">
        <is>
          <t>South</t>
        </is>
      </c>
      <c r="D108" t="inlineStr">
        <is>
          <t>Tamil Nadu</t>
        </is>
      </c>
      <c r="E108" t="inlineStr">
        <is>
          <t>Kitchenware</t>
        </is>
      </c>
      <c r="F108" t="inlineStr">
        <is>
          <t>Fatima Sheikh</t>
        </is>
      </c>
      <c r="G108" t="n">
        <v>5</v>
      </c>
      <c r="H108" s="9" t="n">
        <v>41610</v>
      </c>
    </row>
    <row r="109">
      <c r="A109" t="inlineStr">
        <is>
          <t>INV-26070108</t>
        </is>
      </c>
      <c r="B109" s="5" t="n">
        <v>46273</v>
      </c>
      <c r="C109" t="inlineStr">
        <is>
          <t>West</t>
        </is>
      </c>
      <c r="D109" t="inlineStr">
        <is>
          <t>Gujarat</t>
        </is>
      </c>
      <c r="E109" t="inlineStr">
        <is>
          <t>Kitchenware</t>
        </is>
      </c>
      <c r="F109" t="inlineStr">
        <is>
          <t>Fatima Sheikh</t>
        </is>
      </c>
      <c r="G109" t="n">
        <v>3</v>
      </c>
      <c r="H109" s="9" t="n">
        <v>38020</v>
      </c>
    </row>
    <row r="110">
      <c r="A110" t="inlineStr">
        <is>
          <t>INV-26070109</t>
        </is>
      </c>
      <c r="B110" s="5" t="n">
        <v>46273</v>
      </c>
      <c r="C110" t="inlineStr">
        <is>
          <t>East</t>
        </is>
      </c>
      <c r="D110" t="inlineStr">
        <is>
          <t>Odisha</t>
        </is>
      </c>
      <c r="E110" t="inlineStr">
        <is>
          <t>Lighting</t>
        </is>
      </c>
      <c r="F110" t="inlineStr">
        <is>
          <t>Chetan Pillai</t>
        </is>
      </c>
      <c r="G110" t="n">
        <v>8</v>
      </c>
      <c r="H110" s="9" t="n">
        <v>71450</v>
      </c>
    </row>
    <row r="111">
      <c r="A111" t="inlineStr">
        <is>
          <t>INV-26070110</t>
        </is>
      </c>
      <c r="B111" s="5" t="n">
        <v>46274</v>
      </c>
      <c r="C111" t="inlineStr">
        <is>
          <t>East</t>
        </is>
      </c>
      <c r="D111" t="inlineStr">
        <is>
          <t>Odisha</t>
        </is>
      </c>
      <c r="E111" t="inlineStr">
        <is>
          <t>Lighting</t>
        </is>
      </c>
      <c r="F111" t="inlineStr">
        <is>
          <t>Fatima Sheikh</t>
        </is>
      </c>
      <c r="G111" t="n">
        <v>6</v>
      </c>
      <c r="H111" s="9" t="n">
        <v>10810</v>
      </c>
    </row>
    <row r="112">
      <c r="A112" t="inlineStr">
        <is>
          <t>INV-26070111</t>
        </is>
      </c>
      <c r="B112" s="5" t="n">
        <v>46275</v>
      </c>
      <c r="C112" t="inlineStr">
        <is>
          <t>South</t>
        </is>
      </c>
      <c r="D112" t="inlineStr">
        <is>
          <t>Kerala</t>
        </is>
      </c>
      <c r="E112" t="inlineStr">
        <is>
          <t>Lighting</t>
        </is>
      </c>
      <c r="F112" t="inlineStr">
        <is>
          <t>Bhavna Rao</t>
        </is>
      </c>
      <c r="G112" t="n">
        <v>4</v>
      </c>
      <c r="H112" s="9" t="n">
        <v>29000</v>
      </c>
    </row>
    <row r="113">
      <c r="A113" t="inlineStr">
        <is>
          <t>INV-26070112</t>
        </is>
      </c>
      <c r="B113" s="5" t="n">
        <v>46275</v>
      </c>
      <c r="C113" t="inlineStr">
        <is>
          <t>West</t>
        </is>
      </c>
      <c r="D113" t="inlineStr">
        <is>
          <t>Maharashtra</t>
        </is>
      </c>
      <c r="E113" t="inlineStr">
        <is>
          <t>Furniture</t>
        </is>
      </c>
      <c r="F113" t="inlineStr">
        <is>
          <t>Amit Saxena</t>
        </is>
      </c>
      <c r="G113" t="n">
        <v>6</v>
      </c>
      <c r="H113" s="9" t="n">
        <v>214850</v>
      </c>
    </row>
    <row r="114">
      <c r="A114" t="inlineStr">
        <is>
          <t>INV-26070113</t>
        </is>
      </c>
      <c r="B114" s="5" t="n">
        <v>46276</v>
      </c>
      <c r="C114" t="inlineStr">
        <is>
          <t>West</t>
        </is>
      </c>
      <c r="D114" t="inlineStr">
        <is>
          <t>Maharashtra</t>
        </is>
      </c>
      <c r="E114" t="inlineStr">
        <is>
          <t>Home appliances</t>
        </is>
      </c>
      <c r="F114" t="inlineStr">
        <is>
          <t>Bhavna Rao</t>
        </is>
      </c>
      <c r="G114" t="n">
        <v>7</v>
      </c>
      <c r="H114" s="9" t="n">
        <v>370840</v>
      </c>
    </row>
    <row r="115">
      <c r="A115" t="inlineStr">
        <is>
          <t>INV-26070114</t>
        </is>
      </c>
      <c r="B115" s="5" t="n">
        <v>46277</v>
      </c>
      <c r="C115" t="inlineStr">
        <is>
          <t>East</t>
        </is>
      </c>
      <c r="D115" t="inlineStr">
        <is>
          <t>Bihar</t>
        </is>
      </c>
      <c r="E115" t="inlineStr">
        <is>
          <t>Kitchenware</t>
        </is>
      </c>
      <c r="F115" t="inlineStr">
        <is>
          <t>Fatima Sheikh</t>
        </is>
      </c>
      <c r="G115" t="n">
        <v>2</v>
      </c>
      <c r="H115" s="9" t="n">
        <v>23130</v>
      </c>
    </row>
    <row r="116">
      <c r="A116" t="inlineStr">
        <is>
          <t>INV-26070115</t>
        </is>
      </c>
      <c r="B116" s="5" t="n">
        <v>46277</v>
      </c>
      <c r="C116" t="inlineStr">
        <is>
          <t>North</t>
        </is>
      </c>
      <c r="D116" t="inlineStr">
        <is>
          <t>Uttar Pradesh</t>
        </is>
      </c>
      <c r="E116" t="inlineStr">
        <is>
          <t>Lighting</t>
        </is>
      </c>
      <c r="F116" t="inlineStr">
        <is>
          <t>Fatima Sheikh</t>
        </is>
      </c>
      <c r="G116" t="n">
        <v>8</v>
      </c>
      <c r="H116" s="9" t="n">
        <v>66890</v>
      </c>
    </row>
    <row r="117">
      <c r="A117" t="inlineStr">
        <is>
          <t>INV-26070116</t>
        </is>
      </c>
      <c r="B117" s="5" t="n">
        <v>46278</v>
      </c>
      <c r="C117" t="inlineStr">
        <is>
          <t>East</t>
        </is>
      </c>
      <c r="D117" t="inlineStr">
        <is>
          <t>Bihar</t>
        </is>
      </c>
      <c r="E117" t="inlineStr">
        <is>
          <t>Home appliances</t>
        </is>
      </c>
      <c r="F117" t="inlineStr">
        <is>
          <t>Amit Saxena</t>
        </is>
      </c>
      <c r="G117" t="n">
        <v>9</v>
      </c>
      <c r="H117" s="9" t="n">
        <v>434300</v>
      </c>
    </row>
    <row r="118">
      <c r="A118" t="inlineStr">
        <is>
          <t>INV-26070117</t>
        </is>
      </c>
      <c r="B118" s="5" t="n">
        <v>46278</v>
      </c>
      <c r="C118" t="inlineStr">
        <is>
          <t>West</t>
        </is>
      </c>
      <c r="D118" t="inlineStr">
        <is>
          <t>Gujarat</t>
        </is>
      </c>
      <c r="E118" t="inlineStr">
        <is>
          <t>Kitchenware</t>
        </is>
      </c>
      <c r="F118" t="inlineStr">
        <is>
          <t>Bhavna Rao</t>
        </is>
      </c>
      <c r="G118" t="n">
        <v>4</v>
      </c>
      <c r="H118" s="9" t="n">
        <v>17040</v>
      </c>
    </row>
    <row r="119">
      <c r="A119" t="inlineStr">
        <is>
          <t>INV-26070118</t>
        </is>
      </c>
      <c r="B119" s="5" t="n">
        <v>46279</v>
      </c>
      <c r="C119" t="inlineStr">
        <is>
          <t>South</t>
        </is>
      </c>
      <c r="D119" t="inlineStr">
        <is>
          <t>Telangana</t>
        </is>
      </c>
      <c r="E119" t="inlineStr">
        <is>
          <t>Lighting</t>
        </is>
      </c>
      <c r="F119" t="inlineStr">
        <is>
          <t>Fatima Sheikh</t>
        </is>
      </c>
      <c r="G119" t="n">
        <v>7</v>
      </c>
      <c r="H119" s="9" t="n">
        <v>23030</v>
      </c>
    </row>
    <row r="120">
      <c r="A120" t="inlineStr">
        <is>
          <t>INV-26070119</t>
        </is>
      </c>
      <c r="B120" s="5" t="n">
        <v>46279</v>
      </c>
      <c r="C120" t="inlineStr">
        <is>
          <t>North</t>
        </is>
      </c>
      <c r="D120" t="inlineStr">
        <is>
          <t>Delhi</t>
        </is>
      </c>
      <c r="E120" t="inlineStr">
        <is>
          <t>Kitchenware</t>
        </is>
      </c>
      <c r="F120" t="inlineStr">
        <is>
          <t>Chetan Pillai</t>
        </is>
      </c>
      <c r="G120" t="n">
        <v>6</v>
      </c>
      <c r="H120" s="9" t="n">
        <v>70560</v>
      </c>
    </row>
    <row r="121">
      <c r="A121" t="inlineStr">
        <is>
          <t>INV-26070120</t>
        </is>
      </c>
      <c r="B121" s="5" t="n">
        <v>46280</v>
      </c>
      <c r="C121" t="inlineStr">
        <is>
          <t>West</t>
        </is>
      </c>
      <c r="D121" t="inlineStr">
        <is>
          <t>Rajasthan</t>
        </is>
      </c>
      <c r="E121" t="inlineStr">
        <is>
          <t>Lighting</t>
        </is>
      </c>
      <c r="F121" t="inlineStr">
        <is>
          <t>Divya Bhat</t>
        </is>
      </c>
      <c r="G121" t="n">
        <v>3</v>
      </c>
      <c r="H121" s="9" t="n">
        <v>6710</v>
      </c>
    </row>
    <row r="122">
      <c r="A122" t="inlineStr">
        <is>
          <t>INV-26070121</t>
        </is>
      </c>
      <c r="B122" s="5" t="n">
        <v>46281</v>
      </c>
      <c r="C122" t="inlineStr">
        <is>
          <t>South</t>
        </is>
      </c>
      <c r="D122" t="inlineStr">
        <is>
          <t>Karnataka</t>
        </is>
      </c>
      <c r="E122" t="inlineStr">
        <is>
          <t>Kitchenware</t>
        </is>
      </c>
      <c r="F122" t="inlineStr">
        <is>
          <t>Fatima Sheikh</t>
        </is>
      </c>
      <c r="G122" t="n">
        <v>7</v>
      </c>
      <c r="H122" s="9" t="n">
        <v>94070</v>
      </c>
    </row>
    <row r="123">
      <c r="A123" t="inlineStr">
        <is>
          <t>INV-26070122</t>
        </is>
      </c>
      <c r="B123" s="5" t="n">
        <v>46281</v>
      </c>
      <c r="C123" t="inlineStr">
        <is>
          <t>South</t>
        </is>
      </c>
      <c r="D123" t="inlineStr">
        <is>
          <t>Karnataka</t>
        </is>
      </c>
      <c r="E123" t="inlineStr">
        <is>
          <t>Furniture</t>
        </is>
      </c>
      <c r="F123" t="inlineStr">
        <is>
          <t>Divya Bhat</t>
        </is>
      </c>
      <c r="G123" t="n">
        <v>6</v>
      </c>
      <c r="H123" s="9" t="n">
        <v>165040</v>
      </c>
    </row>
    <row r="124">
      <c r="A124" t="inlineStr">
        <is>
          <t>INV-26070123</t>
        </is>
      </c>
      <c r="B124" s="5" t="n">
        <v>46281</v>
      </c>
      <c r="C124" t="inlineStr">
        <is>
          <t>South</t>
        </is>
      </c>
      <c r="D124" t="inlineStr">
        <is>
          <t>Tamil Nadu</t>
        </is>
      </c>
      <c r="E124" t="inlineStr">
        <is>
          <t>Kitchenware</t>
        </is>
      </c>
      <c r="F124" t="inlineStr">
        <is>
          <t>Divya Bhat</t>
        </is>
      </c>
      <c r="G124" t="n">
        <v>9</v>
      </c>
      <c r="H124" s="9" t="n">
        <v>83300</v>
      </c>
    </row>
    <row r="125">
      <c r="A125" t="inlineStr">
        <is>
          <t>INV-26070124</t>
        </is>
      </c>
      <c r="B125" s="5" t="n">
        <v>46281</v>
      </c>
      <c r="C125" t="inlineStr">
        <is>
          <t>North</t>
        </is>
      </c>
      <c r="D125" t="inlineStr">
        <is>
          <t>Punjab</t>
        </is>
      </c>
      <c r="E125" t="inlineStr">
        <is>
          <t>Furniture</t>
        </is>
      </c>
      <c r="F125" t="inlineStr">
        <is>
          <t>Bhavna Rao</t>
        </is>
      </c>
      <c r="G125" t="n">
        <v>8</v>
      </c>
      <c r="H125" s="9" t="n">
        <v>330580</v>
      </c>
    </row>
    <row r="126">
      <c r="A126" t="inlineStr">
        <is>
          <t>INV-26070125</t>
        </is>
      </c>
      <c r="B126" s="5" t="n">
        <v>46282</v>
      </c>
      <c r="C126" t="inlineStr">
        <is>
          <t>North</t>
        </is>
      </c>
      <c r="D126" t="inlineStr">
        <is>
          <t>Uttar Pradesh</t>
        </is>
      </c>
      <c r="E126" t="inlineStr">
        <is>
          <t>Kitchenware</t>
        </is>
      </c>
      <c r="F126" t="inlineStr">
        <is>
          <t>Fatima Sheikh</t>
        </is>
      </c>
      <c r="G126" t="n">
        <v>4</v>
      </c>
      <c r="H126" s="9" t="n">
        <v>55670</v>
      </c>
    </row>
    <row r="127">
      <c r="A127" t="inlineStr">
        <is>
          <t>INV-26070126</t>
        </is>
      </c>
      <c r="B127" s="5" t="n">
        <v>46283</v>
      </c>
      <c r="C127" t="inlineStr">
        <is>
          <t>East</t>
        </is>
      </c>
      <c r="D127" t="inlineStr">
        <is>
          <t>Odisha</t>
        </is>
      </c>
      <c r="E127" t="inlineStr">
        <is>
          <t>Furniture</t>
        </is>
      </c>
      <c r="F127" t="inlineStr">
        <is>
          <t>Fatima Sheikh</t>
        </is>
      </c>
      <c r="G127" t="n">
        <v>7</v>
      </c>
      <c r="H127" s="9" t="n">
        <v>119040</v>
      </c>
    </row>
    <row r="128">
      <c r="A128" t="inlineStr">
        <is>
          <t>INV-26070127</t>
        </is>
      </c>
      <c r="B128" s="5" t="n">
        <v>46284</v>
      </c>
      <c r="C128" t="inlineStr">
        <is>
          <t>South</t>
        </is>
      </c>
      <c r="D128" t="inlineStr">
        <is>
          <t>Telangana</t>
        </is>
      </c>
      <c r="E128" t="inlineStr">
        <is>
          <t>Lighting</t>
        </is>
      </c>
      <c r="F128" t="inlineStr">
        <is>
          <t>Amit Saxena</t>
        </is>
      </c>
      <c r="G128" t="n">
        <v>9</v>
      </c>
      <c r="H128" s="9" t="n">
        <v>37030</v>
      </c>
    </row>
    <row r="129">
      <c r="A129" t="inlineStr">
        <is>
          <t>INV-26070128</t>
        </is>
      </c>
      <c r="B129" s="5" t="n">
        <v>46285</v>
      </c>
      <c r="C129" t="inlineStr">
        <is>
          <t>West</t>
        </is>
      </c>
      <c r="D129" t="inlineStr">
        <is>
          <t>Maharashtra</t>
        </is>
      </c>
      <c r="E129" t="inlineStr">
        <is>
          <t>Lighting</t>
        </is>
      </c>
      <c r="F129" t="inlineStr">
        <is>
          <t>Chetan Pillai</t>
        </is>
      </c>
      <c r="G129" t="n">
        <v>4</v>
      </c>
      <c r="H129" s="9" t="n">
        <v>27510</v>
      </c>
    </row>
    <row r="130">
      <c r="A130" t="inlineStr">
        <is>
          <t>INV-26070129</t>
        </is>
      </c>
      <c r="B130" s="5" t="n">
        <v>46285</v>
      </c>
      <c r="C130" t="inlineStr">
        <is>
          <t>South</t>
        </is>
      </c>
      <c r="D130" t="inlineStr">
        <is>
          <t>Kerala</t>
        </is>
      </c>
      <c r="E130" t="inlineStr">
        <is>
          <t>Furniture</t>
        </is>
      </c>
      <c r="F130" t="inlineStr">
        <is>
          <t>Eshan Gill</t>
        </is>
      </c>
      <c r="G130" t="n">
        <v>4</v>
      </c>
      <c r="H130" s="9" t="n">
        <v>166600</v>
      </c>
    </row>
    <row r="131">
      <c r="A131" t="inlineStr">
        <is>
          <t>INV-26070130</t>
        </is>
      </c>
      <c r="B131" s="5" t="n">
        <v>46286</v>
      </c>
      <c r="C131" t="inlineStr">
        <is>
          <t>North</t>
        </is>
      </c>
      <c r="D131" t="inlineStr">
        <is>
          <t>Uttar Pradesh</t>
        </is>
      </c>
      <c r="E131" t="inlineStr">
        <is>
          <t>Kitchenware</t>
        </is>
      </c>
      <c r="F131" t="inlineStr">
        <is>
          <t>Amit Saxena</t>
        </is>
      </c>
      <c r="G131" t="n">
        <v>5</v>
      </c>
      <c r="H131" s="9" t="n">
        <v>25350</v>
      </c>
    </row>
    <row r="132">
      <c r="A132" t="inlineStr">
        <is>
          <t>INV-26070131</t>
        </is>
      </c>
      <c r="B132" s="5" t="n">
        <v>46286</v>
      </c>
      <c r="C132" t="inlineStr">
        <is>
          <t>East</t>
        </is>
      </c>
      <c r="D132" t="inlineStr">
        <is>
          <t>Odisha</t>
        </is>
      </c>
      <c r="E132" t="inlineStr">
        <is>
          <t>Kitchenware</t>
        </is>
      </c>
      <c r="F132" t="inlineStr">
        <is>
          <t>Amit Saxena</t>
        </is>
      </c>
      <c r="G132" t="n">
        <v>3</v>
      </c>
      <c r="H132" s="9" t="n">
        <v>24550</v>
      </c>
    </row>
    <row r="133">
      <c r="A133" t="inlineStr">
        <is>
          <t>INV-26070132</t>
        </is>
      </c>
      <c r="B133" s="5" t="n">
        <v>46286</v>
      </c>
      <c r="C133" t="inlineStr">
        <is>
          <t>North</t>
        </is>
      </c>
      <c r="D133" t="inlineStr">
        <is>
          <t>Uttar Pradesh</t>
        </is>
      </c>
      <c r="E133" t="inlineStr">
        <is>
          <t>Home appliances</t>
        </is>
      </c>
      <c r="F133" t="inlineStr">
        <is>
          <t>Fatima Sheikh</t>
        </is>
      </c>
      <c r="G133" t="n">
        <v>9</v>
      </c>
      <c r="H133" s="9" t="n">
        <v>285990</v>
      </c>
    </row>
    <row r="134">
      <c r="A134" t="inlineStr">
        <is>
          <t>INV-26070133</t>
        </is>
      </c>
      <c r="B134" s="5" t="n">
        <v>46287</v>
      </c>
      <c r="C134" t="inlineStr">
        <is>
          <t>North</t>
        </is>
      </c>
      <c r="D134" t="inlineStr">
        <is>
          <t>Punjab</t>
        </is>
      </c>
      <c r="E134" t="inlineStr">
        <is>
          <t>Furniture</t>
        </is>
      </c>
      <c r="F134" t="inlineStr">
        <is>
          <t>Eshan Gill</t>
        </is>
      </c>
      <c r="G134" t="n">
        <v>2</v>
      </c>
      <c r="H134" s="9" t="n">
        <v>63870</v>
      </c>
    </row>
    <row r="135">
      <c r="A135" t="inlineStr">
        <is>
          <t>INV-26070134</t>
        </is>
      </c>
      <c r="B135" s="5" t="n">
        <v>46288</v>
      </c>
      <c r="C135" t="inlineStr">
        <is>
          <t>West</t>
        </is>
      </c>
      <c r="D135" t="inlineStr">
        <is>
          <t>Rajasthan</t>
        </is>
      </c>
      <c r="E135" t="inlineStr">
        <is>
          <t>Furniture</t>
        </is>
      </c>
      <c r="F135" t="inlineStr">
        <is>
          <t>Eshan Gill</t>
        </is>
      </c>
      <c r="G135" t="n">
        <v>5</v>
      </c>
      <c r="H135" s="9" t="n">
        <v>67310</v>
      </c>
    </row>
    <row r="136">
      <c r="A136" t="inlineStr">
        <is>
          <t>INV-26070135</t>
        </is>
      </c>
      <c r="B136" s="5" t="n">
        <v>46289</v>
      </c>
      <c r="C136" t="inlineStr">
        <is>
          <t>South</t>
        </is>
      </c>
      <c r="D136" t="inlineStr">
        <is>
          <t>Telangana</t>
        </is>
      </c>
      <c r="E136" t="inlineStr">
        <is>
          <t>Kitchenware</t>
        </is>
      </c>
      <c r="F136" t="inlineStr">
        <is>
          <t>Bhavna Rao</t>
        </is>
      </c>
      <c r="G136" t="n">
        <v>2</v>
      </c>
      <c r="H136" s="9" t="n">
        <v>10370</v>
      </c>
    </row>
    <row r="137">
      <c r="A137" t="inlineStr">
        <is>
          <t>INV-26070136</t>
        </is>
      </c>
      <c r="B137" s="5" t="n">
        <v>46289</v>
      </c>
      <c r="C137" t="inlineStr">
        <is>
          <t>South</t>
        </is>
      </c>
      <c r="D137" t="inlineStr">
        <is>
          <t>Tamil Nadu</t>
        </is>
      </c>
      <c r="E137" t="inlineStr">
        <is>
          <t>Furniture</t>
        </is>
      </c>
      <c r="F137" t="inlineStr">
        <is>
          <t>Fatima Sheikh</t>
        </is>
      </c>
      <c r="G137" t="n">
        <v>3</v>
      </c>
      <c r="H137" s="9" t="n">
        <v>110000</v>
      </c>
    </row>
    <row r="138">
      <c r="A138" t="inlineStr">
        <is>
          <t>INV-26070137</t>
        </is>
      </c>
      <c r="B138" s="5" t="n">
        <v>46289</v>
      </c>
      <c r="C138" t="inlineStr">
        <is>
          <t>West</t>
        </is>
      </c>
      <c r="D138" t="inlineStr">
        <is>
          <t>Rajasthan</t>
        </is>
      </c>
      <c r="E138" t="inlineStr">
        <is>
          <t>Lighting</t>
        </is>
      </c>
      <c r="F138" t="inlineStr">
        <is>
          <t>Divya Bhat</t>
        </is>
      </c>
      <c r="G138" t="n">
        <v>3</v>
      </c>
      <c r="H138" s="9" t="n">
        <v>6890</v>
      </c>
    </row>
    <row r="139">
      <c r="A139" t="inlineStr">
        <is>
          <t>INV-26070138</t>
        </is>
      </c>
      <c r="B139" s="5" t="n">
        <v>46289</v>
      </c>
      <c r="C139" t="inlineStr">
        <is>
          <t>West</t>
        </is>
      </c>
      <c r="D139" t="inlineStr">
        <is>
          <t>Gujarat</t>
        </is>
      </c>
      <c r="E139" t="inlineStr">
        <is>
          <t>Furniture</t>
        </is>
      </c>
      <c r="F139" t="inlineStr">
        <is>
          <t>Bhavna Rao</t>
        </is>
      </c>
      <c r="G139" t="n">
        <v>3</v>
      </c>
      <c r="H139" s="9" t="n">
        <v>76850</v>
      </c>
    </row>
    <row r="140">
      <c r="A140" t="inlineStr">
        <is>
          <t>INV-26070139</t>
        </is>
      </c>
      <c r="B140" s="5" t="n">
        <v>46290</v>
      </c>
      <c r="C140" t="inlineStr">
        <is>
          <t>North</t>
        </is>
      </c>
      <c r="D140" t="inlineStr">
        <is>
          <t>Delhi</t>
        </is>
      </c>
      <c r="E140" t="inlineStr">
        <is>
          <t>Home appliances</t>
        </is>
      </c>
      <c r="F140" t="inlineStr">
        <is>
          <t>Chetan Pillai</t>
        </is>
      </c>
      <c r="G140" t="n">
        <v>5</v>
      </c>
      <c r="H140" s="9" t="n">
        <v>146000</v>
      </c>
    </row>
    <row r="141">
      <c r="A141" t="inlineStr">
        <is>
          <t>INV-26070140</t>
        </is>
      </c>
      <c r="B141" s="5" t="n">
        <v>46291</v>
      </c>
      <c r="C141" t="inlineStr">
        <is>
          <t>North</t>
        </is>
      </c>
      <c r="D141" t="inlineStr">
        <is>
          <t>Uttar Pradesh</t>
        </is>
      </c>
      <c r="E141" t="inlineStr">
        <is>
          <t>Furniture</t>
        </is>
      </c>
      <c r="F141" t="inlineStr">
        <is>
          <t>Bhavna Rao</t>
        </is>
      </c>
      <c r="G141" t="n">
        <v>10</v>
      </c>
      <c r="H141" s="9" t="n">
        <v>176310</v>
      </c>
    </row>
    <row r="142">
      <c r="A142" t="inlineStr">
        <is>
          <t>INV-26070141</t>
        </is>
      </c>
      <c r="B142" s="5" t="n">
        <v>46291</v>
      </c>
      <c r="C142" t="inlineStr">
        <is>
          <t>East</t>
        </is>
      </c>
      <c r="D142" t="inlineStr">
        <is>
          <t>Bihar</t>
        </is>
      </c>
      <c r="E142" t="inlineStr">
        <is>
          <t>Lighting</t>
        </is>
      </c>
      <c r="F142" t="inlineStr">
        <is>
          <t>Bhavna Rao</t>
        </is>
      </c>
      <c r="G142" t="n">
        <v>3</v>
      </c>
      <c r="H142" s="9" t="n">
        <v>20370</v>
      </c>
    </row>
    <row r="143">
      <c r="A143" t="inlineStr">
        <is>
          <t>INV-26070142</t>
        </is>
      </c>
      <c r="B143" s="5" t="n">
        <v>46292</v>
      </c>
      <c r="C143" t="inlineStr">
        <is>
          <t>South</t>
        </is>
      </c>
      <c r="D143" t="inlineStr">
        <is>
          <t>Kerala</t>
        </is>
      </c>
      <c r="E143" t="inlineStr">
        <is>
          <t>Home appliances</t>
        </is>
      </c>
      <c r="F143" t="inlineStr">
        <is>
          <t>Chetan Pillai</t>
        </is>
      </c>
      <c r="G143" t="n">
        <v>3</v>
      </c>
      <c r="H143" s="9" t="n">
        <v>165890</v>
      </c>
    </row>
    <row r="144">
      <c r="A144" t="inlineStr">
        <is>
          <t>INV-26070143</t>
        </is>
      </c>
      <c r="B144" s="5" t="n">
        <v>46292</v>
      </c>
      <c r="C144" t="inlineStr">
        <is>
          <t>North</t>
        </is>
      </c>
      <c r="D144" t="inlineStr">
        <is>
          <t>Delhi</t>
        </is>
      </c>
      <c r="E144" t="inlineStr">
        <is>
          <t>Kitchenware</t>
        </is>
      </c>
      <c r="F144" t="inlineStr">
        <is>
          <t>Amit Saxena</t>
        </is>
      </c>
      <c r="G144" t="n">
        <v>5</v>
      </c>
      <c r="H144" s="9" t="n">
        <v>15450</v>
      </c>
    </row>
    <row r="145">
      <c r="A145" t="inlineStr">
        <is>
          <t>INV-26070144</t>
        </is>
      </c>
      <c r="B145" s="5" t="n">
        <v>46292</v>
      </c>
      <c r="C145" t="inlineStr">
        <is>
          <t>North</t>
        </is>
      </c>
      <c r="D145" t="inlineStr">
        <is>
          <t>Haryana</t>
        </is>
      </c>
      <c r="E145" t="inlineStr">
        <is>
          <t>Lighting</t>
        </is>
      </c>
      <c r="F145" t="inlineStr">
        <is>
          <t>Fatima Sheikh</t>
        </is>
      </c>
      <c r="G145" t="n">
        <v>8</v>
      </c>
      <c r="H145" s="9" t="n">
        <v>66530</v>
      </c>
    </row>
    <row r="146">
      <c r="A146" t="inlineStr">
        <is>
          <t>INV-26070145</t>
        </is>
      </c>
      <c r="B146" s="5" t="n">
        <v>46292</v>
      </c>
      <c r="C146" t="inlineStr">
        <is>
          <t>North</t>
        </is>
      </c>
      <c r="D146" t="inlineStr">
        <is>
          <t>Uttar Pradesh</t>
        </is>
      </c>
      <c r="E146" t="inlineStr">
        <is>
          <t>Home appliances</t>
        </is>
      </c>
      <c r="F146" t="inlineStr">
        <is>
          <t>Bhavna Rao</t>
        </is>
      </c>
      <c r="G146" t="n">
        <v>9</v>
      </c>
      <c r="H146" s="9" t="n">
        <v>335980</v>
      </c>
    </row>
    <row r="147">
      <c r="A147" t="inlineStr">
        <is>
          <t>INV-26070146</t>
        </is>
      </c>
      <c r="B147" s="5" t="n">
        <v>46292</v>
      </c>
      <c r="C147" t="inlineStr">
        <is>
          <t>West</t>
        </is>
      </c>
      <c r="D147" t="inlineStr">
        <is>
          <t>Maharashtra</t>
        </is>
      </c>
      <c r="E147" t="inlineStr">
        <is>
          <t>Lighting</t>
        </is>
      </c>
      <c r="F147" t="inlineStr">
        <is>
          <t>Divya Bhat</t>
        </is>
      </c>
      <c r="G147" t="n">
        <v>7</v>
      </c>
      <c r="H147" s="9" t="n">
        <v>26490</v>
      </c>
    </row>
    <row r="148">
      <c r="A148" t="inlineStr">
        <is>
          <t>INV-26070147</t>
        </is>
      </c>
      <c r="B148" s="5" t="n">
        <v>46294</v>
      </c>
      <c r="C148" t="inlineStr">
        <is>
          <t>North</t>
        </is>
      </c>
      <c r="D148" t="inlineStr">
        <is>
          <t>Uttar Pradesh</t>
        </is>
      </c>
      <c r="E148" t="inlineStr">
        <is>
          <t>Furniture</t>
        </is>
      </c>
      <c r="F148" t="inlineStr">
        <is>
          <t>Fatima Sheikh</t>
        </is>
      </c>
      <c r="G148" t="n">
        <v>2</v>
      </c>
      <c r="H148" s="9" t="n">
        <v>35860</v>
      </c>
    </row>
    <row r="149">
      <c r="A149" t="inlineStr">
        <is>
          <t>INV-26070148</t>
        </is>
      </c>
      <c r="B149" s="5" t="n">
        <v>46294</v>
      </c>
      <c r="C149" t="inlineStr">
        <is>
          <t>East</t>
        </is>
      </c>
      <c r="D149" t="inlineStr">
        <is>
          <t>West Bengal</t>
        </is>
      </c>
      <c r="E149" t="inlineStr">
        <is>
          <t>Kitchenware</t>
        </is>
      </c>
      <c r="F149" t="inlineStr">
        <is>
          <t>Eshan Gill</t>
        </is>
      </c>
      <c r="G149" t="n">
        <v>5</v>
      </c>
      <c r="H149" s="9" t="n">
        <v>48340</v>
      </c>
    </row>
    <row r="150">
      <c r="A150" t="inlineStr">
        <is>
          <t>INV-26070149</t>
        </is>
      </c>
      <c r="B150" s="5" t="n">
        <v>46295</v>
      </c>
      <c r="C150" t="inlineStr">
        <is>
          <t>West</t>
        </is>
      </c>
      <c r="D150" t="inlineStr">
        <is>
          <t>Rajasthan</t>
        </is>
      </c>
      <c r="E150" t="inlineStr">
        <is>
          <t>Lighting</t>
        </is>
      </c>
      <c r="F150" t="inlineStr">
        <is>
          <t>Fatima Sheikh</t>
        </is>
      </c>
      <c r="G150" t="n">
        <v>7</v>
      </c>
      <c r="H150" s="9" t="n">
        <v>61400</v>
      </c>
    </row>
    <row r="151">
      <c r="A151" t="inlineStr">
        <is>
          <t>INV-26070150</t>
        </is>
      </c>
      <c r="B151" s="5" t="n">
        <v>46295</v>
      </c>
      <c r="C151" t="inlineStr">
        <is>
          <t>North</t>
        </is>
      </c>
      <c r="D151" t="inlineStr">
        <is>
          <t>Haryana</t>
        </is>
      </c>
      <c r="E151" t="inlineStr">
        <is>
          <t>Furniture</t>
        </is>
      </c>
      <c r="F151" t="inlineStr">
        <is>
          <t>Fatima Sheikh</t>
        </is>
      </c>
      <c r="G151" t="n">
        <v>8</v>
      </c>
      <c r="H151" s="9" t="n">
        <v>213260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4" customWidth="1" min="4" max="4"/>
    <col width="16" customWidth="1" min="5" max="5"/>
    <col width="14" customWidth="1" min="6" max="6"/>
    <col width="5" customWidth="1" min="7" max="7"/>
    <col width="12" customWidth="1" min="8" max="8"/>
    <col width="24" customWidth="1" min="10" max="10"/>
    <col width="14" customWidth="1" min="11" max="11"/>
    <col width="12" customWidth="1" min="12" max="12"/>
  </cols>
  <sheetData>
    <row r="1">
      <c r="A1" s="3" t="inlineStr">
        <is>
          <t>Invoice No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State</t>
        </is>
      </c>
      <c r="E1" s="3" t="inlineStr">
        <is>
          <t>Category</t>
        </is>
      </c>
      <c r="F1" s="3" t="inlineStr">
        <is>
          <t>Sales exec</t>
        </is>
      </c>
      <c r="G1" s="3" t="inlineStr">
        <is>
          <t>Qty</t>
        </is>
      </c>
      <c r="H1" s="3" t="inlineStr">
        <is>
          <t>Net amount</t>
        </is>
      </c>
      <c r="J1" s="12" t="inlineStr">
        <is>
          <t>Sales MIS: Q2 FY 2026-27 (July to September 2026)</t>
        </is>
      </c>
    </row>
    <row r="2">
      <c r="A2" t="inlineStr">
        <is>
          <t>INV-26070001</t>
        </is>
      </c>
      <c r="B2" s="5" t="n">
        <v>46205</v>
      </c>
      <c r="C2" t="inlineStr">
        <is>
          <t>South</t>
        </is>
      </c>
      <c r="D2" t="inlineStr">
        <is>
          <t>Telangana</t>
        </is>
      </c>
      <c r="E2" t="inlineStr">
        <is>
          <t>Furniture</t>
        </is>
      </c>
      <c r="F2" t="inlineStr">
        <is>
          <t>Eshan Gill</t>
        </is>
      </c>
      <c r="G2" t="n">
        <v>6</v>
      </c>
      <c r="H2" s="9" t="n">
        <v>286910</v>
      </c>
    </row>
    <row r="3">
      <c r="A3" t="inlineStr">
        <is>
          <t>INV-26070002</t>
        </is>
      </c>
      <c r="B3" s="5" t="n">
        <v>46206</v>
      </c>
      <c r="C3" t="inlineStr">
        <is>
          <t>North</t>
        </is>
      </c>
      <c r="D3" t="inlineStr">
        <is>
          <t>Punjab</t>
        </is>
      </c>
      <c r="E3" t="inlineStr">
        <is>
          <t>Lighting</t>
        </is>
      </c>
      <c r="F3" t="inlineStr">
        <is>
          <t>Amit Saxena</t>
        </is>
      </c>
      <c r="G3" t="n">
        <v>4</v>
      </c>
      <c r="H3" s="9" t="n">
        <v>11240</v>
      </c>
      <c r="J3" s="6" t="inlineStr">
        <is>
          <t>Total sales</t>
        </is>
      </c>
      <c r="K3" s="10">
        <f>SUM(MISDataDone[Net amount])</f>
        <v/>
      </c>
    </row>
    <row r="4">
      <c r="A4" t="inlineStr">
        <is>
          <t>INV-26070003</t>
        </is>
      </c>
      <c r="B4" s="5" t="n">
        <v>46208</v>
      </c>
      <c r="C4" t="inlineStr">
        <is>
          <t>North</t>
        </is>
      </c>
      <c r="D4" t="inlineStr">
        <is>
          <t>Punjab</t>
        </is>
      </c>
      <c r="E4" t="inlineStr">
        <is>
          <t>Furniture</t>
        </is>
      </c>
      <c r="F4" t="inlineStr">
        <is>
          <t>Amit Saxena</t>
        </is>
      </c>
      <c r="G4" t="n">
        <v>1</v>
      </c>
      <c r="H4" s="9" t="n">
        <v>13620</v>
      </c>
      <c r="J4" s="6" t="inlineStr">
        <is>
          <t>Invoices</t>
        </is>
      </c>
      <c r="K4" s="20">
        <f>ROWS(MISDataDone[Net amount])</f>
        <v/>
      </c>
    </row>
    <row r="5">
      <c r="A5" t="inlineStr">
        <is>
          <t>INV-26070004</t>
        </is>
      </c>
      <c r="B5" s="5" t="n">
        <v>46211</v>
      </c>
      <c r="C5" t="inlineStr">
        <is>
          <t>North</t>
        </is>
      </c>
      <c r="D5" t="inlineStr">
        <is>
          <t>Uttar Pradesh</t>
        </is>
      </c>
      <c r="E5" t="inlineStr">
        <is>
          <t>Furniture</t>
        </is>
      </c>
      <c r="F5" t="inlineStr">
        <is>
          <t>Divya Bhat</t>
        </is>
      </c>
      <c r="G5" t="n">
        <v>7</v>
      </c>
      <c r="H5" s="9" t="n">
        <v>211100</v>
      </c>
      <c r="J5" s="6" t="inlineStr">
        <is>
          <t>Average invoice</t>
        </is>
      </c>
      <c r="K5" s="10">
        <f>K3/K4</f>
        <v/>
      </c>
    </row>
    <row r="6">
      <c r="A6" t="inlineStr">
        <is>
          <t>INV-26070005</t>
        </is>
      </c>
      <c r="B6" s="5" t="n">
        <v>46211</v>
      </c>
      <c r="C6" t="inlineStr">
        <is>
          <t>West</t>
        </is>
      </c>
      <c r="D6" t="inlineStr">
        <is>
          <t>Rajasthan</t>
        </is>
      </c>
      <c r="E6" t="inlineStr">
        <is>
          <t>Furniture</t>
        </is>
      </c>
      <c r="F6" t="inlineStr">
        <is>
          <t>Bhavna Rao</t>
        </is>
      </c>
      <c r="G6" t="n">
        <v>4</v>
      </c>
      <c r="H6" s="9" t="n">
        <v>68250</v>
      </c>
      <c r="J6" s="6" t="inlineStr">
        <is>
          <t>Top region</t>
        </is>
      </c>
      <c r="K6" s="4">
        <f>INDEX(J10:J13,MATCH(MAX(K10:K13),K10:K13,0))</f>
        <v/>
      </c>
    </row>
    <row r="7">
      <c r="A7" t="inlineStr">
        <is>
          <t>INV-26070006</t>
        </is>
      </c>
      <c r="B7" s="5" t="n">
        <v>46212</v>
      </c>
      <c r="C7" t="inlineStr">
        <is>
          <t>North</t>
        </is>
      </c>
      <c r="D7" t="inlineStr">
        <is>
          <t>Uttar Pradesh</t>
        </is>
      </c>
      <c r="E7" t="inlineStr">
        <is>
          <t>Furniture</t>
        </is>
      </c>
      <c r="F7" t="inlineStr">
        <is>
          <t>Amit Saxena</t>
        </is>
      </c>
      <c r="G7" t="n">
        <v>7</v>
      </c>
      <c r="H7" s="9" t="n">
        <v>164370</v>
      </c>
    </row>
    <row r="8">
      <c r="A8" t="inlineStr">
        <is>
          <t>INV-26070007</t>
        </is>
      </c>
      <c r="B8" s="5" t="n">
        <v>46212</v>
      </c>
      <c r="C8" t="inlineStr">
        <is>
          <t>South</t>
        </is>
      </c>
      <c r="D8" t="inlineStr">
        <is>
          <t>Kerala</t>
        </is>
      </c>
      <c r="E8" t="inlineStr">
        <is>
          <t>Home appliances</t>
        </is>
      </c>
      <c r="F8" t="inlineStr">
        <is>
          <t>Divya Bhat</t>
        </is>
      </c>
      <c r="G8" t="n">
        <v>1</v>
      </c>
      <c r="H8" s="9" t="n">
        <v>56300</v>
      </c>
    </row>
    <row r="9">
      <c r="A9" t="inlineStr">
        <is>
          <t>INV-26070008</t>
        </is>
      </c>
      <c r="B9" s="5" t="n">
        <v>46213</v>
      </c>
      <c r="C9" t="inlineStr">
        <is>
          <t>East</t>
        </is>
      </c>
      <c r="D9" t="inlineStr">
        <is>
          <t>Odisha</t>
        </is>
      </c>
      <c r="E9" t="inlineStr">
        <is>
          <t>Furniture</t>
        </is>
      </c>
      <c r="F9" t="inlineStr">
        <is>
          <t>Chetan Pillai</t>
        </is>
      </c>
      <c r="G9" t="n">
        <v>2</v>
      </c>
      <c r="H9" s="9" t="n">
        <v>40180</v>
      </c>
      <c r="J9" s="3" t="inlineStr">
        <is>
          <t>Region</t>
        </is>
      </c>
      <c r="K9" s="3" t="inlineStr">
        <is>
          <t>Sales</t>
        </is>
      </c>
      <c r="L9" s="3" t="inlineStr">
        <is>
          <t>Share</t>
        </is>
      </c>
    </row>
    <row r="10">
      <c r="A10" t="inlineStr">
        <is>
          <t>INV-26070009</t>
        </is>
      </c>
      <c r="B10" s="5" t="n">
        <v>46213</v>
      </c>
      <c r="C10" t="inlineStr">
        <is>
          <t>South</t>
        </is>
      </c>
      <c r="D10" t="inlineStr">
        <is>
          <t>Tamil Nadu</t>
        </is>
      </c>
      <c r="E10" t="inlineStr">
        <is>
          <t>Kitchenware</t>
        </is>
      </c>
      <c r="F10" t="inlineStr">
        <is>
          <t>Fatima Sheikh</t>
        </is>
      </c>
      <c r="G10" t="n">
        <v>4</v>
      </c>
      <c r="H10" s="9" t="n">
        <v>33600</v>
      </c>
      <c r="J10" t="inlineStr">
        <is>
          <t>North</t>
        </is>
      </c>
      <c r="K10" s="10">
        <f>SUMIFS(MISDataDone[Net amount],MISDataDone[Region],J10)</f>
        <v/>
      </c>
      <c r="L10" s="17">
        <f>K10/$K$3</f>
        <v/>
      </c>
    </row>
    <row r="11">
      <c r="A11" t="inlineStr">
        <is>
          <t>INV-26070010</t>
        </is>
      </c>
      <c r="B11" s="5" t="n">
        <v>46213</v>
      </c>
      <c r="C11" t="inlineStr">
        <is>
          <t>North</t>
        </is>
      </c>
      <c r="D11" t="inlineStr">
        <is>
          <t>Delhi</t>
        </is>
      </c>
      <c r="E11" t="inlineStr">
        <is>
          <t>Home appliances</t>
        </is>
      </c>
      <c r="F11" t="inlineStr">
        <is>
          <t>Fatima Sheikh</t>
        </is>
      </c>
      <c r="G11" t="n">
        <v>5</v>
      </c>
      <c r="H11" s="9" t="n">
        <v>173480</v>
      </c>
      <c r="J11" t="inlineStr">
        <is>
          <t>South</t>
        </is>
      </c>
      <c r="K11" s="10">
        <f>SUMIFS(MISDataDone[Net amount],MISDataDone[Region],J11)</f>
        <v/>
      </c>
      <c r="L11" s="17">
        <f>K11/$K$3</f>
        <v/>
      </c>
    </row>
    <row r="12">
      <c r="A12" t="inlineStr">
        <is>
          <t>INV-26070011</t>
        </is>
      </c>
      <c r="B12" s="5" t="n">
        <v>46214</v>
      </c>
      <c r="C12" t="inlineStr">
        <is>
          <t>North</t>
        </is>
      </c>
      <c r="D12" t="inlineStr">
        <is>
          <t>Punjab</t>
        </is>
      </c>
      <c r="E12" t="inlineStr">
        <is>
          <t>Lighting</t>
        </is>
      </c>
      <c r="F12" t="inlineStr">
        <is>
          <t>Amit Saxena</t>
        </is>
      </c>
      <c r="G12" t="n">
        <v>1</v>
      </c>
      <c r="H12" s="9" t="n">
        <v>4920</v>
      </c>
      <c r="J12" t="inlineStr">
        <is>
          <t>East</t>
        </is>
      </c>
      <c r="K12" s="10">
        <f>SUMIFS(MISDataDone[Net amount],MISDataDone[Region],J12)</f>
        <v/>
      </c>
      <c r="L12" s="17">
        <f>K12/$K$3</f>
        <v/>
      </c>
    </row>
    <row r="13">
      <c r="A13" t="inlineStr">
        <is>
          <t>INV-26070012</t>
        </is>
      </c>
      <c r="B13" s="5" t="n">
        <v>46215</v>
      </c>
      <c r="C13" t="inlineStr">
        <is>
          <t>South</t>
        </is>
      </c>
      <c r="D13" t="inlineStr">
        <is>
          <t>Tamil Nadu</t>
        </is>
      </c>
      <c r="E13" t="inlineStr">
        <is>
          <t>Furniture</t>
        </is>
      </c>
      <c r="F13" t="inlineStr">
        <is>
          <t>Chetan Pillai</t>
        </is>
      </c>
      <c r="G13" t="n">
        <v>8</v>
      </c>
      <c r="H13" s="9" t="n">
        <v>255950</v>
      </c>
      <c r="J13" t="inlineStr">
        <is>
          <t>West</t>
        </is>
      </c>
      <c r="K13" s="10">
        <f>SUMIFS(MISDataDone[Net amount],MISDataDone[Region],J13)</f>
        <v/>
      </c>
      <c r="L13" s="17">
        <f>K13/$K$3</f>
        <v/>
      </c>
    </row>
    <row r="14">
      <c r="A14" t="inlineStr">
        <is>
          <t>INV-26070013</t>
        </is>
      </c>
      <c r="B14" s="5" t="n">
        <v>46215</v>
      </c>
      <c r="C14" t="inlineStr">
        <is>
          <t>West</t>
        </is>
      </c>
      <c r="D14" t="inlineStr">
        <is>
          <t>Maharashtra</t>
        </is>
      </c>
      <c r="E14" t="inlineStr">
        <is>
          <t>Furniture</t>
        </is>
      </c>
      <c r="F14" t="inlineStr">
        <is>
          <t>Divya Bhat</t>
        </is>
      </c>
      <c r="G14" t="n">
        <v>4</v>
      </c>
      <c r="H14" s="9" t="n">
        <v>190610</v>
      </c>
    </row>
    <row r="15">
      <c r="A15" t="inlineStr">
        <is>
          <t>INV-26070014</t>
        </is>
      </c>
      <c r="B15" s="5" t="n">
        <v>46215</v>
      </c>
      <c r="C15" t="inlineStr">
        <is>
          <t>North</t>
        </is>
      </c>
      <c r="D15" t="inlineStr">
        <is>
          <t>Delhi</t>
        </is>
      </c>
      <c r="E15" t="inlineStr">
        <is>
          <t>Lighting</t>
        </is>
      </c>
      <c r="F15" t="inlineStr">
        <is>
          <t>Chetan Pillai</t>
        </is>
      </c>
      <c r="G15" t="n">
        <v>3</v>
      </c>
      <c r="H15" s="9" t="n">
        <v>23140</v>
      </c>
      <c r="J15" s="3" t="inlineStr">
        <is>
          <t>Month</t>
        </is>
      </c>
      <c r="K15" s="3" t="inlineStr">
        <is>
          <t>Sales</t>
        </is>
      </c>
      <c r="L15" s="3" t="inlineStr">
        <is>
          <t>Growth vs last month</t>
        </is>
      </c>
    </row>
    <row r="16">
      <c r="A16" t="inlineStr">
        <is>
          <t>INV-26070015</t>
        </is>
      </c>
      <c r="B16" s="5" t="n">
        <v>46216</v>
      </c>
      <c r="C16" t="inlineStr">
        <is>
          <t>West</t>
        </is>
      </c>
      <c r="D16" t="inlineStr">
        <is>
          <t>Maharashtra</t>
        </is>
      </c>
      <c r="E16" t="inlineStr">
        <is>
          <t>Furniture</t>
        </is>
      </c>
      <c r="F16" t="inlineStr">
        <is>
          <t>Chetan Pillai</t>
        </is>
      </c>
      <c r="G16" t="n">
        <v>3</v>
      </c>
      <c r="H16" s="9" t="n">
        <v>127960</v>
      </c>
      <c r="J16" s="21" t="n">
        <v>46204</v>
      </c>
      <c r="K16" s="10">
        <f>SUMIFS(MISDataDone[Net amount],MISDataDone[Date],"&gt;="&amp;J16,MISDataDone[Date],"&lt;="&amp;EOMONTH(J16,0))</f>
        <v/>
      </c>
    </row>
    <row r="17">
      <c r="A17" t="inlineStr">
        <is>
          <t>INV-26070016</t>
        </is>
      </c>
      <c r="B17" s="5" t="n">
        <v>46216</v>
      </c>
      <c r="C17" t="inlineStr">
        <is>
          <t>North</t>
        </is>
      </c>
      <c r="D17" t="inlineStr">
        <is>
          <t>Delhi</t>
        </is>
      </c>
      <c r="E17" t="inlineStr">
        <is>
          <t>Furniture</t>
        </is>
      </c>
      <c r="F17" t="inlineStr">
        <is>
          <t>Bhavna Rao</t>
        </is>
      </c>
      <c r="G17" t="n">
        <v>1</v>
      </c>
      <c r="H17" s="9" t="n">
        <v>23560</v>
      </c>
      <c r="J17" s="21" t="n">
        <v>46235</v>
      </c>
      <c r="K17" s="10">
        <f>SUMIFS(MISDataDone[Net amount],MISDataDone[Date],"&gt;="&amp;J17,MISDataDone[Date],"&lt;="&amp;EOMONTH(J17,0))</f>
        <v/>
      </c>
      <c r="L17" s="17">
        <f>K17/K16-1</f>
        <v/>
      </c>
    </row>
    <row r="18">
      <c r="A18" t="inlineStr">
        <is>
          <t>INV-26070017</t>
        </is>
      </c>
      <c r="B18" s="5" t="n">
        <v>46218</v>
      </c>
      <c r="C18" t="inlineStr">
        <is>
          <t>West</t>
        </is>
      </c>
      <c r="D18" t="inlineStr">
        <is>
          <t>Rajasthan</t>
        </is>
      </c>
      <c r="E18" t="inlineStr">
        <is>
          <t>Home appliances</t>
        </is>
      </c>
      <c r="F18" t="inlineStr">
        <is>
          <t>Amit Saxena</t>
        </is>
      </c>
      <c r="G18" t="n">
        <v>6</v>
      </c>
      <c r="H18" s="9" t="n">
        <v>278410</v>
      </c>
      <c r="J18" s="21" t="n">
        <v>46266</v>
      </c>
      <c r="K18" s="10">
        <f>SUMIFS(MISDataDone[Net amount],MISDataDone[Date],"&gt;="&amp;J18,MISDataDone[Date],"&lt;="&amp;EOMONTH(J18,0))</f>
        <v/>
      </c>
      <c r="L18" s="17">
        <f>K18/K17-1</f>
        <v/>
      </c>
    </row>
    <row r="19">
      <c r="A19" t="inlineStr">
        <is>
          <t>INV-26070018</t>
        </is>
      </c>
      <c r="B19" s="5" t="n">
        <v>46219</v>
      </c>
      <c r="C19" t="inlineStr">
        <is>
          <t>North</t>
        </is>
      </c>
      <c r="D19" t="inlineStr">
        <is>
          <t>Delhi</t>
        </is>
      </c>
      <c r="E19" t="inlineStr">
        <is>
          <t>Home appliances</t>
        </is>
      </c>
      <c r="F19" t="inlineStr">
        <is>
          <t>Divya Bhat</t>
        </is>
      </c>
      <c r="G19" t="n">
        <v>7</v>
      </c>
      <c r="H19" s="9" t="n">
        <v>300500</v>
      </c>
    </row>
    <row r="20">
      <c r="A20" t="inlineStr">
        <is>
          <t>INV-26070019</t>
        </is>
      </c>
      <c r="B20" s="5" t="n">
        <v>46219</v>
      </c>
      <c r="C20" t="inlineStr">
        <is>
          <t>East</t>
        </is>
      </c>
      <c r="D20" t="inlineStr">
        <is>
          <t>Odisha</t>
        </is>
      </c>
      <c r="E20" t="inlineStr">
        <is>
          <t>Kitchenware</t>
        </is>
      </c>
      <c r="F20" t="inlineStr">
        <is>
          <t>Chetan Pillai</t>
        </is>
      </c>
      <c r="G20" t="n">
        <v>8</v>
      </c>
      <c r="H20" s="9" t="n">
        <v>50130</v>
      </c>
      <c r="J20" s="3" t="inlineStr">
        <is>
          <t>Category</t>
        </is>
      </c>
      <c r="K20" s="3" t="inlineStr">
        <is>
          <t>Sales</t>
        </is>
      </c>
      <c r="L20" s="3" t="inlineStr">
        <is>
          <t>Share</t>
        </is>
      </c>
    </row>
    <row r="21">
      <c r="A21" t="inlineStr">
        <is>
          <t>INV-26070020</t>
        </is>
      </c>
      <c r="B21" s="5" t="n">
        <v>46219</v>
      </c>
      <c r="C21" t="inlineStr">
        <is>
          <t>South</t>
        </is>
      </c>
      <c r="D21" t="inlineStr">
        <is>
          <t>Karnataka</t>
        </is>
      </c>
      <c r="E21" t="inlineStr">
        <is>
          <t>Kitchenware</t>
        </is>
      </c>
      <c r="F21" t="inlineStr">
        <is>
          <t>Divya Bhat</t>
        </is>
      </c>
      <c r="G21" t="n">
        <v>2</v>
      </c>
      <c r="H21" s="9" t="n">
        <v>17780</v>
      </c>
      <c r="J21" t="inlineStr">
        <is>
          <t>Home appliances</t>
        </is>
      </c>
      <c r="K21" s="10">
        <f>SUMIFS(MISDataDone[Net amount],MISDataDone[Category],J21)</f>
        <v/>
      </c>
      <c r="L21" s="17">
        <f>K21/$K$3</f>
        <v/>
      </c>
    </row>
    <row r="22">
      <c r="A22" t="inlineStr">
        <is>
          <t>INV-26070021</t>
        </is>
      </c>
      <c r="B22" s="5" t="n">
        <v>46220</v>
      </c>
      <c r="C22" t="inlineStr">
        <is>
          <t>North</t>
        </is>
      </c>
      <c r="D22" t="inlineStr">
        <is>
          <t>Delhi</t>
        </is>
      </c>
      <c r="E22" t="inlineStr">
        <is>
          <t>Kitchenware</t>
        </is>
      </c>
      <c r="F22" t="inlineStr">
        <is>
          <t>Bhavna Rao</t>
        </is>
      </c>
      <c r="G22" t="n">
        <v>7</v>
      </c>
      <c r="H22" s="9" t="n">
        <v>36860</v>
      </c>
      <c r="J22" t="inlineStr">
        <is>
          <t>Kitchenware</t>
        </is>
      </c>
      <c r="K22" s="10">
        <f>SUMIFS(MISDataDone[Net amount],MISDataDone[Category],J22)</f>
        <v/>
      </c>
      <c r="L22" s="17">
        <f>K22/$K$3</f>
        <v/>
      </c>
    </row>
    <row r="23">
      <c r="A23" t="inlineStr">
        <is>
          <t>INV-26070022</t>
        </is>
      </c>
      <c r="B23" s="5" t="n">
        <v>46220</v>
      </c>
      <c r="C23" t="inlineStr">
        <is>
          <t>North</t>
        </is>
      </c>
      <c r="D23" t="inlineStr">
        <is>
          <t>Delhi</t>
        </is>
      </c>
      <c r="E23" t="inlineStr">
        <is>
          <t>Lighting</t>
        </is>
      </c>
      <c r="F23" t="inlineStr">
        <is>
          <t>Amit Saxena</t>
        </is>
      </c>
      <c r="G23" t="n">
        <v>1</v>
      </c>
      <c r="H23" s="9" t="n">
        <v>7860</v>
      </c>
      <c r="J23" t="inlineStr">
        <is>
          <t>Lighting</t>
        </is>
      </c>
      <c r="K23" s="10">
        <f>SUMIFS(MISDataDone[Net amount],MISDataDone[Category],J23)</f>
        <v/>
      </c>
      <c r="L23" s="17">
        <f>K23/$K$3</f>
        <v/>
      </c>
    </row>
    <row r="24">
      <c r="A24" t="inlineStr">
        <is>
          <t>INV-26070023</t>
        </is>
      </c>
      <c r="B24" s="5" t="n">
        <v>46220</v>
      </c>
      <c r="C24" t="inlineStr">
        <is>
          <t>North</t>
        </is>
      </c>
      <c r="D24" t="inlineStr">
        <is>
          <t>Punjab</t>
        </is>
      </c>
      <c r="E24" t="inlineStr">
        <is>
          <t>Kitchenware</t>
        </is>
      </c>
      <c r="F24" t="inlineStr">
        <is>
          <t>Fatima Sheikh</t>
        </is>
      </c>
      <c r="G24" t="n">
        <v>5</v>
      </c>
      <c r="H24" s="9" t="n">
        <v>45350</v>
      </c>
      <c r="J24" t="inlineStr">
        <is>
          <t>Furniture</t>
        </is>
      </c>
      <c r="K24" s="10">
        <f>SUMIFS(MISDataDone[Net amount],MISDataDone[Category],J24)</f>
        <v/>
      </c>
      <c r="L24" s="17">
        <f>K24/$K$3</f>
        <v/>
      </c>
    </row>
    <row r="25">
      <c r="A25" t="inlineStr">
        <is>
          <t>INV-26070024</t>
        </is>
      </c>
      <c r="B25" s="5" t="n">
        <v>46222</v>
      </c>
      <c r="C25" t="inlineStr">
        <is>
          <t>West</t>
        </is>
      </c>
      <c r="D25" t="inlineStr">
        <is>
          <t>Rajasthan</t>
        </is>
      </c>
      <c r="E25" t="inlineStr">
        <is>
          <t>Home appliances</t>
        </is>
      </c>
      <c r="F25" t="inlineStr">
        <is>
          <t>Eshan Gill</t>
        </is>
      </c>
      <c r="G25" t="n">
        <v>1</v>
      </c>
      <c r="H25" s="9" t="n">
        <v>50680</v>
      </c>
    </row>
    <row r="26">
      <c r="A26" t="inlineStr">
        <is>
          <t>INV-26070025</t>
        </is>
      </c>
      <c r="B26" s="5" t="n">
        <v>46222</v>
      </c>
      <c r="C26" t="inlineStr">
        <is>
          <t>South</t>
        </is>
      </c>
      <c r="D26" t="inlineStr">
        <is>
          <t>Tamil Nadu</t>
        </is>
      </c>
      <c r="E26" t="inlineStr">
        <is>
          <t>Lighting</t>
        </is>
      </c>
      <c r="F26" t="inlineStr">
        <is>
          <t>Amit Saxena</t>
        </is>
      </c>
      <c r="G26" t="n">
        <v>7</v>
      </c>
      <c r="H26" s="9" t="n">
        <v>60850</v>
      </c>
      <c r="J26" s="6" t="inlineStr">
        <is>
          <t>Commentary (AI draft, checked against the numbers above)</t>
        </is>
      </c>
    </row>
    <row r="27">
      <c r="A27" t="inlineStr">
        <is>
          <t>INV-26070026</t>
        </is>
      </c>
      <c r="B27" s="5" t="n">
        <v>46223</v>
      </c>
      <c r="C27" t="inlineStr">
        <is>
          <t>East</t>
        </is>
      </c>
      <c r="D27" t="inlineStr">
        <is>
          <t>Bihar</t>
        </is>
      </c>
      <c r="E27" t="inlineStr">
        <is>
          <t>Kitchenware</t>
        </is>
      </c>
      <c r="F27" t="inlineStr">
        <is>
          <t>Eshan Gill</t>
        </is>
      </c>
      <c r="G27" t="n">
        <v>2</v>
      </c>
      <c r="H27" s="9" t="n">
        <v>12480</v>
      </c>
      <c r="J27" s="4" t="inlineStr">
        <is>
          <t>• Q2 sales were ₹1,54,05,150 from 150 invoices (average ₹1,02,701).</t>
        </is>
      </c>
    </row>
    <row r="28">
      <c r="A28" t="inlineStr">
        <is>
          <t>INV-26070027</t>
        </is>
      </c>
      <c r="B28" s="5" t="n">
        <v>46223</v>
      </c>
      <c r="C28" t="inlineStr">
        <is>
          <t>East</t>
        </is>
      </c>
      <c r="D28" t="inlineStr">
        <is>
          <t>Bihar</t>
        </is>
      </c>
      <c r="E28" t="inlineStr">
        <is>
          <t>Furniture</t>
        </is>
      </c>
      <c r="F28" t="inlineStr">
        <is>
          <t>Eshan Gill</t>
        </is>
      </c>
      <c r="G28" t="n">
        <v>2</v>
      </c>
      <c r="H28" s="9" t="n">
        <v>61110</v>
      </c>
      <c r="J28" s="4" t="inlineStr">
        <is>
          <t>• North led with 29.3% of sales.</t>
        </is>
      </c>
    </row>
    <row r="29">
      <c r="A29" t="inlineStr">
        <is>
          <t>INV-26070028</t>
        </is>
      </c>
      <c r="B29" s="5" t="n">
        <v>46224</v>
      </c>
      <c r="C29" t="inlineStr">
        <is>
          <t>North</t>
        </is>
      </c>
      <c r="D29" t="inlineStr">
        <is>
          <t>Punjab</t>
        </is>
      </c>
      <c r="E29" t="inlineStr">
        <is>
          <t>Home appliances</t>
        </is>
      </c>
      <c r="F29" t="inlineStr">
        <is>
          <t>Divya Bhat</t>
        </is>
      </c>
      <c r="G29" t="n">
        <v>6</v>
      </c>
      <c r="H29" s="9" t="n">
        <v>238960</v>
      </c>
      <c r="J29" s="4" t="inlineStr">
        <is>
          <t>• Monthly sales: Jul ₹51,73,280, Aug ₹48,18,840, Sep ₹54,13,030 (+12.3% vs Aug).</t>
        </is>
      </c>
    </row>
    <row r="30">
      <c r="A30" t="inlineStr">
        <is>
          <t>INV-26070029</t>
        </is>
      </c>
      <c r="B30" s="5" t="n">
        <v>46224</v>
      </c>
      <c r="C30" t="inlineStr">
        <is>
          <t>South</t>
        </is>
      </c>
      <c r="D30" t="inlineStr">
        <is>
          <t>Kerala</t>
        </is>
      </c>
      <c r="E30" t="inlineStr">
        <is>
          <t>Home appliances</t>
        </is>
      </c>
      <c r="F30" t="inlineStr">
        <is>
          <t>Divya Bhat</t>
        </is>
      </c>
      <c r="G30" t="n">
        <v>2</v>
      </c>
      <c r="H30" s="9" t="n">
        <v>81250</v>
      </c>
      <c r="J30" s="4" t="inlineStr">
        <is>
          <t>• Furniture was the largest category at 46.9% of sales.</t>
        </is>
      </c>
    </row>
    <row r="31">
      <c r="A31" t="inlineStr">
        <is>
          <t>INV-26070030</t>
        </is>
      </c>
      <c r="B31" s="5" t="n">
        <v>46224</v>
      </c>
      <c r="C31" t="inlineStr">
        <is>
          <t>South</t>
        </is>
      </c>
      <c r="D31" t="inlineStr">
        <is>
          <t>Tamil Nadu</t>
        </is>
      </c>
      <c r="E31" t="inlineStr">
        <is>
          <t>Lighting</t>
        </is>
      </c>
      <c r="F31" t="inlineStr">
        <is>
          <t>Amit Saxena</t>
        </is>
      </c>
      <c r="G31" t="n">
        <v>2</v>
      </c>
      <c r="H31" s="9" t="n">
        <v>4710</v>
      </c>
      <c r="J31" s="4" t="inlineStr">
        <is>
          <t>• Watch: East is the smallest region; plan festive-season stock early.</t>
        </is>
      </c>
    </row>
    <row r="32">
      <c r="A32" t="inlineStr">
        <is>
          <t>INV-26070031</t>
        </is>
      </c>
      <c r="B32" s="5" t="n">
        <v>46225</v>
      </c>
      <c r="C32" t="inlineStr">
        <is>
          <t>South</t>
        </is>
      </c>
      <c r="D32" t="inlineStr">
        <is>
          <t>Kerala</t>
        </is>
      </c>
      <c r="E32" t="inlineStr">
        <is>
          <t>Home appliances</t>
        </is>
      </c>
      <c r="F32" t="inlineStr">
        <is>
          <t>Chetan Pillai</t>
        </is>
      </c>
      <c r="G32" t="n">
        <v>6</v>
      </c>
      <c r="H32" s="9" t="n">
        <v>369320</v>
      </c>
    </row>
    <row r="33">
      <c r="A33" t="inlineStr">
        <is>
          <t>INV-26070032</t>
        </is>
      </c>
      <c r="B33" s="5" t="n">
        <v>46225</v>
      </c>
      <c r="C33" t="inlineStr">
        <is>
          <t>North</t>
        </is>
      </c>
      <c r="D33" t="inlineStr">
        <is>
          <t>Delhi</t>
        </is>
      </c>
      <c r="E33" t="inlineStr">
        <is>
          <t>Home appliances</t>
        </is>
      </c>
      <c r="F33" t="inlineStr">
        <is>
          <t>Chetan Pillai</t>
        </is>
      </c>
      <c r="G33" t="n">
        <v>5</v>
      </c>
      <c r="H33" s="9" t="n">
        <v>132120</v>
      </c>
    </row>
    <row r="34">
      <c r="A34" t="inlineStr">
        <is>
          <t>INV-26070033</t>
        </is>
      </c>
      <c r="B34" s="5" t="n">
        <v>46225</v>
      </c>
      <c r="C34" t="inlineStr">
        <is>
          <t>South</t>
        </is>
      </c>
      <c r="D34" t="inlineStr">
        <is>
          <t>Telangana</t>
        </is>
      </c>
      <c r="E34" t="inlineStr">
        <is>
          <t>Lighting</t>
        </is>
      </c>
      <c r="F34" t="inlineStr">
        <is>
          <t>Amit Saxena</t>
        </is>
      </c>
      <c r="G34" t="n">
        <v>2</v>
      </c>
      <c r="H34" s="9" t="n">
        <v>8590</v>
      </c>
    </row>
    <row r="35">
      <c r="A35" t="inlineStr">
        <is>
          <t>INV-26070034</t>
        </is>
      </c>
      <c r="B35" s="5" t="n">
        <v>46225</v>
      </c>
      <c r="C35" t="inlineStr">
        <is>
          <t>South</t>
        </is>
      </c>
      <c r="D35" t="inlineStr">
        <is>
          <t>Tamil Nadu</t>
        </is>
      </c>
      <c r="E35" t="inlineStr">
        <is>
          <t>Kitchenware</t>
        </is>
      </c>
      <c r="F35" t="inlineStr">
        <is>
          <t>Eshan Gill</t>
        </is>
      </c>
      <c r="G35" t="n">
        <v>4</v>
      </c>
      <c r="H35" s="9" t="n">
        <v>32740</v>
      </c>
    </row>
    <row r="36">
      <c r="A36" t="inlineStr">
        <is>
          <t>INV-26070035</t>
        </is>
      </c>
      <c r="B36" s="5" t="n">
        <v>46226</v>
      </c>
      <c r="C36" t="inlineStr">
        <is>
          <t>East</t>
        </is>
      </c>
      <c r="D36" t="inlineStr">
        <is>
          <t>West Bengal</t>
        </is>
      </c>
      <c r="E36" t="inlineStr">
        <is>
          <t>Lighting</t>
        </is>
      </c>
      <c r="F36" t="inlineStr">
        <is>
          <t>Chetan Pillai</t>
        </is>
      </c>
      <c r="G36" t="n">
        <v>7</v>
      </c>
      <c r="H36" s="9" t="n">
        <v>43070</v>
      </c>
    </row>
    <row r="37">
      <c r="A37" t="inlineStr">
        <is>
          <t>INV-26070036</t>
        </is>
      </c>
      <c r="B37" s="5" t="n">
        <v>46227</v>
      </c>
      <c r="C37" t="inlineStr">
        <is>
          <t>South</t>
        </is>
      </c>
      <c r="D37" t="inlineStr">
        <is>
          <t>Telangana</t>
        </is>
      </c>
      <c r="E37" t="inlineStr">
        <is>
          <t>Lighting</t>
        </is>
      </c>
      <c r="F37" t="inlineStr">
        <is>
          <t>Chetan Pillai</t>
        </is>
      </c>
      <c r="G37" t="n">
        <v>4</v>
      </c>
      <c r="H37" s="9" t="n">
        <v>17040</v>
      </c>
    </row>
    <row r="38">
      <c r="A38" t="inlineStr">
        <is>
          <t>INV-26070037</t>
        </is>
      </c>
      <c r="B38" s="5" t="n">
        <v>46227</v>
      </c>
      <c r="C38" t="inlineStr">
        <is>
          <t>East</t>
        </is>
      </c>
      <c r="D38" t="inlineStr">
        <is>
          <t>West Bengal</t>
        </is>
      </c>
      <c r="E38" t="inlineStr">
        <is>
          <t>Furniture</t>
        </is>
      </c>
      <c r="F38" t="inlineStr">
        <is>
          <t>Bhavna Rao</t>
        </is>
      </c>
      <c r="G38" t="n">
        <v>8</v>
      </c>
      <c r="H38" s="9" t="n">
        <v>215210</v>
      </c>
    </row>
    <row r="39">
      <c r="A39" t="inlineStr">
        <is>
          <t>INV-26070038</t>
        </is>
      </c>
      <c r="B39" s="5" t="n">
        <v>46228</v>
      </c>
      <c r="C39" t="inlineStr">
        <is>
          <t>East</t>
        </is>
      </c>
      <c r="D39" t="inlineStr">
        <is>
          <t>West Bengal</t>
        </is>
      </c>
      <c r="E39" t="inlineStr">
        <is>
          <t>Furniture</t>
        </is>
      </c>
      <c r="F39" t="inlineStr">
        <is>
          <t>Amit Saxena</t>
        </is>
      </c>
      <c r="G39" t="n">
        <v>5</v>
      </c>
      <c r="H39" s="9" t="n">
        <v>173340</v>
      </c>
    </row>
    <row r="40">
      <c r="A40" t="inlineStr">
        <is>
          <t>INV-26070039</t>
        </is>
      </c>
      <c r="B40" s="5" t="n">
        <v>46228</v>
      </c>
      <c r="C40" t="inlineStr">
        <is>
          <t>South</t>
        </is>
      </c>
      <c r="D40" t="inlineStr">
        <is>
          <t>Kerala</t>
        </is>
      </c>
      <c r="E40" t="inlineStr">
        <is>
          <t>Furniture</t>
        </is>
      </c>
      <c r="F40" t="inlineStr">
        <is>
          <t>Amit Saxena</t>
        </is>
      </c>
      <c r="G40" t="n">
        <v>3</v>
      </c>
      <c r="H40" s="9" t="n">
        <v>76760</v>
      </c>
    </row>
    <row r="41">
      <c r="A41" t="inlineStr">
        <is>
          <t>INV-26070040</t>
        </is>
      </c>
      <c r="B41" s="5" t="n">
        <v>46231</v>
      </c>
      <c r="C41" t="inlineStr">
        <is>
          <t>East</t>
        </is>
      </c>
      <c r="D41" t="inlineStr">
        <is>
          <t>Odisha</t>
        </is>
      </c>
      <c r="E41" t="inlineStr">
        <is>
          <t>Home appliances</t>
        </is>
      </c>
      <c r="F41" t="inlineStr">
        <is>
          <t>Divya Bhat</t>
        </is>
      </c>
      <c r="G41" t="n">
        <v>7</v>
      </c>
      <c r="H41" s="9" t="n">
        <v>423820</v>
      </c>
    </row>
    <row r="42">
      <c r="A42" t="inlineStr">
        <is>
          <t>INV-26070041</t>
        </is>
      </c>
      <c r="B42" s="5" t="n">
        <v>46231</v>
      </c>
      <c r="C42" t="inlineStr">
        <is>
          <t>South</t>
        </is>
      </c>
      <c r="D42" t="inlineStr">
        <is>
          <t>Telangana</t>
        </is>
      </c>
      <c r="E42" t="inlineStr">
        <is>
          <t>Lighting</t>
        </is>
      </c>
      <c r="F42" t="inlineStr">
        <is>
          <t>Eshan Gill</t>
        </is>
      </c>
      <c r="G42" t="n">
        <v>1</v>
      </c>
      <c r="H42" s="9" t="n">
        <v>6350</v>
      </c>
    </row>
    <row r="43">
      <c r="A43" t="inlineStr">
        <is>
          <t>INV-26070042</t>
        </is>
      </c>
      <c r="B43" s="5" t="n">
        <v>46232</v>
      </c>
      <c r="C43" t="inlineStr">
        <is>
          <t>North</t>
        </is>
      </c>
      <c r="D43" t="inlineStr">
        <is>
          <t>Uttar Pradesh</t>
        </is>
      </c>
      <c r="E43" t="inlineStr">
        <is>
          <t>Home appliances</t>
        </is>
      </c>
      <c r="F43" t="inlineStr">
        <is>
          <t>Chetan Pillai</t>
        </is>
      </c>
      <c r="G43" t="n">
        <v>6</v>
      </c>
      <c r="H43" s="9" t="n">
        <v>376900</v>
      </c>
    </row>
    <row r="44">
      <c r="A44" t="inlineStr">
        <is>
          <t>INV-26070043</t>
        </is>
      </c>
      <c r="B44" s="5" t="n">
        <v>46233</v>
      </c>
      <c r="C44" t="inlineStr">
        <is>
          <t>North</t>
        </is>
      </c>
      <c r="D44" t="inlineStr">
        <is>
          <t>Delhi</t>
        </is>
      </c>
      <c r="E44" t="inlineStr">
        <is>
          <t>Furniture</t>
        </is>
      </c>
      <c r="F44" t="inlineStr">
        <is>
          <t>Amit Saxena</t>
        </is>
      </c>
      <c r="G44" t="n">
        <v>5</v>
      </c>
      <c r="H44" s="9" t="n">
        <v>136540</v>
      </c>
    </row>
    <row r="45">
      <c r="A45" t="inlineStr">
        <is>
          <t>INV-26070044</t>
        </is>
      </c>
      <c r="B45" s="5" t="n">
        <v>46233</v>
      </c>
      <c r="C45" t="inlineStr">
        <is>
          <t>West</t>
        </is>
      </c>
      <c r="D45" t="inlineStr">
        <is>
          <t>Gujarat</t>
        </is>
      </c>
      <c r="E45" t="inlineStr">
        <is>
          <t>Furniture</t>
        </is>
      </c>
      <c r="F45" t="inlineStr">
        <is>
          <t>Bhavna Rao</t>
        </is>
      </c>
      <c r="G45" t="n">
        <v>6</v>
      </c>
      <c r="H45" s="9" t="n">
        <v>196780</v>
      </c>
    </row>
    <row r="46">
      <c r="A46" t="inlineStr">
        <is>
          <t>INV-26070045</t>
        </is>
      </c>
      <c r="B46" s="5" t="n">
        <v>46234</v>
      </c>
      <c r="C46" t="inlineStr">
        <is>
          <t>West</t>
        </is>
      </c>
      <c r="D46" t="inlineStr">
        <is>
          <t>Rajasthan</t>
        </is>
      </c>
      <c r="E46" t="inlineStr">
        <is>
          <t>Lighting</t>
        </is>
      </c>
      <c r="F46" t="inlineStr">
        <is>
          <t>Chetan Pillai</t>
        </is>
      </c>
      <c r="G46" t="n">
        <v>4</v>
      </c>
      <c r="H46" s="9" t="n">
        <v>32580</v>
      </c>
    </row>
    <row r="47">
      <c r="A47" t="inlineStr">
        <is>
          <t>INV-26070046</t>
        </is>
      </c>
      <c r="B47" s="5" t="n">
        <v>46235</v>
      </c>
      <c r="C47" t="inlineStr">
        <is>
          <t>West</t>
        </is>
      </c>
      <c r="D47" t="inlineStr">
        <is>
          <t>Maharashtra</t>
        </is>
      </c>
      <c r="E47" t="inlineStr">
        <is>
          <t>Furniture</t>
        </is>
      </c>
      <c r="F47" t="inlineStr">
        <is>
          <t>Eshan Gill</t>
        </is>
      </c>
      <c r="G47" t="n">
        <v>1</v>
      </c>
      <c r="H47" s="9" t="n">
        <v>26920</v>
      </c>
    </row>
    <row r="48">
      <c r="A48" t="inlineStr">
        <is>
          <t>INV-26070047</t>
        </is>
      </c>
      <c r="B48" s="5" t="n">
        <v>46236</v>
      </c>
      <c r="C48" t="inlineStr">
        <is>
          <t>West</t>
        </is>
      </c>
      <c r="D48" t="inlineStr">
        <is>
          <t>Rajasthan</t>
        </is>
      </c>
      <c r="E48" t="inlineStr">
        <is>
          <t>Furniture</t>
        </is>
      </c>
      <c r="F48" t="inlineStr">
        <is>
          <t>Chetan Pillai</t>
        </is>
      </c>
      <c r="G48" t="n">
        <v>3</v>
      </c>
      <c r="H48" s="9" t="n">
        <v>51060</v>
      </c>
    </row>
    <row r="49">
      <c r="A49" t="inlineStr">
        <is>
          <t>INV-26070048</t>
        </is>
      </c>
      <c r="B49" s="5" t="n">
        <v>46237</v>
      </c>
      <c r="C49" t="inlineStr">
        <is>
          <t>West</t>
        </is>
      </c>
      <c r="D49" t="inlineStr">
        <is>
          <t>Rajasthan</t>
        </is>
      </c>
      <c r="E49" t="inlineStr">
        <is>
          <t>Furniture</t>
        </is>
      </c>
      <c r="F49" t="inlineStr">
        <is>
          <t>Chetan Pillai</t>
        </is>
      </c>
      <c r="G49" t="n">
        <v>8</v>
      </c>
      <c r="H49" s="9" t="n">
        <v>314970</v>
      </c>
    </row>
    <row r="50">
      <c r="A50" t="inlineStr">
        <is>
          <t>INV-26070049</t>
        </is>
      </c>
      <c r="B50" s="5" t="n">
        <v>46238</v>
      </c>
      <c r="C50" t="inlineStr">
        <is>
          <t>West</t>
        </is>
      </c>
      <c r="D50" t="inlineStr">
        <is>
          <t>Gujarat</t>
        </is>
      </c>
      <c r="E50" t="inlineStr">
        <is>
          <t>Home appliances</t>
        </is>
      </c>
      <c r="F50" t="inlineStr">
        <is>
          <t>Chetan Pillai</t>
        </is>
      </c>
      <c r="G50" t="n">
        <v>5</v>
      </c>
      <c r="H50" s="9" t="n">
        <v>211710</v>
      </c>
    </row>
    <row r="51">
      <c r="A51" t="inlineStr">
        <is>
          <t>INV-26070050</t>
        </is>
      </c>
      <c r="B51" s="5" t="n">
        <v>46238</v>
      </c>
      <c r="C51" t="inlineStr">
        <is>
          <t>South</t>
        </is>
      </c>
      <c r="D51" t="inlineStr">
        <is>
          <t>Karnataka</t>
        </is>
      </c>
      <c r="E51" t="inlineStr">
        <is>
          <t>Furniture</t>
        </is>
      </c>
      <c r="F51" t="inlineStr">
        <is>
          <t>Eshan Gill</t>
        </is>
      </c>
      <c r="G51" t="n">
        <v>3</v>
      </c>
      <c r="H51" s="9" t="n">
        <v>143710</v>
      </c>
    </row>
    <row r="52">
      <c r="A52" t="inlineStr">
        <is>
          <t>INV-26070051</t>
        </is>
      </c>
      <c r="B52" s="5" t="n">
        <v>46238</v>
      </c>
      <c r="C52" t="inlineStr">
        <is>
          <t>East</t>
        </is>
      </c>
      <c r="D52" t="inlineStr">
        <is>
          <t>Odisha</t>
        </is>
      </c>
      <c r="E52" t="inlineStr">
        <is>
          <t>Lighting</t>
        </is>
      </c>
      <c r="F52" t="inlineStr">
        <is>
          <t>Bhavna Rao</t>
        </is>
      </c>
      <c r="G52" t="n">
        <v>3</v>
      </c>
      <c r="H52" s="9" t="n">
        <v>21940</v>
      </c>
    </row>
    <row r="53">
      <c r="A53" t="inlineStr">
        <is>
          <t>INV-26070052</t>
        </is>
      </c>
      <c r="B53" s="5" t="n">
        <v>46240</v>
      </c>
      <c r="C53" t="inlineStr">
        <is>
          <t>West</t>
        </is>
      </c>
      <c r="D53" t="inlineStr">
        <is>
          <t>Rajasthan</t>
        </is>
      </c>
      <c r="E53" t="inlineStr">
        <is>
          <t>Lighting</t>
        </is>
      </c>
      <c r="F53" t="inlineStr">
        <is>
          <t>Chetan Pillai</t>
        </is>
      </c>
      <c r="G53" t="n">
        <v>5</v>
      </c>
      <c r="H53" s="9" t="n">
        <v>32890</v>
      </c>
    </row>
    <row r="54">
      <c r="A54" t="inlineStr">
        <is>
          <t>INV-26070053</t>
        </is>
      </c>
      <c r="B54" s="5" t="n">
        <v>46240</v>
      </c>
      <c r="C54" t="inlineStr">
        <is>
          <t>North</t>
        </is>
      </c>
      <c r="D54" t="inlineStr">
        <is>
          <t>Uttar Pradesh</t>
        </is>
      </c>
      <c r="E54" t="inlineStr">
        <is>
          <t>Kitchenware</t>
        </is>
      </c>
      <c r="F54" t="inlineStr">
        <is>
          <t>Eshan Gill</t>
        </is>
      </c>
      <c r="G54" t="n">
        <v>2</v>
      </c>
      <c r="H54" s="9" t="n">
        <v>18210</v>
      </c>
    </row>
    <row r="55">
      <c r="A55" t="inlineStr">
        <is>
          <t>INV-26070054</t>
        </is>
      </c>
      <c r="B55" s="5" t="n">
        <v>46240</v>
      </c>
      <c r="C55" t="inlineStr">
        <is>
          <t>East</t>
        </is>
      </c>
      <c r="D55" t="inlineStr">
        <is>
          <t>West Bengal</t>
        </is>
      </c>
      <c r="E55" t="inlineStr">
        <is>
          <t>Lighting</t>
        </is>
      </c>
      <c r="F55" t="inlineStr">
        <is>
          <t>Chetan Pillai</t>
        </is>
      </c>
      <c r="G55" t="n">
        <v>1</v>
      </c>
      <c r="H55" s="9" t="n">
        <v>6860</v>
      </c>
    </row>
    <row r="56">
      <c r="A56" t="inlineStr">
        <is>
          <t>INV-26070055</t>
        </is>
      </c>
      <c r="B56" s="5" t="n">
        <v>46240</v>
      </c>
      <c r="C56" t="inlineStr">
        <is>
          <t>East</t>
        </is>
      </c>
      <c r="D56" t="inlineStr">
        <is>
          <t>Bihar</t>
        </is>
      </c>
      <c r="E56" t="inlineStr">
        <is>
          <t>Lighting</t>
        </is>
      </c>
      <c r="F56" t="inlineStr">
        <is>
          <t>Chetan Pillai</t>
        </is>
      </c>
      <c r="G56" t="n">
        <v>1</v>
      </c>
      <c r="H56" s="9" t="n">
        <v>8840</v>
      </c>
    </row>
    <row r="57">
      <c r="A57" t="inlineStr">
        <is>
          <t>INV-26070056</t>
        </is>
      </c>
      <c r="B57" s="5" t="n">
        <v>46241</v>
      </c>
      <c r="C57" t="inlineStr">
        <is>
          <t>North</t>
        </is>
      </c>
      <c r="D57" t="inlineStr">
        <is>
          <t>Uttar Pradesh</t>
        </is>
      </c>
      <c r="E57" t="inlineStr">
        <is>
          <t>Furniture</t>
        </is>
      </c>
      <c r="F57" t="inlineStr">
        <is>
          <t>Eshan Gill</t>
        </is>
      </c>
      <c r="G57" t="n">
        <v>8</v>
      </c>
      <c r="H57" s="9" t="n">
        <v>253440</v>
      </c>
    </row>
    <row r="58">
      <c r="A58" t="inlineStr">
        <is>
          <t>INV-26070057</t>
        </is>
      </c>
      <c r="B58" s="5" t="n">
        <v>46241</v>
      </c>
      <c r="C58" t="inlineStr">
        <is>
          <t>West</t>
        </is>
      </c>
      <c r="D58" t="inlineStr">
        <is>
          <t>Rajasthan</t>
        </is>
      </c>
      <c r="E58" t="inlineStr">
        <is>
          <t>Kitchenware</t>
        </is>
      </c>
      <c r="F58" t="inlineStr">
        <is>
          <t>Amit Saxena</t>
        </is>
      </c>
      <c r="G58" t="n">
        <v>7</v>
      </c>
      <c r="H58" s="9" t="n">
        <v>61560</v>
      </c>
    </row>
    <row r="59">
      <c r="A59" t="inlineStr">
        <is>
          <t>INV-26070058</t>
        </is>
      </c>
      <c r="B59" s="5" t="n">
        <v>46241</v>
      </c>
      <c r="C59" t="inlineStr">
        <is>
          <t>West</t>
        </is>
      </c>
      <c r="D59" t="inlineStr">
        <is>
          <t>Rajasthan</t>
        </is>
      </c>
      <c r="E59" t="inlineStr">
        <is>
          <t>Furniture</t>
        </is>
      </c>
      <c r="F59" t="inlineStr">
        <is>
          <t>Bhavna Rao</t>
        </is>
      </c>
      <c r="G59" t="n">
        <v>7</v>
      </c>
      <c r="H59" s="9" t="n">
        <v>250730</v>
      </c>
    </row>
    <row r="60">
      <c r="A60" t="inlineStr">
        <is>
          <t>INV-26070059</t>
        </is>
      </c>
      <c r="B60" s="5" t="n">
        <v>46242</v>
      </c>
      <c r="C60" t="inlineStr">
        <is>
          <t>South</t>
        </is>
      </c>
      <c r="D60" t="inlineStr">
        <is>
          <t>Telangana</t>
        </is>
      </c>
      <c r="E60" t="inlineStr">
        <is>
          <t>Lighting</t>
        </is>
      </c>
      <c r="F60" t="inlineStr">
        <is>
          <t>Amit Saxena</t>
        </is>
      </c>
      <c r="G60" t="n">
        <v>1</v>
      </c>
      <c r="H60" s="9" t="n">
        <v>7050</v>
      </c>
    </row>
    <row r="61">
      <c r="A61" t="inlineStr">
        <is>
          <t>INV-26070060</t>
        </is>
      </c>
      <c r="B61" s="5" t="n">
        <v>46242</v>
      </c>
      <c r="C61" t="inlineStr">
        <is>
          <t>West</t>
        </is>
      </c>
      <c r="D61" t="inlineStr">
        <is>
          <t>Rajasthan</t>
        </is>
      </c>
      <c r="E61" t="inlineStr">
        <is>
          <t>Lighting</t>
        </is>
      </c>
      <c r="F61" t="inlineStr">
        <is>
          <t>Bhavna Rao</t>
        </is>
      </c>
      <c r="G61" t="n">
        <v>1</v>
      </c>
      <c r="H61" s="9" t="n">
        <v>8520</v>
      </c>
    </row>
    <row r="62">
      <c r="A62" t="inlineStr">
        <is>
          <t>INV-26070061</t>
        </is>
      </c>
      <c r="B62" s="5" t="n">
        <v>46243</v>
      </c>
      <c r="C62" t="inlineStr">
        <is>
          <t>North</t>
        </is>
      </c>
      <c r="D62" t="inlineStr">
        <is>
          <t>Delhi</t>
        </is>
      </c>
      <c r="E62" t="inlineStr">
        <is>
          <t>Lighting</t>
        </is>
      </c>
      <c r="F62" t="inlineStr">
        <is>
          <t>Fatima Sheikh</t>
        </is>
      </c>
      <c r="G62" t="n">
        <v>5</v>
      </c>
      <c r="H62" s="9" t="n">
        <v>15610</v>
      </c>
    </row>
    <row r="63">
      <c r="A63" t="inlineStr">
        <is>
          <t>INV-26070062</t>
        </is>
      </c>
      <c r="B63" s="5" t="n">
        <v>46243</v>
      </c>
      <c r="C63" t="inlineStr">
        <is>
          <t>South</t>
        </is>
      </c>
      <c r="D63" t="inlineStr">
        <is>
          <t>Kerala</t>
        </is>
      </c>
      <c r="E63" t="inlineStr">
        <is>
          <t>Furniture</t>
        </is>
      </c>
      <c r="F63" t="inlineStr">
        <is>
          <t>Bhavna Rao</t>
        </is>
      </c>
      <c r="G63" t="n">
        <v>2</v>
      </c>
      <c r="H63" s="9" t="n">
        <v>48310</v>
      </c>
    </row>
    <row r="64">
      <c r="A64" t="inlineStr">
        <is>
          <t>INV-26070063</t>
        </is>
      </c>
      <c r="B64" s="5" t="n">
        <v>46244</v>
      </c>
      <c r="C64" t="inlineStr">
        <is>
          <t>South</t>
        </is>
      </c>
      <c r="D64" t="inlineStr">
        <is>
          <t>Karnataka</t>
        </is>
      </c>
      <c r="E64" t="inlineStr">
        <is>
          <t>Home appliances</t>
        </is>
      </c>
      <c r="F64" t="inlineStr">
        <is>
          <t>Divya Bhat</t>
        </is>
      </c>
      <c r="G64" t="n">
        <v>1</v>
      </c>
      <c r="H64" s="9" t="n">
        <v>43520</v>
      </c>
    </row>
    <row r="65">
      <c r="A65" t="inlineStr">
        <is>
          <t>INV-26070064</t>
        </is>
      </c>
      <c r="B65" s="5" t="n">
        <v>46245</v>
      </c>
      <c r="C65" t="inlineStr">
        <is>
          <t>South</t>
        </is>
      </c>
      <c r="D65" t="inlineStr">
        <is>
          <t>Tamil Nadu</t>
        </is>
      </c>
      <c r="E65" t="inlineStr">
        <is>
          <t>Furniture</t>
        </is>
      </c>
      <c r="F65" t="inlineStr">
        <is>
          <t>Amit Saxena</t>
        </is>
      </c>
      <c r="G65" t="n">
        <v>1</v>
      </c>
      <c r="H65" s="9" t="n">
        <v>35920</v>
      </c>
    </row>
    <row r="66">
      <c r="A66" t="inlineStr">
        <is>
          <t>INV-26070065</t>
        </is>
      </c>
      <c r="B66" s="5" t="n">
        <v>46245</v>
      </c>
      <c r="C66" t="inlineStr">
        <is>
          <t>West</t>
        </is>
      </c>
      <c r="D66" t="inlineStr">
        <is>
          <t>Gujarat</t>
        </is>
      </c>
      <c r="E66" t="inlineStr">
        <is>
          <t>Kitchenware</t>
        </is>
      </c>
      <c r="F66" t="inlineStr">
        <is>
          <t>Fatima Sheikh</t>
        </is>
      </c>
      <c r="G66" t="n">
        <v>1</v>
      </c>
      <c r="H66" s="9" t="n">
        <v>9150</v>
      </c>
    </row>
    <row r="67">
      <c r="A67" t="inlineStr">
        <is>
          <t>INV-26070066</t>
        </is>
      </c>
      <c r="B67" s="5" t="n">
        <v>46245</v>
      </c>
      <c r="C67" t="inlineStr">
        <is>
          <t>North</t>
        </is>
      </c>
      <c r="D67" t="inlineStr">
        <is>
          <t>Punjab</t>
        </is>
      </c>
      <c r="E67" t="inlineStr">
        <is>
          <t>Lighting</t>
        </is>
      </c>
      <c r="F67" t="inlineStr">
        <is>
          <t>Chetan Pillai</t>
        </is>
      </c>
      <c r="G67" t="n">
        <v>3</v>
      </c>
      <c r="H67" s="9" t="n">
        <v>25460</v>
      </c>
    </row>
    <row r="68">
      <c r="A68" t="inlineStr">
        <is>
          <t>INV-26070067</t>
        </is>
      </c>
      <c r="B68" s="5" t="n">
        <v>46245</v>
      </c>
      <c r="C68" t="inlineStr">
        <is>
          <t>South</t>
        </is>
      </c>
      <c r="D68" t="inlineStr">
        <is>
          <t>Kerala</t>
        </is>
      </c>
      <c r="E68" t="inlineStr">
        <is>
          <t>Lighting</t>
        </is>
      </c>
      <c r="F68" t="inlineStr">
        <is>
          <t>Chetan Pillai</t>
        </is>
      </c>
      <c r="G68" t="n">
        <v>5</v>
      </c>
      <c r="H68" s="9" t="n">
        <v>28330</v>
      </c>
    </row>
    <row r="69">
      <c r="A69" t="inlineStr">
        <is>
          <t>INV-26070068</t>
        </is>
      </c>
      <c r="B69" s="5" t="n">
        <v>46246</v>
      </c>
      <c r="C69" t="inlineStr">
        <is>
          <t>South</t>
        </is>
      </c>
      <c r="D69" t="inlineStr">
        <is>
          <t>Karnataka</t>
        </is>
      </c>
      <c r="E69" t="inlineStr">
        <is>
          <t>Home appliances</t>
        </is>
      </c>
      <c r="F69" t="inlineStr">
        <is>
          <t>Eshan Gill</t>
        </is>
      </c>
      <c r="G69" t="n">
        <v>4</v>
      </c>
      <c r="H69" s="9" t="n">
        <v>148710</v>
      </c>
    </row>
    <row r="70">
      <c r="A70" t="inlineStr">
        <is>
          <t>INV-26070069</t>
        </is>
      </c>
      <c r="B70" s="5" t="n">
        <v>46246</v>
      </c>
      <c r="C70" t="inlineStr">
        <is>
          <t>South</t>
        </is>
      </c>
      <c r="D70" t="inlineStr">
        <is>
          <t>Telangana</t>
        </is>
      </c>
      <c r="E70" t="inlineStr">
        <is>
          <t>Furniture</t>
        </is>
      </c>
      <c r="F70" t="inlineStr">
        <is>
          <t>Chetan Pillai</t>
        </is>
      </c>
      <c r="G70" t="n">
        <v>8</v>
      </c>
      <c r="H70" s="9" t="n">
        <v>201320</v>
      </c>
    </row>
    <row r="71">
      <c r="A71" t="inlineStr">
        <is>
          <t>INV-26070070</t>
        </is>
      </c>
      <c r="B71" s="5" t="n">
        <v>46246</v>
      </c>
      <c r="C71" t="inlineStr">
        <is>
          <t>West</t>
        </is>
      </c>
      <c r="D71" t="inlineStr">
        <is>
          <t>Gujarat</t>
        </is>
      </c>
      <c r="E71" t="inlineStr">
        <is>
          <t>Furniture</t>
        </is>
      </c>
      <c r="F71" t="inlineStr">
        <is>
          <t>Divya Bhat</t>
        </is>
      </c>
      <c r="G71" t="n">
        <v>5</v>
      </c>
      <c r="H71" s="9" t="n">
        <v>136280</v>
      </c>
    </row>
    <row r="72">
      <c r="A72" t="inlineStr">
        <is>
          <t>INV-26070071</t>
        </is>
      </c>
      <c r="B72" s="5" t="n">
        <v>46246</v>
      </c>
      <c r="C72" t="inlineStr">
        <is>
          <t>West</t>
        </is>
      </c>
      <c r="D72" t="inlineStr">
        <is>
          <t>Maharashtra</t>
        </is>
      </c>
      <c r="E72" t="inlineStr">
        <is>
          <t>Kitchenware</t>
        </is>
      </c>
      <c r="F72" t="inlineStr">
        <is>
          <t>Eshan Gill</t>
        </is>
      </c>
      <c r="G72" t="n">
        <v>6</v>
      </c>
      <c r="H72" s="9" t="n">
        <v>30540</v>
      </c>
    </row>
    <row r="73">
      <c r="A73" t="inlineStr">
        <is>
          <t>INV-26070072</t>
        </is>
      </c>
      <c r="B73" s="5" t="n">
        <v>46247</v>
      </c>
      <c r="C73" t="inlineStr">
        <is>
          <t>North</t>
        </is>
      </c>
      <c r="D73" t="inlineStr">
        <is>
          <t>Delhi</t>
        </is>
      </c>
      <c r="E73" t="inlineStr">
        <is>
          <t>Kitchenware</t>
        </is>
      </c>
      <c r="F73" t="inlineStr">
        <is>
          <t>Chetan Pillai</t>
        </is>
      </c>
      <c r="G73" t="n">
        <v>4</v>
      </c>
      <c r="H73" s="9" t="n">
        <v>27280</v>
      </c>
    </row>
    <row r="74">
      <c r="A74" t="inlineStr">
        <is>
          <t>INV-26070073</t>
        </is>
      </c>
      <c r="B74" s="5" t="n">
        <v>46248</v>
      </c>
      <c r="C74" t="inlineStr">
        <is>
          <t>North</t>
        </is>
      </c>
      <c r="D74" t="inlineStr">
        <is>
          <t>Haryana</t>
        </is>
      </c>
      <c r="E74" t="inlineStr">
        <is>
          <t>Kitchenware</t>
        </is>
      </c>
      <c r="F74" t="inlineStr">
        <is>
          <t>Chetan Pillai</t>
        </is>
      </c>
      <c r="G74" t="n">
        <v>3</v>
      </c>
      <c r="H74" s="9" t="n">
        <v>35800</v>
      </c>
    </row>
    <row r="75">
      <c r="A75" t="inlineStr">
        <is>
          <t>INV-26070074</t>
        </is>
      </c>
      <c r="B75" s="5" t="n">
        <v>46249</v>
      </c>
      <c r="C75" t="inlineStr">
        <is>
          <t>North</t>
        </is>
      </c>
      <c r="D75" t="inlineStr">
        <is>
          <t>Uttar Pradesh</t>
        </is>
      </c>
      <c r="E75" t="inlineStr">
        <is>
          <t>Lighting</t>
        </is>
      </c>
      <c r="F75" t="inlineStr">
        <is>
          <t>Eshan Gill</t>
        </is>
      </c>
      <c r="G75" t="n">
        <v>6</v>
      </c>
      <c r="H75" s="9" t="n">
        <v>30500</v>
      </c>
    </row>
    <row r="76">
      <c r="A76" t="inlineStr">
        <is>
          <t>INV-26070075</t>
        </is>
      </c>
      <c r="B76" s="5" t="n">
        <v>46249</v>
      </c>
      <c r="C76" t="inlineStr">
        <is>
          <t>North</t>
        </is>
      </c>
      <c r="D76" t="inlineStr">
        <is>
          <t>Haryana</t>
        </is>
      </c>
      <c r="E76" t="inlineStr">
        <is>
          <t>Home appliances</t>
        </is>
      </c>
      <c r="F76" t="inlineStr">
        <is>
          <t>Eshan Gill</t>
        </is>
      </c>
      <c r="G76" t="n">
        <v>7</v>
      </c>
      <c r="H76" s="9" t="n">
        <v>239170</v>
      </c>
    </row>
    <row r="77">
      <c r="A77" t="inlineStr">
        <is>
          <t>INV-26070076</t>
        </is>
      </c>
      <c r="B77" s="5" t="n">
        <v>46249</v>
      </c>
      <c r="C77" t="inlineStr">
        <is>
          <t>South</t>
        </is>
      </c>
      <c r="D77" t="inlineStr">
        <is>
          <t>Kerala</t>
        </is>
      </c>
      <c r="E77" t="inlineStr">
        <is>
          <t>Furniture</t>
        </is>
      </c>
      <c r="F77" t="inlineStr">
        <is>
          <t>Bhavna Rao</t>
        </is>
      </c>
      <c r="G77" t="n">
        <v>2</v>
      </c>
      <c r="H77" s="9" t="n">
        <v>52770</v>
      </c>
    </row>
    <row r="78">
      <c r="A78" t="inlineStr">
        <is>
          <t>INV-26070077</t>
        </is>
      </c>
      <c r="B78" s="5" t="n">
        <v>46249</v>
      </c>
      <c r="C78" t="inlineStr">
        <is>
          <t>West</t>
        </is>
      </c>
      <c r="D78" t="inlineStr">
        <is>
          <t>Gujarat</t>
        </is>
      </c>
      <c r="E78" t="inlineStr">
        <is>
          <t>Home appliances</t>
        </is>
      </c>
      <c r="F78" t="inlineStr">
        <is>
          <t>Fatima Sheikh</t>
        </is>
      </c>
      <c r="G78" t="n">
        <v>8</v>
      </c>
      <c r="H78" s="9" t="n">
        <v>251270</v>
      </c>
    </row>
    <row r="79">
      <c r="A79" t="inlineStr">
        <is>
          <t>INV-26070078</t>
        </is>
      </c>
      <c r="B79" s="5" t="n">
        <v>46250</v>
      </c>
      <c r="C79" t="inlineStr">
        <is>
          <t>East</t>
        </is>
      </c>
      <c r="D79" t="inlineStr">
        <is>
          <t>West Bengal</t>
        </is>
      </c>
      <c r="E79" t="inlineStr">
        <is>
          <t>Home appliances</t>
        </is>
      </c>
      <c r="F79" t="inlineStr">
        <is>
          <t>Divya Bhat</t>
        </is>
      </c>
      <c r="G79" t="n">
        <v>8</v>
      </c>
      <c r="H79" s="9" t="n">
        <v>516810</v>
      </c>
    </row>
    <row r="80">
      <c r="A80" t="inlineStr">
        <is>
          <t>INV-26070079</t>
        </is>
      </c>
      <c r="B80" s="5" t="n">
        <v>46251</v>
      </c>
      <c r="C80" t="inlineStr">
        <is>
          <t>East</t>
        </is>
      </c>
      <c r="D80" t="inlineStr">
        <is>
          <t>West Bengal</t>
        </is>
      </c>
      <c r="E80" t="inlineStr">
        <is>
          <t>Furniture</t>
        </is>
      </c>
      <c r="F80" t="inlineStr">
        <is>
          <t>Divya Bhat</t>
        </is>
      </c>
      <c r="G80" t="n">
        <v>4</v>
      </c>
      <c r="H80" s="9" t="n">
        <v>105470</v>
      </c>
    </row>
    <row r="81">
      <c r="A81" t="inlineStr">
        <is>
          <t>INV-26070080</t>
        </is>
      </c>
      <c r="B81" s="5" t="n">
        <v>46251</v>
      </c>
      <c r="C81" t="inlineStr">
        <is>
          <t>West</t>
        </is>
      </c>
      <c r="D81" t="inlineStr">
        <is>
          <t>Gujarat</t>
        </is>
      </c>
      <c r="E81" t="inlineStr">
        <is>
          <t>Kitchenware</t>
        </is>
      </c>
      <c r="F81" t="inlineStr">
        <is>
          <t>Eshan Gill</t>
        </is>
      </c>
      <c r="G81" t="n">
        <v>2</v>
      </c>
      <c r="H81" s="9" t="n">
        <v>6470</v>
      </c>
    </row>
    <row r="82">
      <c r="A82" t="inlineStr">
        <is>
          <t>INV-26070081</t>
        </is>
      </c>
      <c r="B82" s="5" t="n">
        <v>46251</v>
      </c>
      <c r="C82" t="inlineStr">
        <is>
          <t>West</t>
        </is>
      </c>
      <c r="D82" t="inlineStr">
        <is>
          <t>Gujarat</t>
        </is>
      </c>
      <c r="E82" t="inlineStr">
        <is>
          <t>Lighting</t>
        </is>
      </c>
      <c r="F82" t="inlineStr">
        <is>
          <t>Bhavna Rao</t>
        </is>
      </c>
      <c r="G82" t="n">
        <v>2</v>
      </c>
      <c r="H82" s="9" t="n">
        <v>15930</v>
      </c>
    </row>
    <row r="83">
      <c r="A83" t="inlineStr">
        <is>
          <t>INV-26070082</t>
        </is>
      </c>
      <c r="B83" s="5" t="n">
        <v>46252</v>
      </c>
      <c r="C83" t="inlineStr">
        <is>
          <t>West</t>
        </is>
      </c>
      <c r="D83" t="inlineStr">
        <is>
          <t>Gujarat</t>
        </is>
      </c>
      <c r="E83" t="inlineStr">
        <is>
          <t>Home appliances</t>
        </is>
      </c>
      <c r="F83" t="inlineStr">
        <is>
          <t>Amit Saxena</t>
        </is>
      </c>
      <c r="G83" t="n">
        <v>5</v>
      </c>
      <c r="H83" s="9" t="n">
        <v>184500</v>
      </c>
    </row>
    <row r="84">
      <c r="A84" t="inlineStr">
        <is>
          <t>INV-26070083</t>
        </is>
      </c>
      <c r="B84" s="5" t="n">
        <v>46252</v>
      </c>
      <c r="C84" t="inlineStr">
        <is>
          <t>West</t>
        </is>
      </c>
      <c r="D84" t="inlineStr">
        <is>
          <t>Rajasthan</t>
        </is>
      </c>
      <c r="E84" t="inlineStr">
        <is>
          <t>Furniture</t>
        </is>
      </c>
      <c r="F84" t="inlineStr">
        <is>
          <t>Chetan Pillai</t>
        </is>
      </c>
      <c r="G84" t="n">
        <v>2</v>
      </c>
      <c r="H84" s="9" t="n">
        <v>51510</v>
      </c>
    </row>
    <row r="85">
      <c r="A85" t="inlineStr">
        <is>
          <t>INV-26070084</t>
        </is>
      </c>
      <c r="B85" s="5" t="n">
        <v>46254</v>
      </c>
      <c r="C85" t="inlineStr">
        <is>
          <t>West</t>
        </is>
      </c>
      <c r="D85" t="inlineStr">
        <is>
          <t>Rajasthan</t>
        </is>
      </c>
      <c r="E85" t="inlineStr">
        <is>
          <t>Lighting</t>
        </is>
      </c>
      <c r="F85" t="inlineStr">
        <is>
          <t>Divya Bhat</t>
        </is>
      </c>
      <c r="G85" t="n">
        <v>6</v>
      </c>
      <c r="H85" s="9" t="n">
        <v>45650</v>
      </c>
    </row>
    <row r="86">
      <c r="A86" t="inlineStr">
        <is>
          <t>INV-26070085</t>
        </is>
      </c>
      <c r="B86" s="5" t="n">
        <v>46255</v>
      </c>
      <c r="C86" t="inlineStr">
        <is>
          <t>North</t>
        </is>
      </c>
      <c r="D86" t="inlineStr">
        <is>
          <t>Punjab</t>
        </is>
      </c>
      <c r="E86" t="inlineStr">
        <is>
          <t>Kitchenware</t>
        </is>
      </c>
      <c r="F86" t="inlineStr">
        <is>
          <t>Eshan Gill</t>
        </is>
      </c>
      <c r="G86" t="n">
        <v>8</v>
      </c>
      <c r="H86" s="9" t="n">
        <v>70690</v>
      </c>
    </row>
    <row r="87">
      <c r="A87" t="inlineStr">
        <is>
          <t>INV-26070086</t>
        </is>
      </c>
      <c r="B87" s="5" t="n">
        <v>46256</v>
      </c>
      <c r="C87" t="inlineStr">
        <is>
          <t>East</t>
        </is>
      </c>
      <c r="D87" t="inlineStr">
        <is>
          <t>Odisha</t>
        </is>
      </c>
      <c r="E87" t="inlineStr">
        <is>
          <t>Lighting</t>
        </is>
      </c>
      <c r="F87" t="inlineStr">
        <is>
          <t>Bhavna Rao</t>
        </is>
      </c>
      <c r="G87" t="n">
        <v>6</v>
      </c>
      <c r="H87" s="9" t="n">
        <v>37810</v>
      </c>
    </row>
    <row r="88">
      <c r="A88" t="inlineStr">
        <is>
          <t>INV-26070087</t>
        </is>
      </c>
      <c r="B88" s="5" t="n">
        <v>46256</v>
      </c>
      <c r="C88" t="inlineStr">
        <is>
          <t>West</t>
        </is>
      </c>
      <c r="D88" t="inlineStr">
        <is>
          <t>Rajasthan</t>
        </is>
      </c>
      <c r="E88" t="inlineStr">
        <is>
          <t>Home appliances</t>
        </is>
      </c>
      <c r="F88" t="inlineStr">
        <is>
          <t>Bhavna Rao</t>
        </is>
      </c>
      <c r="G88" t="n">
        <v>2</v>
      </c>
      <c r="H88" s="9" t="n">
        <v>43700</v>
      </c>
    </row>
    <row r="89">
      <c r="A89" t="inlineStr">
        <is>
          <t>INV-26070088</t>
        </is>
      </c>
      <c r="B89" s="5" t="n">
        <v>46256</v>
      </c>
      <c r="C89" t="inlineStr">
        <is>
          <t>South</t>
        </is>
      </c>
      <c r="D89" t="inlineStr">
        <is>
          <t>Kerala</t>
        </is>
      </c>
      <c r="E89" t="inlineStr">
        <is>
          <t>Furniture</t>
        </is>
      </c>
      <c r="F89" t="inlineStr">
        <is>
          <t>Amit Saxena</t>
        </is>
      </c>
      <c r="G89" t="n">
        <v>6</v>
      </c>
      <c r="H89" s="9" t="n">
        <v>205840</v>
      </c>
    </row>
    <row r="90">
      <c r="A90" t="inlineStr">
        <is>
          <t>INV-26070089</t>
        </is>
      </c>
      <c r="B90" s="5" t="n">
        <v>46257</v>
      </c>
      <c r="C90" t="inlineStr">
        <is>
          <t>East</t>
        </is>
      </c>
      <c r="D90" t="inlineStr">
        <is>
          <t>Odisha</t>
        </is>
      </c>
      <c r="E90" t="inlineStr">
        <is>
          <t>Furniture</t>
        </is>
      </c>
      <c r="F90" t="inlineStr">
        <is>
          <t>Eshan Gill</t>
        </is>
      </c>
      <c r="G90" t="n">
        <v>3</v>
      </c>
      <c r="H90" s="9" t="n">
        <v>44940</v>
      </c>
    </row>
    <row r="91">
      <c r="A91" t="inlineStr">
        <is>
          <t>INV-26070090</t>
        </is>
      </c>
      <c r="B91" s="5" t="n">
        <v>46259</v>
      </c>
      <c r="C91" t="inlineStr">
        <is>
          <t>West</t>
        </is>
      </c>
      <c r="D91" t="inlineStr">
        <is>
          <t>Gujarat</t>
        </is>
      </c>
      <c r="E91" t="inlineStr">
        <is>
          <t>Lighting</t>
        </is>
      </c>
      <c r="F91" t="inlineStr">
        <is>
          <t>Chetan Pillai</t>
        </is>
      </c>
      <c r="G91" t="n">
        <v>1</v>
      </c>
      <c r="H91" s="9" t="n">
        <v>6800</v>
      </c>
    </row>
    <row r="92">
      <c r="A92" t="inlineStr">
        <is>
          <t>INV-26070091</t>
        </is>
      </c>
      <c r="B92" s="5" t="n">
        <v>46259</v>
      </c>
      <c r="C92" t="inlineStr">
        <is>
          <t>West</t>
        </is>
      </c>
      <c r="D92" t="inlineStr">
        <is>
          <t>Gujarat</t>
        </is>
      </c>
      <c r="E92" t="inlineStr">
        <is>
          <t>Lighting</t>
        </is>
      </c>
      <c r="F92" t="inlineStr">
        <is>
          <t>Eshan Gill</t>
        </is>
      </c>
      <c r="G92" t="n">
        <v>6</v>
      </c>
      <c r="H92" s="9" t="n">
        <v>12810</v>
      </c>
    </row>
    <row r="93">
      <c r="A93" t="inlineStr">
        <is>
          <t>INV-26070092</t>
        </is>
      </c>
      <c r="B93" s="5" t="n">
        <v>46260</v>
      </c>
      <c r="C93" t="inlineStr">
        <is>
          <t>South</t>
        </is>
      </c>
      <c r="D93" t="inlineStr">
        <is>
          <t>Karnataka</t>
        </is>
      </c>
      <c r="E93" t="inlineStr">
        <is>
          <t>Furniture</t>
        </is>
      </c>
      <c r="F93" t="inlineStr">
        <is>
          <t>Divya Bhat</t>
        </is>
      </c>
      <c r="G93" t="n">
        <v>8</v>
      </c>
      <c r="H93" s="9" t="n">
        <v>329410</v>
      </c>
    </row>
    <row r="94">
      <c r="A94" t="inlineStr">
        <is>
          <t>INV-26070093</t>
        </is>
      </c>
      <c r="B94" s="5" t="n">
        <v>46260</v>
      </c>
      <c r="C94" t="inlineStr">
        <is>
          <t>South</t>
        </is>
      </c>
      <c r="D94" t="inlineStr">
        <is>
          <t>Kerala</t>
        </is>
      </c>
      <c r="E94" t="inlineStr">
        <is>
          <t>Furniture</t>
        </is>
      </c>
      <c r="F94" t="inlineStr">
        <is>
          <t>Eshan Gill</t>
        </is>
      </c>
      <c r="G94" t="n">
        <v>4</v>
      </c>
      <c r="H94" s="9" t="n">
        <v>73980</v>
      </c>
    </row>
    <row r="95">
      <c r="A95" t="inlineStr">
        <is>
          <t>INV-26070094</t>
        </is>
      </c>
      <c r="B95" s="5" t="n">
        <v>46263</v>
      </c>
      <c r="C95" t="inlineStr">
        <is>
          <t>West</t>
        </is>
      </c>
      <c r="D95" t="inlineStr">
        <is>
          <t>Gujarat</t>
        </is>
      </c>
      <c r="E95" t="inlineStr">
        <is>
          <t>Home appliances</t>
        </is>
      </c>
      <c r="F95" t="inlineStr">
        <is>
          <t>Bhavna Rao</t>
        </is>
      </c>
      <c r="G95" t="n">
        <v>2</v>
      </c>
      <c r="H95" s="9" t="n">
        <v>125500</v>
      </c>
    </row>
    <row r="96">
      <c r="A96" t="inlineStr">
        <is>
          <t>INV-26070095</t>
        </is>
      </c>
      <c r="B96" s="5" t="n">
        <v>46263</v>
      </c>
      <c r="C96" t="inlineStr">
        <is>
          <t>East</t>
        </is>
      </c>
      <c r="D96" t="inlineStr">
        <is>
          <t>West Bengal</t>
        </is>
      </c>
      <c r="E96" t="inlineStr">
        <is>
          <t>Lighting</t>
        </is>
      </c>
      <c r="F96" t="inlineStr">
        <is>
          <t>Fatima Sheikh</t>
        </is>
      </c>
      <c r="G96" t="n">
        <v>2</v>
      </c>
      <c r="H96" s="9" t="n">
        <v>11020</v>
      </c>
    </row>
    <row r="97">
      <c r="A97" t="inlineStr">
        <is>
          <t>INV-26070096</t>
        </is>
      </c>
      <c r="B97" s="5" t="n">
        <v>46263</v>
      </c>
      <c r="C97" t="inlineStr">
        <is>
          <t>South</t>
        </is>
      </c>
      <c r="D97" t="inlineStr">
        <is>
          <t>Tamil Nadu</t>
        </is>
      </c>
      <c r="E97" t="inlineStr">
        <is>
          <t>Kitchenware</t>
        </is>
      </c>
      <c r="F97" t="inlineStr">
        <is>
          <t>Divya Bhat</t>
        </is>
      </c>
      <c r="G97" t="n">
        <v>8</v>
      </c>
      <c r="H97" s="9" t="n">
        <v>63410</v>
      </c>
    </row>
    <row r="98">
      <c r="A98" t="inlineStr">
        <is>
          <t>INV-26070097</t>
        </is>
      </c>
      <c r="B98" s="5" t="n">
        <v>46265</v>
      </c>
      <c r="C98" t="inlineStr">
        <is>
          <t>North</t>
        </is>
      </c>
      <c r="D98" t="inlineStr">
        <is>
          <t>Uttar Pradesh</t>
        </is>
      </c>
      <c r="E98" t="inlineStr">
        <is>
          <t>Lighting</t>
        </is>
      </c>
      <c r="F98" t="inlineStr">
        <is>
          <t>Amit Saxena</t>
        </is>
      </c>
      <c r="G98" t="n">
        <v>2</v>
      </c>
      <c r="H98" s="9" t="n">
        <v>13450</v>
      </c>
    </row>
    <row r="99">
      <c r="A99" t="inlineStr">
        <is>
          <t>INV-26070098</t>
        </is>
      </c>
      <c r="B99" s="5" t="n">
        <v>46265</v>
      </c>
      <c r="C99" t="inlineStr">
        <is>
          <t>West</t>
        </is>
      </c>
      <c r="D99" t="inlineStr">
        <is>
          <t>Maharashtra</t>
        </is>
      </c>
      <c r="E99" t="inlineStr">
        <is>
          <t>Furniture</t>
        </is>
      </c>
      <c r="F99" t="inlineStr">
        <is>
          <t>Eshan Gill</t>
        </is>
      </c>
      <c r="G99" t="n">
        <v>3</v>
      </c>
      <c r="H99" s="9" t="n">
        <v>74790</v>
      </c>
    </row>
    <row r="100">
      <c r="A100" t="inlineStr">
        <is>
          <t>INV-26070099</t>
        </is>
      </c>
      <c r="B100" s="5" t="n">
        <v>46266</v>
      </c>
      <c r="C100" t="inlineStr">
        <is>
          <t>South</t>
        </is>
      </c>
      <c r="D100" t="inlineStr">
        <is>
          <t>Telangana</t>
        </is>
      </c>
      <c r="E100" t="inlineStr">
        <is>
          <t>Furniture</t>
        </is>
      </c>
      <c r="F100" t="inlineStr">
        <is>
          <t>Bhavna Rao</t>
        </is>
      </c>
      <c r="G100" t="n">
        <v>10</v>
      </c>
      <c r="H100" s="9" t="n">
        <v>253430</v>
      </c>
    </row>
    <row r="101">
      <c r="A101" t="inlineStr">
        <is>
          <t>INV-26070100</t>
        </is>
      </c>
      <c r="B101" s="5" t="n">
        <v>46267</v>
      </c>
      <c r="C101" t="inlineStr">
        <is>
          <t>West</t>
        </is>
      </c>
      <c r="D101" t="inlineStr">
        <is>
          <t>Rajasthan</t>
        </is>
      </c>
      <c r="E101" t="inlineStr">
        <is>
          <t>Furniture</t>
        </is>
      </c>
      <c r="F101" t="inlineStr">
        <is>
          <t>Eshan Gill</t>
        </is>
      </c>
      <c r="G101" t="n">
        <v>3</v>
      </c>
      <c r="H101" s="9" t="n">
        <v>71320</v>
      </c>
    </row>
    <row r="102">
      <c r="A102" t="inlineStr">
        <is>
          <t>INV-26070101</t>
        </is>
      </c>
      <c r="B102" s="5" t="n">
        <v>46270</v>
      </c>
      <c r="C102" t="inlineStr">
        <is>
          <t>West</t>
        </is>
      </c>
      <c r="D102" t="inlineStr">
        <is>
          <t>Gujarat</t>
        </is>
      </c>
      <c r="E102" t="inlineStr">
        <is>
          <t>Kitchenware</t>
        </is>
      </c>
      <c r="F102" t="inlineStr">
        <is>
          <t>Fatima Sheikh</t>
        </is>
      </c>
      <c r="G102" t="n">
        <v>2</v>
      </c>
      <c r="H102" s="9" t="n">
        <v>8450</v>
      </c>
    </row>
    <row r="103">
      <c r="A103" t="inlineStr">
        <is>
          <t>INV-26070102</t>
        </is>
      </c>
      <c r="B103" s="5" t="n">
        <v>46271</v>
      </c>
      <c r="C103" t="inlineStr">
        <is>
          <t>South</t>
        </is>
      </c>
      <c r="D103" t="inlineStr">
        <is>
          <t>Telangana</t>
        </is>
      </c>
      <c r="E103" t="inlineStr">
        <is>
          <t>Kitchenware</t>
        </is>
      </c>
      <c r="F103" t="inlineStr">
        <is>
          <t>Bhavna Rao</t>
        </is>
      </c>
      <c r="G103" t="n">
        <v>6</v>
      </c>
      <c r="H103" s="9" t="n">
        <v>56990</v>
      </c>
    </row>
    <row r="104">
      <c r="A104" t="inlineStr">
        <is>
          <t>INV-26070103</t>
        </is>
      </c>
      <c r="B104" s="5" t="n">
        <v>46271</v>
      </c>
      <c r="C104" t="inlineStr">
        <is>
          <t>South</t>
        </is>
      </c>
      <c r="D104" t="inlineStr">
        <is>
          <t>Tamil Nadu</t>
        </is>
      </c>
      <c r="E104" t="inlineStr">
        <is>
          <t>Furniture</t>
        </is>
      </c>
      <c r="F104" t="inlineStr">
        <is>
          <t>Fatima Sheikh</t>
        </is>
      </c>
      <c r="G104" t="n">
        <v>4</v>
      </c>
      <c r="H104" s="9" t="n">
        <v>135980</v>
      </c>
    </row>
    <row r="105">
      <c r="A105" t="inlineStr">
        <is>
          <t>INV-26070104</t>
        </is>
      </c>
      <c r="B105" s="5" t="n">
        <v>46271</v>
      </c>
      <c r="C105" t="inlineStr">
        <is>
          <t>South</t>
        </is>
      </c>
      <c r="D105" t="inlineStr">
        <is>
          <t>Telangana</t>
        </is>
      </c>
      <c r="E105" t="inlineStr">
        <is>
          <t>Kitchenware</t>
        </is>
      </c>
      <c r="F105" t="inlineStr">
        <is>
          <t>Eshan Gill</t>
        </is>
      </c>
      <c r="G105" t="n">
        <v>4</v>
      </c>
      <c r="H105" s="9" t="n">
        <v>31510</v>
      </c>
    </row>
    <row r="106">
      <c r="A106" t="inlineStr">
        <is>
          <t>INV-26070105</t>
        </is>
      </c>
      <c r="B106" s="5" t="n">
        <v>46271</v>
      </c>
      <c r="C106" t="inlineStr">
        <is>
          <t>South</t>
        </is>
      </c>
      <c r="D106" t="inlineStr">
        <is>
          <t>Tamil Nadu</t>
        </is>
      </c>
      <c r="E106" t="inlineStr">
        <is>
          <t>Furniture</t>
        </is>
      </c>
      <c r="F106" t="inlineStr">
        <is>
          <t>Divya Bhat</t>
        </is>
      </c>
      <c r="G106" t="n">
        <v>6</v>
      </c>
      <c r="H106" s="9" t="n">
        <v>192630</v>
      </c>
    </row>
    <row r="107">
      <c r="A107" t="inlineStr">
        <is>
          <t>INV-26070106</t>
        </is>
      </c>
      <c r="B107" s="5" t="n">
        <v>46272</v>
      </c>
      <c r="C107" t="inlineStr">
        <is>
          <t>South</t>
        </is>
      </c>
      <c r="D107" t="inlineStr">
        <is>
          <t>Kerala</t>
        </is>
      </c>
      <c r="E107" t="inlineStr">
        <is>
          <t>Furniture</t>
        </is>
      </c>
      <c r="F107" t="inlineStr">
        <is>
          <t>Divya Bhat</t>
        </is>
      </c>
      <c r="G107" t="n">
        <v>5</v>
      </c>
      <c r="H107" s="9" t="n">
        <v>182580</v>
      </c>
    </row>
    <row r="108">
      <c r="A108" t="inlineStr">
        <is>
          <t>INV-26070107</t>
        </is>
      </c>
      <c r="B108" s="5" t="n">
        <v>46272</v>
      </c>
      <c r="C108" t="inlineStr">
        <is>
          <t>South</t>
        </is>
      </c>
      <c r="D108" t="inlineStr">
        <is>
          <t>Tamil Nadu</t>
        </is>
      </c>
      <c r="E108" t="inlineStr">
        <is>
          <t>Kitchenware</t>
        </is>
      </c>
      <c r="F108" t="inlineStr">
        <is>
          <t>Fatima Sheikh</t>
        </is>
      </c>
      <c r="G108" t="n">
        <v>5</v>
      </c>
      <c r="H108" s="9" t="n">
        <v>41610</v>
      </c>
    </row>
    <row r="109">
      <c r="A109" t="inlineStr">
        <is>
          <t>INV-26070108</t>
        </is>
      </c>
      <c r="B109" s="5" t="n">
        <v>46273</v>
      </c>
      <c r="C109" t="inlineStr">
        <is>
          <t>West</t>
        </is>
      </c>
      <c r="D109" t="inlineStr">
        <is>
          <t>Gujarat</t>
        </is>
      </c>
      <c r="E109" t="inlineStr">
        <is>
          <t>Kitchenware</t>
        </is>
      </c>
      <c r="F109" t="inlineStr">
        <is>
          <t>Fatima Sheikh</t>
        </is>
      </c>
      <c r="G109" t="n">
        <v>3</v>
      </c>
      <c r="H109" s="9" t="n">
        <v>38020</v>
      </c>
    </row>
    <row r="110">
      <c r="A110" t="inlineStr">
        <is>
          <t>INV-26070109</t>
        </is>
      </c>
      <c r="B110" s="5" t="n">
        <v>46273</v>
      </c>
      <c r="C110" t="inlineStr">
        <is>
          <t>East</t>
        </is>
      </c>
      <c r="D110" t="inlineStr">
        <is>
          <t>Odisha</t>
        </is>
      </c>
      <c r="E110" t="inlineStr">
        <is>
          <t>Lighting</t>
        </is>
      </c>
      <c r="F110" t="inlineStr">
        <is>
          <t>Chetan Pillai</t>
        </is>
      </c>
      <c r="G110" t="n">
        <v>8</v>
      </c>
      <c r="H110" s="9" t="n">
        <v>71450</v>
      </c>
    </row>
    <row r="111">
      <c r="A111" t="inlineStr">
        <is>
          <t>INV-26070110</t>
        </is>
      </c>
      <c r="B111" s="5" t="n">
        <v>46274</v>
      </c>
      <c r="C111" t="inlineStr">
        <is>
          <t>East</t>
        </is>
      </c>
      <c r="D111" t="inlineStr">
        <is>
          <t>Odisha</t>
        </is>
      </c>
      <c r="E111" t="inlineStr">
        <is>
          <t>Lighting</t>
        </is>
      </c>
      <c r="F111" t="inlineStr">
        <is>
          <t>Fatima Sheikh</t>
        </is>
      </c>
      <c r="G111" t="n">
        <v>6</v>
      </c>
      <c r="H111" s="9" t="n">
        <v>10810</v>
      </c>
    </row>
    <row r="112">
      <c r="A112" t="inlineStr">
        <is>
          <t>INV-26070111</t>
        </is>
      </c>
      <c r="B112" s="5" t="n">
        <v>46275</v>
      </c>
      <c r="C112" t="inlineStr">
        <is>
          <t>South</t>
        </is>
      </c>
      <c r="D112" t="inlineStr">
        <is>
          <t>Kerala</t>
        </is>
      </c>
      <c r="E112" t="inlineStr">
        <is>
          <t>Lighting</t>
        </is>
      </c>
      <c r="F112" t="inlineStr">
        <is>
          <t>Bhavna Rao</t>
        </is>
      </c>
      <c r="G112" t="n">
        <v>4</v>
      </c>
      <c r="H112" s="9" t="n">
        <v>29000</v>
      </c>
    </row>
    <row r="113">
      <c r="A113" t="inlineStr">
        <is>
          <t>INV-26070112</t>
        </is>
      </c>
      <c r="B113" s="5" t="n">
        <v>46275</v>
      </c>
      <c r="C113" t="inlineStr">
        <is>
          <t>West</t>
        </is>
      </c>
      <c r="D113" t="inlineStr">
        <is>
          <t>Maharashtra</t>
        </is>
      </c>
      <c r="E113" t="inlineStr">
        <is>
          <t>Furniture</t>
        </is>
      </c>
      <c r="F113" t="inlineStr">
        <is>
          <t>Amit Saxena</t>
        </is>
      </c>
      <c r="G113" t="n">
        <v>6</v>
      </c>
      <c r="H113" s="9" t="n">
        <v>214850</v>
      </c>
    </row>
    <row r="114">
      <c r="A114" t="inlineStr">
        <is>
          <t>INV-26070113</t>
        </is>
      </c>
      <c r="B114" s="5" t="n">
        <v>46276</v>
      </c>
      <c r="C114" t="inlineStr">
        <is>
          <t>West</t>
        </is>
      </c>
      <c r="D114" t="inlineStr">
        <is>
          <t>Maharashtra</t>
        </is>
      </c>
      <c r="E114" t="inlineStr">
        <is>
          <t>Home appliances</t>
        </is>
      </c>
      <c r="F114" t="inlineStr">
        <is>
          <t>Bhavna Rao</t>
        </is>
      </c>
      <c r="G114" t="n">
        <v>7</v>
      </c>
      <c r="H114" s="9" t="n">
        <v>370840</v>
      </c>
    </row>
    <row r="115">
      <c r="A115" t="inlineStr">
        <is>
          <t>INV-26070114</t>
        </is>
      </c>
      <c r="B115" s="5" t="n">
        <v>46277</v>
      </c>
      <c r="C115" t="inlineStr">
        <is>
          <t>East</t>
        </is>
      </c>
      <c r="D115" t="inlineStr">
        <is>
          <t>Bihar</t>
        </is>
      </c>
      <c r="E115" t="inlineStr">
        <is>
          <t>Kitchenware</t>
        </is>
      </c>
      <c r="F115" t="inlineStr">
        <is>
          <t>Fatima Sheikh</t>
        </is>
      </c>
      <c r="G115" t="n">
        <v>2</v>
      </c>
      <c r="H115" s="9" t="n">
        <v>23130</v>
      </c>
    </row>
    <row r="116">
      <c r="A116" t="inlineStr">
        <is>
          <t>INV-26070115</t>
        </is>
      </c>
      <c r="B116" s="5" t="n">
        <v>46277</v>
      </c>
      <c r="C116" t="inlineStr">
        <is>
          <t>North</t>
        </is>
      </c>
      <c r="D116" t="inlineStr">
        <is>
          <t>Uttar Pradesh</t>
        </is>
      </c>
      <c r="E116" t="inlineStr">
        <is>
          <t>Lighting</t>
        </is>
      </c>
      <c r="F116" t="inlineStr">
        <is>
          <t>Fatima Sheikh</t>
        </is>
      </c>
      <c r="G116" t="n">
        <v>8</v>
      </c>
      <c r="H116" s="9" t="n">
        <v>66890</v>
      </c>
    </row>
    <row r="117">
      <c r="A117" t="inlineStr">
        <is>
          <t>INV-26070116</t>
        </is>
      </c>
      <c r="B117" s="5" t="n">
        <v>46278</v>
      </c>
      <c r="C117" t="inlineStr">
        <is>
          <t>East</t>
        </is>
      </c>
      <c r="D117" t="inlineStr">
        <is>
          <t>Bihar</t>
        </is>
      </c>
      <c r="E117" t="inlineStr">
        <is>
          <t>Home appliances</t>
        </is>
      </c>
      <c r="F117" t="inlineStr">
        <is>
          <t>Amit Saxena</t>
        </is>
      </c>
      <c r="G117" t="n">
        <v>9</v>
      </c>
      <c r="H117" s="9" t="n">
        <v>434300</v>
      </c>
    </row>
    <row r="118">
      <c r="A118" t="inlineStr">
        <is>
          <t>INV-26070117</t>
        </is>
      </c>
      <c r="B118" s="5" t="n">
        <v>46278</v>
      </c>
      <c r="C118" t="inlineStr">
        <is>
          <t>West</t>
        </is>
      </c>
      <c r="D118" t="inlineStr">
        <is>
          <t>Gujarat</t>
        </is>
      </c>
      <c r="E118" t="inlineStr">
        <is>
          <t>Kitchenware</t>
        </is>
      </c>
      <c r="F118" t="inlineStr">
        <is>
          <t>Bhavna Rao</t>
        </is>
      </c>
      <c r="G118" t="n">
        <v>4</v>
      </c>
      <c r="H118" s="9" t="n">
        <v>17040</v>
      </c>
    </row>
    <row r="119">
      <c r="A119" t="inlineStr">
        <is>
          <t>INV-26070118</t>
        </is>
      </c>
      <c r="B119" s="5" t="n">
        <v>46279</v>
      </c>
      <c r="C119" t="inlineStr">
        <is>
          <t>South</t>
        </is>
      </c>
      <c r="D119" t="inlineStr">
        <is>
          <t>Telangana</t>
        </is>
      </c>
      <c r="E119" t="inlineStr">
        <is>
          <t>Lighting</t>
        </is>
      </c>
      <c r="F119" t="inlineStr">
        <is>
          <t>Fatima Sheikh</t>
        </is>
      </c>
      <c r="G119" t="n">
        <v>7</v>
      </c>
      <c r="H119" s="9" t="n">
        <v>23030</v>
      </c>
    </row>
    <row r="120">
      <c r="A120" t="inlineStr">
        <is>
          <t>INV-26070119</t>
        </is>
      </c>
      <c r="B120" s="5" t="n">
        <v>46279</v>
      </c>
      <c r="C120" t="inlineStr">
        <is>
          <t>North</t>
        </is>
      </c>
      <c r="D120" t="inlineStr">
        <is>
          <t>Delhi</t>
        </is>
      </c>
      <c r="E120" t="inlineStr">
        <is>
          <t>Kitchenware</t>
        </is>
      </c>
      <c r="F120" t="inlineStr">
        <is>
          <t>Chetan Pillai</t>
        </is>
      </c>
      <c r="G120" t="n">
        <v>6</v>
      </c>
      <c r="H120" s="9" t="n">
        <v>70560</v>
      </c>
    </row>
    <row r="121">
      <c r="A121" t="inlineStr">
        <is>
          <t>INV-26070120</t>
        </is>
      </c>
      <c r="B121" s="5" t="n">
        <v>46280</v>
      </c>
      <c r="C121" t="inlineStr">
        <is>
          <t>West</t>
        </is>
      </c>
      <c r="D121" t="inlineStr">
        <is>
          <t>Rajasthan</t>
        </is>
      </c>
      <c r="E121" t="inlineStr">
        <is>
          <t>Lighting</t>
        </is>
      </c>
      <c r="F121" t="inlineStr">
        <is>
          <t>Divya Bhat</t>
        </is>
      </c>
      <c r="G121" t="n">
        <v>3</v>
      </c>
      <c r="H121" s="9" t="n">
        <v>6710</v>
      </c>
    </row>
    <row r="122">
      <c r="A122" t="inlineStr">
        <is>
          <t>INV-26070121</t>
        </is>
      </c>
      <c r="B122" s="5" t="n">
        <v>46281</v>
      </c>
      <c r="C122" t="inlineStr">
        <is>
          <t>South</t>
        </is>
      </c>
      <c r="D122" t="inlineStr">
        <is>
          <t>Karnataka</t>
        </is>
      </c>
      <c r="E122" t="inlineStr">
        <is>
          <t>Kitchenware</t>
        </is>
      </c>
      <c r="F122" t="inlineStr">
        <is>
          <t>Fatima Sheikh</t>
        </is>
      </c>
      <c r="G122" t="n">
        <v>7</v>
      </c>
      <c r="H122" s="9" t="n">
        <v>94070</v>
      </c>
    </row>
    <row r="123">
      <c r="A123" t="inlineStr">
        <is>
          <t>INV-26070122</t>
        </is>
      </c>
      <c r="B123" s="5" t="n">
        <v>46281</v>
      </c>
      <c r="C123" t="inlineStr">
        <is>
          <t>South</t>
        </is>
      </c>
      <c r="D123" t="inlineStr">
        <is>
          <t>Karnataka</t>
        </is>
      </c>
      <c r="E123" t="inlineStr">
        <is>
          <t>Furniture</t>
        </is>
      </c>
      <c r="F123" t="inlineStr">
        <is>
          <t>Divya Bhat</t>
        </is>
      </c>
      <c r="G123" t="n">
        <v>6</v>
      </c>
      <c r="H123" s="9" t="n">
        <v>165040</v>
      </c>
    </row>
    <row r="124">
      <c r="A124" t="inlineStr">
        <is>
          <t>INV-26070123</t>
        </is>
      </c>
      <c r="B124" s="5" t="n">
        <v>46281</v>
      </c>
      <c r="C124" t="inlineStr">
        <is>
          <t>South</t>
        </is>
      </c>
      <c r="D124" t="inlineStr">
        <is>
          <t>Tamil Nadu</t>
        </is>
      </c>
      <c r="E124" t="inlineStr">
        <is>
          <t>Kitchenware</t>
        </is>
      </c>
      <c r="F124" t="inlineStr">
        <is>
          <t>Divya Bhat</t>
        </is>
      </c>
      <c r="G124" t="n">
        <v>9</v>
      </c>
      <c r="H124" s="9" t="n">
        <v>83300</v>
      </c>
    </row>
    <row r="125">
      <c r="A125" t="inlineStr">
        <is>
          <t>INV-26070124</t>
        </is>
      </c>
      <c r="B125" s="5" t="n">
        <v>46281</v>
      </c>
      <c r="C125" t="inlineStr">
        <is>
          <t>North</t>
        </is>
      </c>
      <c r="D125" t="inlineStr">
        <is>
          <t>Punjab</t>
        </is>
      </c>
      <c r="E125" t="inlineStr">
        <is>
          <t>Furniture</t>
        </is>
      </c>
      <c r="F125" t="inlineStr">
        <is>
          <t>Bhavna Rao</t>
        </is>
      </c>
      <c r="G125" t="n">
        <v>8</v>
      </c>
      <c r="H125" s="9" t="n">
        <v>330580</v>
      </c>
    </row>
    <row r="126">
      <c r="A126" t="inlineStr">
        <is>
          <t>INV-26070125</t>
        </is>
      </c>
      <c r="B126" s="5" t="n">
        <v>46282</v>
      </c>
      <c r="C126" t="inlineStr">
        <is>
          <t>North</t>
        </is>
      </c>
      <c r="D126" t="inlineStr">
        <is>
          <t>Uttar Pradesh</t>
        </is>
      </c>
      <c r="E126" t="inlineStr">
        <is>
          <t>Kitchenware</t>
        </is>
      </c>
      <c r="F126" t="inlineStr">
        <is>
          <t>Fatima Sheikh</t>
        </is>
      </c>
      <c r="G126" t="n">
        <v>4</v>
      </c>
      <c r="H126" s="9" t="n">
        <v>55670</v>
      </c>
    </row>
    <row r="127">
      <c r="A127" t="inlineStr">
        <is>
          <t>INV-26070126</t>
        </is>
      </c>
      <c r="B127" s="5" t="n">
        <v>46283</v>
      </c>
      <c r="C127" t="inlineStr">
        <is>
          <t>East</t>
        </is>
      </c>
      <c r="D127" t="inlineStr">
        <is>
          <t>Odisha</t>
        </is>
      </c>
      <c r="E127" t="inlineStr">
        <is>
          <t>Furniture</t>
        </is>
      </c>
      <c r="F127" t="inlineStr">
        <is>
          <t>Fatima Sheikh</t>
        </is>
      </c>
      <c r="G127" t="n">
        <v>7</v>
      </c>
      <c r="H127" s="9" t="n">
        <v>119040</v>
      </c>
    </row>
    <row r="128">
      <c r="A128" t="inlineStr">
        <is>
          <t>INV-26070127</t>
        </is>
      </c>
      <c r="B128" s="5" t="n">
        <v>46284</v>
      </c>
      <c r="C128" t="inlineStr">
        <is>
          <t>South</t>
        </is>
      </c>
      <c r="D128" t="inlineStr">
        <is>
          <t>Telangana</t>
        </is>
      </c>
      <c r="E128" t="inlineStr">
        <is>
          <t>Lighting</t>
        </is>
      </c>
      <c r="F128" t="inlineStr">
        <is>
          <t>Amit Saxena</t>
        </is>
      </c>
      <c r="G128" t="n">
        <v>9</v>
      </c>
      <c r="H128" s="9" t="n">
        <v>37030</v>
      </c>
    </row>
    <row r="129">
      <c r="A129" t="inlineStr">
        <is>
          <t>INV-26070128</t>
        </is>
      </c>
      <c r="B129" s="5" t="n">
        <v>46285</v>
      </c>
      <c r="C129" t="inlineStr">
        <is>
          <t>West</t>
        </is>
      </c>
      <c r="D129" t="inlineStr">
        <is>
          <t>Maharashtra</t>
        </is>
      </c>
      <c r="E129" t="inlineStr">
        <is>
          <t>Lighting</t>
        </is>
      </c>
      <c r="F129" t="inlineStr">
        <is>
          <t>Chetan Pillai</t>
        </is>
      </c>
      <c r="G129" t="n">
        <v>4</v>
      </c>
      <c r="H129" s="9" t="n">
        <v>27510</v>
      </c>
    </row>
    <row r="130">
      <c r="A130" t="inlineStr">
        <is>
          <t>INV-26070129</t>
        </is>
      </c>
      <c r="B130" s="5" t="n">
        <v>46285</v>
      </c>
      <c r="C130" t="inlineStr">
        <is>
          <t>South</t>
        </is>
      </c>
      <c r="D130" t="inlineStr">
        <is>
          <t>Kerala</t>
        </is>
      </c>
      <c r="E130" t="inlineStr">
        <is>
          <t>Furniture</t>
        </is>
      </c>
      <c r="F130" t="inlineStr">
        <is>
          <t>Eshan Gill</t>
        </is>
      </c>
      <c r="G130" t="n">
        <v>4</v>
      </c>
      <c r="H130" s="9" t="n">
        <v>166600</v>
      </c>
    </row>
    <row r="131">
      <c r="A131" t="inlineStr">
        <is>
          <t>INV-26070130</t>
        </is>
      </c>
      <c r="B131" s="5" t="n">
        <v>46286</v>
      </c>
      <c r="C131" t="inlineStr">
        <is>
          <t>North</t>
        </is>
      </c>
      <c r="D131" t="inlineStr">
        <is>
          <t>Uttar Pradesh</t>
        </is>
      </c>
      <c r="E131" t="inlineStr">
        <is>
          <t>Kitchenware</t>
        </is>
      </c>
      <c r="F131" t="inlineStr">
        <is>
          <t>Amit Saxena</t>
        </is>
      </c>
      <c r="G131" t="n">
        <v>5</v>
      </c>
      <c r="H131" s="9" t="n">
        <v>25350</v>
      </c>
    </row>
    <row r="132">
      <c r="A132" t="inlineStr">
        <is>
          <t>INV-26070131</t>
        </is>
      </c>
      <c r="B132" s="5" t="n">
        <v>46286</v>
      </c>
      <c r="C132" t="inlineStr">
        <is>
          <t>East</t>
        </is>
      </c>
      <c r="D132" t="inlineStr">
        <is>
          <t>Odisha</t>
        </is>
      </c>
      <c r="E132" t="inlineStr">
        <is>
          <t>Kitchenware</t>
        </is>
      </c>
      <c r="F132" t="inlineStr">
        <is>
          <t>Amit Saxena</t>
        </is>
      </c>
      <c r="G132" t="n">
        <v>3</v>
      </c>
      <c r="H132" s="9" t="n">
        <v>24550</v>
      </c>
    </row>
    <row r="133">
      <c r="A133" t="inlineStr">
        <is>
          <t>INV-26070132</t>
        </is>
      </c>
      <c r="B133" s="5" t="n">
        <v>46286</v>
      </c>
      <c r="C133" t="inlineStr">
        <is>
          <t>North</t>
        </is>
      </c>
      <c r="D133" t="inlineStr">
        <is>
          <t>Uttar Pradesh</t>
        </is>
      </c>
      <c r="E133" t="inlineStr">
        <is>
          <t>Home appliances</t>
        </is>
      </c>
      <c r="F133" t="inlineStr">
        <is>
          <t>Fatima Sheikh</t>
        </is>
      </c>
      <c r="G133" t="n">
        <v>9</v>
      </c>
      <c r="H133" s="9" t="n">
        <v>285990</v>
      </c>
    </row>
    <row r="134">
      <c r="A134" t="inlineStr">
        <is>
          <t>INV-26070133</t>
        </is>
      </c>
      <c r="B134" s="5" t="n">
        <v>46287</v>
      </c>
      <c r="C134" t="inlineStr">
        <is>
          <t>North</t>
        </is>
      </c>
      <c r="D134" t="inlineStr">
        <is>
          <t>Punjab</t>
        </is>
      </c>
      <c r="E134" t="inlineStr">
        <is>
          <t>Furniture</t>
        </is>
      </c>
      <c r="F134" t="inlineStr">
        <is>
          <t>Eshan Gill</t>
        </is>
      </c>
      <c r="G134" t="n">
        <v>2</v>
      </c>
      <c r="H134" s="9" t="n">
        <v>63870</v>
      </c>
    </row>
    <row r="135">
      <c r="A135" t="inlineStr">
        <is>
          <t>INV-26070134</t>
        </is>
      </c>
      <c r="B135" s="5" t="n">
        <v>46288</v>
      </c>
      <c r="C135" t="inlineStr">
        <is>
          <t>West</t>
        </is>
      </c>
      <c r="D135" t="inlineStr">
        <is>
          <t>Rajasthan</t>
        </is>
      </c>
      <c r="E135" t="inlineStr">
        <is>
          <t>Furniture</t>
        </is>
      </c>
      <c r="F135" t="inlineStr">
        <is>
          <t>Eshan Gill</t>
        </is>
      </c>
      <c r="G135" t="n">
        <v>5</v>
      </c>
      <c r="H135" s="9" t="n">
        <v>67310</v>
      </c>
    </row>
    <row r="136">
      <c r="A136" t="inlineStr">
        <is>
          <t>INV-26070135</t>
        </is>
      </c>
      <c r="B136" s="5" t="n">
        <v>46289</v>
      </c>
      <c r="C136" t="inlineStr">
        <is>
          <t>South</t>
        </is>
      </c>
      <c r="D136" t="inlineStr">
        <is>
          <t>Telangana</t>
        </is>
      </c>
      <c r="E136" t="inlineStr">
        <is>
          <t>Kitchenware</t>
        </is>
      </c>
      <c r="F136" t="inlineStr">
        <is>
          <t>Bhavna Rao</t>
        </is>
      </c>
      <c r="G136" t="n">
        <v>2</v>
      </c>
      <c r="H136" s="9" t="n">
        <v>10370</v>
      </c>
    </row>
    <row r="137">
      <c r="A137" t="inlineStr">
        <is>
          <t>INV-26070136</t>
        </is>
      </c>
      <c r="B137" s="5" t="n">
        <v>46289</v>
      </c>
      <c r="C137" t="inlineStr">
        <is>
          <t>South</t>
        </is>
      </c>
      <c r="D137" t="inlineStr">
        <is>
          <t>Tamil Nadu</t>
        </is>
      </c>
      <c r="E137" t="inlineStr">
        <is>
          <t>Furniture</t>
        </is>
      </c>
      <c r="F137" t="inlineStr">
        <is>
          <t>Fatima Sheikh</t>
        </is>
      </c>
      <c r="G137" t="n">
        <v>3</v>
      </c>
      <c r="H137" s="9" t="n">
        <v>110000</v>
      </c>
    </row>
    <row r="138">
      <c r="A138" t="inlineStr">
        <is>
          <t>INV-26070137</t>
        </is>
      </c>
      <c r="B138" s="5" t="n">
        <v>46289</v>
      </c>
      <c r="C138" t="inlineStr">
        <is>
          <t>West</t>
        </is>
      </c>
      <c r="D138" t="inlineStr">
        <is>
          <t>Rajasthan</t>
        </is>
      </c>
      <c r="E138" t="inlineStr">
        <is>
          <t>Lighting</t>
        </is>
      </c>
      <c r="F138" t="inlineStr">
        <is>
          <t>Divya Bhat</t>
        </is>
      </c>
      <c r="G138" t="n">
        <v>3</v>
      </c>
      <c r="H138" s="9" t="n">
        <v>6890</v>
      </c>
    </row>
    <row r="139">
      <c r="A139" t="inlineStr">
        <is>
          <t>INV-26070138</t>
        </is>
      </c>
      <c r="B139" s="5" t="n">
        <v>46289</v>
      </c>
      <c r="C139" t="inlineStr">
        <is>
          <t>West</t>
        </is>
      </c>
      <c r="D139" t="inlineStr">
        <is>
          <t>Gujarat</t>
        </is>
      </c>
      <c r="E139" t="inlineStr">
        <is>
          <t>Furniture</t>
        </is>
      </c>
      <c r="F139" t="inlineStr">
        <is>
          <t>Bhavna Rao</t>
        </is>
      </c>
      <c r="G139" t="n">
        <v>3</v>
      </c>
      <c r="H139" s="9" t="n">
        <v>76850</v>
      </c>
    </row>
    <row r="140">
      <c r="A140" t="inlineStr">
        <is>
          <t>INV-26070139</t>
        </is>
      </c>
      <c r="B140" s="5" t="n">
        <v>46290</v>
      </c>
      <c r="C140" t="inlineStr">
        <is>
          <t>North</t>
        </is>
      </c>
      <c r="D140" t="inlineStr">
        <is>
          <t>Delhi</t>
        </is>
      </c>
      <c r="E140" t="inlineStr">
        <is>
          <t>Home appliances</t>
        </is>
      </c>
      <c r="F140" t="inlineStr">
        <is>
          <t>Chetan Pillai</t>
        </is>
      </c>
      <c r="G140" t="n">
        <v>5</v>
      </c>
      <c r="H140" s="9" t="n">
        <v>146000</v>
      </c>
    </row>
    <row r="141">
      <c r="A141" t="inlineStr">
        <is>
          <t>INV-26070140</t>
        </is>
      </c>
      <c r="B141" s="5" t="n">
        <v>46291</v>
      </c>
      <c r="C141" t="inlineStr">
        <is>
          <t>North</t>
        </is>
      </c>
      <c r="D141" t="inlineStr">
        <is>
          <t>Uttar Pradesh</t>
        </is>
      </c>
      <c r="E141" t="inlineStr">
        <is>
          <t>Furniture</t>
        </is>
      </c>
      <c r="F141" t="inlineStr">
        <is>
          <t>Bhavna Rao</t>
        </is>
      </c>
      <c r="G141" t="n">
        <v>10</v>
      </c>
      <c r="H141" s="9" t="n">
        <v>176310</v>
      </c>
    </row>
    <row r="142">
      <c r="A142" t="inlineStr">
        <is>
          <t>INV-26070141</t>
        </is>
      </c>
      <c r="B142" s="5" t="n">
        <v>46291</v>
      </c>
      <c r="C142" t="inlineStr">
        <is>
          <t>East</t>
        </is>
      </c>
      <c r="D142" t="inlineStr">
        <is>
          <t>Bihar</t>
        </is>
      </c>
      <c r="E142" t="inlineStr">
        <is>
          <t>Lighting</t>
        </is>
      </c>
      <c r="F142" t="inlineStr">
        <is>
          <t>Bhavna Rao</t>
        </is>
      </c>
      <c r="G142" t="n">
        <v>3</v>
      </c>
      <c r="H142" s="9" t="n">
        <v>20370</v>
      </c>
    </row>
    <row r="143">
      <c r="A143" t="inlineStr">
        <is>
          <t>INV-26070142</t>
        </is>
      </c>
      <c r="B143" s="5" t="n">
        <v>46292</v>
      </c>
      <c r="C143" t="inlineStr">
        <is>
          <t>South</t>
        </is>
      </c>
      <c r="D143" t="inlineStr">
        <is>
          <t>Kerala</t>
        </is>
      </c>
      <c r="E143" t="inlineStr">
        <is>
          <t>Home appliances</t>
        </is>
      </c>
      <c r="F143" t="inlineStr">
        <is>
          <t>Chetan Pillai</t>
        </is>
      </c>
      <c r="G143" t="n">
        <v>3</v>
      </c>
      <c r="H143" s="9" t="n">
        <v>165890</v>
      </c>
    </row>
    <row r="144">
      <c r="A144" t="inlineStr">
        <is>
          <t>INV-26070143</t>
        </is>
      </c>
      <c r="B144" s="5" t="n">
        <v>46292</v>
      </c>
      <c r="C144" t="inlineStr">
        <is>
          <t>North</t>
        </is>
      </c>
      <c r="D144" t="inlineStr">
        <is>
          <t>Delhi</t>
        </is>
      </c>
      <c r="E144" t="inlineStr">
        <is>
          <t>Kitchenware</t>
        </is>
      </c>
      <c r="F144" t="inlineStr">
        <is>
          <t>Amit Saxena</t>
        </is>
      </c>
      <c r="G144" t="n">
        <v>5</v>
      </c>
      <c r="H144" s="9" t="n">
        <v>15450</v>
      </c>
    </row>
    <row r="145">
      <c r="A145" t="inlineStr">
        <is>
          <t>INV-26070144</t>
        </is>
      </c>
      <c r="B145" s="5" t="n">
        <v>46292</v>
      </c>
      <c r="C145" t="inlineStr">
        <is>
          <t>North</t>
        </is>
      </c>
      <c r="D145" t="inlineStr">
        <is>
          <t>Haryana</t>
        </is>
      </c>
      <c r="E145" t="inlineStr">
        <is>
          <t>Lighting</t>
        </is>
      </c>
      <c r="F145" t="inlineStr">
        <is>
          <t>Fatima Sheikh</t>
        </is>
      </c>
      <c r="G145" t="n">
        <v>8</v>
      </c>
      <c r="H145" s="9" t="n">
        <v>66530</v>
      </c>
    </row>
    <row r="146">
      <c r="A146" t="inlineStr">
        <is>
          <t>INV-26070145</t>
        </is>
      </c>
      <c r="B146" s="5" t="n">
        <v>46292</v>
      </c>
      <c r="C146" t="inlineStr">
        <is>
          <t>North</t>
        </is>
      </c>
      <c r="D146" t="inlineStr">
        <is>
          <t>Uttar Pradesh</t>
        </is>
      </c>
      <c r="E146" t="inlineStr">
        <is>
          <t>Home appliances</t>
        </is>
      </c>
      <c r="F146" t="inlineStr">
        <is>
          <t>Bhavna Rao</t>
        </is>
      </c>
      <c r="G146" t="n">
        <v>9</v>
      </c>
      <c r="H146" s="9" t="n">
        <v>335980</v>
      </c>
    </row>
    <row r="147">
      <c r="A147" t="inlineStr">
        <is>
          <t>INV-26070146</t>
        </is>
      </c>
      <c r="B147" s="5" t="n">
        <v>46292</v>
      </c>
      <c r="C147" t="inlineStr">
        <is>
          <t>West</t>
        </is>
      </c>
      <c r="D147" t="inlineStr">
        <is>
          <t>Maharashtra</t>
        </is>
      </c>
      <c r="E147" t="inlineStr">
        <is>
          <t>Lighting</t>
        </is>
      </c>
      <c r="F147" t="inlineStr">
        <is>
          <t>Divya Bhat</t>
        </is>
      </c>
      <c r="G147" t="n">
        <v>7</v>
      </c>
      <c r="H147" s="9" t="n">
        <v>26490</v>
      </c>
    </row>
    <row r="148">
      <c r="A148" t="inlineStr">
        <is>
          <t>INV-26070147</t>
        </is>
      </c>
      <c r="B148" s="5" t="n">
        <v>46294</v>
      </c>
      <c r="C148" t="inlineStr">
        <is>
          <t>North</t>
        </is>
      </c>
      <c r="D148" t="inlineStr">
        <is>
          <t>Uttar Pradesh</t>
        </is>
      </c>
      <c r="E148" t="inlineStr">
        <is>
          <t>Furniture</t>
        </is>
      </c>
      <c r="F148" t="inlineStr">
        <is>
          <t>Fatima Sheikh</t>
        </is>
      </c>
      <c r="G148" t="n">
        <v>2</v>
      </c>
      <c r="H148" s="9" t="n">
        <v>35860</v>
      </c>
    </row>
    <row r="149">
      <c r="A149" t="inlineStr">
        <is>
          <t>INV-26070148</t>
        </is>
      </c>
      <c r="B149" s="5" t="n">
        <v>46294</v>
      </c>
      <c r="C149" t="inlineStr">
        <is>
          <t>East</t>
        </is>
      </c>
      <c r="D149" t="inlineStr">
        <is>
          <t>West Bengal</t>
        </is>
      </c>
      <c r="E149" t="inlineStr">
        <is>
          <t>Kitchenware</t>
        </is>
      </c>
      <c r="F149" t="inlineStr">
        <is>
          <t>Eshan Gill</t>
        </is>
      </c>
      <c r="G149" t="n">
        <v>5</v>
      </c>
      <c r="H149" s="9" t="n">
        <v>48340</v>
      </c>
    </row>
    <row r="150">
      <c r="A150" t="inlineStr">
        <is>
          <t>INV-26070149</t>
        </is>
      </c>
      <c r="B150" s="5" t="n">
        <v>46295</v>
      </c>
      <c r="C150" t="inlineStr">
        <is>
          <t>West</t>
        </is>
      </c>
      <c r="D150" t="inlineStr">
        <is>
          <t>Rajasthan</t>
        </is>
      </c>
      <c r="E150" t="inlineStr">
        <is>
          <t>Lighting</t>
        </is>
      </c>
      <c r="F150" t="inlineStr">
        <is>
          <t>Fatima Sheikh</t>
        </is>
      </c>
      <c r="G150" t="n">
        <v>7</v>
      </c>
      <c r="H150" s="9" t="n">
        <v>61400</v>
      </c>
    </row>
    <row r="151">
      <c r="A151" t="inlineStr">
        <is>
          <t>INV-26070150</t>
        </is>
      </c>
      <c r="B151" s="5" t="n">
        <v>46295</v>
      </c>
      <c r="C151" t="inlineStr">
        <is>
          <t>North</t>
        </is>
      </c>
      <c r="D151" t="inlineStr">
        <is>
          <t>Haryana</t>
        </is>
      </c>
      <c r="E151" t="inlineStr">
        <is>
          <t>Furniture</t>
        </is>
      </c>
      <c r="F151" t="inlineStr">
        <is>
          <t>Fatima Sheikh</t>
        </is>
      </c>
      <c r="G151" t="n">
        <v>8</v>
      </c>
      <c r="H151" s="9" t="n">
        <v>213260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70" customWidth="1" min="6" max="6"/>
  </cols>
  <sheetData>
    <row r="1">
      <c r="A1" s="12" t="inlineStr">
        <is>
          <t>Kaveri Home Products Pvt Ltd: three-statement model (₹)</t>
        </is>
      </c>
    </row>
    <row r="2">
      <c r="A2" s="22" t="inlineStr">
        <is>
          <t>Assumptions</t>
        </is>
      </c>
    </row>
    <row r="3">
      <c r="A3" t="inlineStr">
        <is>
          <t>Revenue growth %</t>
        </is>
      </c>
      <c r="B3" s="23" t="n">
        <v>0.15</v>
      </c>
    </row>
    <row r="4">
      <c r="A4" t="inlineStr">
        <is>
          <t>COGS % of revenue</t>
        </is>
      </c>
      <c r="B4" s="23" t="n">
        <v>0.6</v>
      </c>
    </row>
    <row r="5">
      <c r="A5" t="inlineStr">
        <is>
          <t>Operating expenses % of revenue</t>
        </is>
      </c>
      <c r="B5" s="23" t="n">
        <v>0.18</v>
      </c>
    </row>
    <row r="6">
      <c r="A6" t="inlineStr">
        <is>
          <t>Depreciation % of opening fixed assets</t>
        </is>
      </c>
      <c r="B6" s="23" t="n">
        <v>0.1</v>
      </c>
    </row>
    <row r="7">
      <c r="A7" t="inlineStr">
        <is>
          <t>Tax rate</t>
        </is>
      </c>
      <c r="B7" s="23" t="n">
        <v>0.25</v>
      </c>
    </row>
    <row r="8">
      <c r="A8" t="inlineStr">
        <is>
          <t>Debtor days</t>
        </is>
      </c>
      <c r="B8" s="20" t="n">
        <v>45</v>
      </c>
    </row>
    <row r="9">
      <c r="A9" t="inlineStr">
        <is>
          <t>Creditor days (on COGS)</t>
        </is>
      </c>
      <c r="B9" s="20" t="n">
        <v>30</v>
      </c>
    </row>
    <row r="10">
      <c r="A10" t="inlineStr">
        <is>
          <t>Capex per year</t>
        </is>
      </c>
      <c r="B10" s="10" t="n">
        <v>1500000</v>
      </c>
    </row>
    <row r="11">
      <c r="A11" t="inlineStr">
        <is>
          <t>Interest rate on loan</t>
        </is>
      </c>
      <c r="B11" s="23" t="n">
        <v>0.1</v>
      </c>
    </row>
    <row r="12">
      <c r="A12" t="inlineStr">
        <is>
          <t>Loan repayment per year</t>
        </is>
      </c>
      <c r="B12" s="10" t="n">
        <v>500000</v>
      </c>
    </row>
    <row r="14">
      <c r="A14" s="3" t="inlineStr">
        <is>
          <t>Profit and loss</t>
        </is>
      </c>
      <c r="B14" s="3" t="inlineStr">
        <is>
          <t>FY 2025-26 (A)</t>
        </is>
      </c>
      <c r="C14" s="3" t="inlineStr">
        <is>
          <t>FY 2026-27 (F)</t>
        </is>
      </c>
      <c r="D14" s="3" t="inlineStr">
        <is>
          <t>FY 2027-28 (F)</t>
        </is>
      </c>
    </row>
    <row r="15">
      <c r="A15" s="24" t="inlineStr">
        <is>
          <t>Revenue</t>
        </is>
      </c>
      <c r="B15" s="9" t="n">
        <v>20000000</v>
      </c>
      <c r="C15" s="9">
        <f>B15*(1+$B$3)</f>
        <v/>
      </c>
      <c r="D15" s="9">
        <f>C15*(1+$B$3)</f>
        <v/>
      </c>
    </row>
    <row r="16">
      <c r="A16" s="24" t="inlineStr">
        <is>
          <t>COGS</t>
        </is>
      </c>
      <c r="B16" s="9" t="n">
        <v>12000000</v>
      </c>
      <c r="C16" s="9">
        <f>C15*$B$4</f>
        <v/>
      </c>
      <c r="D16" s="9">
        <f>D15*$B$4</f>
        <v/>
      </c>
    </row>
    <row r="17">
      <c r="A17" s="6" t="inlineStr">
        <is>
          <t>Gross profit</t>
        </is>
      </c>
      <c r="B17" s="9">
        <f>B15-B16</f>
        <v/>
      </c>
      <c r="C17" s="9">
        <f>C15-C16</f>
        <v/>
      </c>
      <c r="D17" s="9">
        <f>D15-D16</f>
        <v/>
      </c>
    </row>
    <row r="18">
      <c r="A18" s="24" t="inlineStr">
        <is>
          <t>Operating expenses</t>
        </is>
      </c>
      <c r="B18" s="9" t="n">
        <v>3600000</v>
      </c>
      <c r="C18" s="9">
        <f>C15*$B$5</f>
        <v/>
      </c>
      <c r="D18" s="9" t="n">
        <v>4761000</v>
      </c>
    </row>
    <row r="19">
      <c r="A19" s="24" t="inlineStr">
        <is>
          <t>Depreciation</t>
        </is>
      </c>
      <c r="B19" s="9" t="n">
        <v>800000</v>
      </c>
      <c r="C19" s="9">
        <f>B27*$B$6</f>
        <v/>
      </c>
      <c r="D19" s="9">
        <f>C27*$B$6</f>
        <v/>
      </c>
    </row>
    <row r="20">
      <c r="A20" s="24" t="inlineStr">
        <is>
          <t>Interest</t>
        </is>
      </c>
      <c r="B20" s="9" t="n">
        <v>300000</v>
      </c>
      <c r="C20" s="9">
        <f>B34*$B$11</f>
        <v/>
      </c>
      <c r="D20" s="9">
        <f>C34*$B$11</f>
        <v/>
      </c>
    </row>
    <row r="21">
      <c r="A21" s="24" t="inlineStr">
        <is>
          <t>Profit before tax</t>
        </is>
      </c>
      <c r="B21" s="9">
        <f>B17-B18-B19-B20</f>
        <v/>
      </c>
      <c r="C21" s="9">
        <f>C17-C18-C19-C20</f>
        <v/>
      </c>
      <c r="D21" s="9">
        <f>D17-D18-D19-D20</f>
        <v/>
      </c>
    </row>
    <row r="22">
      <c r="A22" s="24" t="inlineStr">
        <is>
          <t>Tax</t>
        </is>
      </c>
      <c r="B22" s="9">
        <f>B21*$B$7</f>
        <v/>
      </c>
      <c r="C22" s="9">
        <f>C21*$B$7</f>
        <v/>
      </c>
      <c r="D22" s="9">
        <f>D21*$B$7</f>
        <v/>
      </c>
    </row>
    <row r="23">
      <c r="A23" s="6" t="inlineStr">
        <is>
          <t>Net profit</t>
        </is>
      </c>
      <c r="B23" s="9">
        <f>B21-B22</f>
        <v/>
      </c>
      <c r="C23" s="9">
        <f>C21-C22</f>
        <v/>
      </c>
      <c r="D23" s="9">
        <f>D21-D22</f>
        <v/>
      </c>
    </row>
    <row r="25">
      <c r="A25" s="3" t="inlineStr">
        <is>
          <t>Balance sheet (31 March)</t>
        </is>
      </c>
      <c r="B25" s="3" t="inlineStr">
        <is>
          <t>FY 2025-26 (A)</t>
        </is>
      </c>
      <c r="C25" s="3" t="inlineStr">
        <is>
          <t>FY 2026-27 (F)</t>
        </is>
      </c>
      <c r="D25" s="3" t="inlineStr">
        <is>
          <t>FY 2027-28 (F)</t>
        </is>
      </c>
    </row>
    <row r="26">
      <c r="A26" s="6" t="inlineStr">
        <is>
          <t>Assets</t>
        </is>
      </c>
    </row>
    <row r="27">
      <c r="A27" s="24" t="inlineStr">
        <is>
          <t>Net fixed assets</t>
        </is>
      </c>
      <c r="B27" s="9" t="n">
        <v>8000000</v>
      </c>
      <c r="C27" s="9">
        <f>B27+$B$10-C19</f>
        <v/>
      </c>
      <c r="D27" s="9">
        <f>C27+$B$10-D19</f>
        <v/>
      </c>
    </row>
    <row r="28">
      <c r="A28" s="24" t="inlineStr">
        <is>
          <t>Trade receivables</t>
        </is>
      </c>
      <c r="B28" s="9" t="n">
        <v>2500000</v>
      </c>
      <c r="C28" s="9">
        <f>C15*$B$8/365</f>
        <v/>
      </c>
      <c r="D28" s="9">
        <f>D15*$B$8/365</f>
        <v/>
      </c>
    </row>
    <row r="29">
      <c r="A29" s="24" t="inlineStr">
        <is>
          <t>Cash</t>
        </is>
      </c>
      <c r="B29" s="9" t="n">
        <v>1200000</v>
      </c>
      <c r="C29" s="10" t="n"/>
      <c r="D29" s="10" t="n"/>
    </row>
    <row r="30">
      <c r="A30" s="6" t="inlineStr">
        <is>
          <t>Total assets</t>
        </is>
      </c>
      <c r="B30" s="9">
        <f>SUM(B27:B29)</f>
        <v/>
      </c>
      <c r="C30" s="9">
        <f>SUM(C27:C29)</f>
        <v/>
      </c>
      <c r="D30" s="9">
        <f>SUM(D27:D29)</f>
        <v/>
      </c>
    </row>
    <row r="31">
      <c r="A31" s="6" t="inlineStr">
        <is>
          <t>Equity and liabilities</t>
        </is>
      </c>
      <c r="B31" s="9" t="n"/>
      <c r="C31" s="9" t="n"/>
      <c r="D31" s="9" t="n"/>
    </row>
    <row r="32">
      <c r="A32" s="24" t="inlineStr">
        <is>
          <t>Share capital</t>
        </is>
      </c>
      <c r="B32" s="9" t="n">
        <v>5000000</v>
      </c>
      <c r="C32" s="9">
        <f>B32</f>
        <v/>
      </c>
      <c r="D32" s="9">
        <f>C32</f>
        <v/>
      </c>
    </row>
    <row r="33">
      <c r="A33" s="24" t="inlineStr">
        <is>
          <t>Retained earnings</t>
        </is>
      </c>
      <c r="B33" s="9" t="n">
        <v>2200000</v>
      </c>
      <c r="C33" s="10" t="n"/>
      <c r="D33" s="10" t="n"/>
    </row>
    <row r="34">
      <c r="A34" s="24" t="inlineStr">
        <is>
          <t>Loan</t>
        </is>
      </c>
      <c r="B34" s="9" t="n">
        <v>3000000</v>
      </c>
      <c r="C34" s="9">
        <f>B34-$B$12</f>
        <v/>
      </c>
      <c r="D34" s="9">
        <f>C34-$B$12</f>
        <v/>
      </c>
    </row>
    <row r="35">
      <c r="A35" s="24" t="inlineStr">
        <is>
          <t>Trade payables</t>
        </is>
      </c>
      <c r="B35" s="9" t="n">
        <v>1500000</v>
      </c>
      <c r="C35" s="9">
        <f>C16*$B$9/365</f>
        <v/>
      </c>
      <c r="D35" s="9">
        <f>D16*$B$9/365</f>
        <v/>
      </c>
    </row>
    <row r="36">
      <c r="A36" s="6" t="inlineStr">
        <is>
          <t>Total equity and liabilities</t>
        </is>
      </c>
      <c r="B36" s="9">
        <f>SUM(B32:B35)</f>
        <v/>
      </c>
      <c r="C36" s="9">
        <f>SUM(C32:C35)</f>
        <v/>
      </c>
      <c r="D36" s="9">
        <f>SUM(D32:D35)</f>
        <v/>
      </c>
    </row>
    <row r="37">
      <c r="A37" s="6" t="inlineStr">
        <is>
          <t>Check (should be 0)</t>
        </is>
      </c>
      <c r="B37" s="9">
        <f>ROUND(B30-B36,0)</f>
        <v/>
      </c>
      <c r="C37" s="10" t="n"/>
      <c r="D37" s="10" t="n"/>
    </row>
    <row r="39">
      <c r="A39" s="3" t="inlineStr">
        <is>
          <t>Cash flow</t>
        </is>
      </c>
      <c r="B39" s="3" t="inlineStr"/>
      <c r="C39" s="3" t="inlineStr">
        <is>
          <t>FY 2026-27 (F)</t>
        </is>
      </c>
      <c r="D39" s="3" t="inlineStr">
        <is>
          <t>FY 2027-28 (F)</t>
        </is>
      </c>
    </row>
    <row r="40">
      <c r="A40" s="24" t="inlineStr">
        <is>
          <t>Net profit</t>
        </is>
      </c>
      <c r="B40" s="25" t="n"/>
      <c r="C40" s="25">
        <f>C23</f>
        <v/>
      </c>
      <c r="D40" s="25">
        <f>D23</f>
        <v/>
      </c>
    </row>
    <row r="41">
      <c r="A41" s="24" t="inlineStr">
        <is>
          <t>Add: depreciation</t>
        </is>
      </c>
      <c r="B41" s="25" t="n"/>
      <c r="C41" s="25">
        <f>C19</f>
        <v/>
      </c>
      <c r="D41" s="25">
        <f>D19</f>
        <v/>
      </c>
    </row>
    <row r="42">
      <c r="A42" s="24" t="inlineStr">
        <is>
          <t>(Increase) in receivables</t>
        </is>
      </c>
      <c r="B42" s="25" t="n"/>
      <c r="C42" s="25">
        <f>B28-C28</f>
        <v/>
      </c>
      <c r="D42" s="25">
        <f>C28-D28</f>
        <v/>
      </c>
    </row>
    <row r="43">
      <c r="A43" s="24" t="inlineStr">
        <is>
          <t>Increase in payables</t>
        </is>
      </c>
      <c r="B43" s="25" t="n"/>
      <c r="C43" s="25">
        <f>C35-B35</f>
        <v/>
      </c>
      <c r="D43" s="25">
        <f>D35-C35</f>
        <v/>
      </c>
    </row>
    <row r="44">
      <c r="A44" s="6" t="inlineStr">
        <is>
          <t>Cash from operations</t>
        </is>
      </c>
      <c r="B44" s="25" t="n"/>
      <c r="C44" s="25">
        <f>SUM(C40:C43)</f>
        <v/>
      </c>
      <c r="D44" s="25">
        <f>SUM(D40:D43)</f>
        <v/>
      </c>
    </row>
    <row r="45">
      <c r="A45" s="24" t="inlineStr">
        <is>
          <t>Capex</t>
        </is>
      </c>
      <c r="B45" s="25" t="n"/>
      <c r="C45" s="25">
        <f>-$B$10</f>
        <v/>
      </c>
      <c r="D45" s="25">
        <f>-$B$10</f>
        <v/>
      </c>
    </row>
    <row r="46">
      <c r="A46" s="24" t="inlineStr">
        <is>
          <t>Loan repayment</t>
        </is>
      </c>
      <c r="B46" s="25" t="n"/>
      <c r="C46" s="25">
        <f>-$B$12</f>
        <v/>
      </c>
      <c r="D46" s="25">
        <f>-$B$12</f>
        <v/>
      </c>
    </row>
    <row r="47">
      <c r="A47" s="6" t="inlineStr">
        <is>
          <t>Net change in cash</t>
        </is>
      </c>
      <c r="B47" s="25" t="n"/>
      <c r="C47" s="25">
        <f>SUM(C44:C46)</f>
        <v/>
      </c>
      <c r="D47" s="25">
        <f>SUM(D44:D46)</f>
        <v/>
      </c>
    </row>
    <row r="48">
      <c r="A48" s="24" t="inlineStr">
        <is>
          <t>Opening cash</t>
        </is>
      </c>
      <c r="B48" s="25" t="n"/>
      <c r="C48" s="25">
        <f>B29</f>
        <v/>
      </c>
      <c r="D48" s="25">
        <f>C29</f>
        <v/>
      </c>
    </row>
    <row r="49">
      <c r="A49" s="6" t="inlineStr">
        <is>
          <t>Closing cash</t>
        </is>
      </c>
      <c r="B49" s="25" t="n"/>
      <c r="C49" s="25">
        <f>C48+C47</f>
        <v/>
      </c>
      <c r="D49" s="25">
        <f>D48+D47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70" customWidth="1" min="6" max="6"/>
  </cols>
  <sheetData>
    <row r="1">
      <c r="A1" s="12" t="inlineStr">
        <is>
          <t>Kaveri Home Products Pvt Ltd: three-statement model (₹)</t>
        </is>
      </c>
    </row>
    <row r="2">
      <c r="A2" s="22" t="inlineStr">
        <is>
          <t>Assumptions</t>
        </is>
      </c>
    </row>
    <row r="3">
      <c r="A3" t="inlineStr">
        <is>
          <t>Revenue growth %</t>
        </is>
      </c>
      <c r="B3" s="23" t="n">
        <v>0.15</v>
      </c>
    </row>
    <row r="4">
      <c r="A4" t="inlineStr">
        <is>
          <t>COGS % of revenue</t>
        </is>
      </c>
      <c r="B4" s="23" t="n">
        <v>0.6</v>
      </c>
    </row>
    <row r="5">
      <c r="A5" t="inlineStr">
        <is>
          <t>Operating expenses % of revenue</t>
        </is>
      </c>
      <c r="B5" s="23" t="n">
        <v>0.18</v>
      </c>
    </row>
    <row r="6">
      <c r="A6" t="inlineStr">
        <is>
          <t>Depreciation % of opening fixed assets</t>
        </is>
      </c>
      <c r="B6" s="23" t="n">
        <v>0.1</v>
      </c>
    </row>
    <row r="7">
      <c r="A7" t="inlineStr">
        <is>
          <t>Tax rate</t>
        </is>
      </c>
      <c r="B7" s="23" t="n">
        <v>0.25</v>
      </c>
    </row>
    <row r="8">
      <c r="A8" t="inlineStr">
        <is>
          <t>Debtor days</t>
        </is>
      </c>
      <c r="B8" s="20" t="n">
        <v>45</v>
      </c>
    </row>
    <row r="9">
      <c r="A9" t="inlineStr">
        <is>
          <t>Creditor days (on COGS)</t>
        </is>
      </c>
      <c r="B9" s="20" t="n">
        <v>30</v>
      </c>
    </row>
    <row r="10">
      <c r="A10" t="inlineStr">
        <is>
          <t>Capex per year</t>
        </is>
      </c>
      <c r="B10" s="10" t="n">
        <v>1500000</v>
      </c>
    </row>
    <row r="11">
      <c r="A11" t="inlineStr">
        <is>
          <t>Interest rate on loan</t>
        </is>
      </c>
      <c r="B11" s="23" t="n">
        <v>0.1</v>
      </c>
    </row>
    <row r="12">
      <c r="A12" t="inlineStr">
        <is>
          <t>Loan repayment per year</t>
        </is>
      </c>
      <c r="B12" s="10" t="n">
        <v>500000</v>
      </c>
    </row>
    <row r="14">
      <c r="A14" s="3" t="inlineStr">
        <is>
          <t>Profit and loss</t>
        </is>
      </c>
      <c r="B14" s="3" t="inlineStr">
        <is>
          <t>FY 2025-26 (A)</t>
        </is>
      </c>
      <c r="C14" s="3" t="inlineStr">
        <is>
          <t>FY 2026-27 (F)</t>
        </is>
      </c>
      <c r="D14" s="3" t="inlineStr">
        <is>
          <t>FY 2027-28 (F)</t>
        </is>
      </c>
      <c r="F14" s="6" t="inlineStr">
        <is>
          <t>Audit notes (Claude review, checked by hand)</t>
        </is>
      </c>
    </row>
    <row r="15">
      <c r="A15" s="24" t="inlineStr">
        <is>
          <t>Revenue</t>
        </is>
      </c>
      <c r="B15" s="9" t="n">
        <v>20000000</v>
      </c>
      <c r="C15" s="9">
        <f>B15*(1+$B$3)</f>
        <v/>
      </c>
      <c r="D15" s="9">
        <f>C15*(1+$B$3)</f>
        <v/>
      </c>
      <c r="F15" s="2" t="inlineStr">
        <is>
          <t>• Balance sheet balances in all years (row 37 = 0).</t>
        </is>
      </c>
    </row>
    <row r="16">
      <c r="A16" s="24" t="inlineStr">
        <is>
          <t>COGS</t>
        </is>
      </c>
      <c r="B16" s="9" t="n">
        <v>12000000</v>
      </c>
      <c r="C16" s="9">
        <f>C15*$B$4</f>
        <v/>
      </c>
      <c r="D16" s="9">
        <f>D15*$B$4</f>
        <v/>
      </c>
      <c r="F16" s="2" t="inlineStr">
        <is>
          <t>• Closing cash (row 49) equals balance-sheet cash (row 29).</t>
        </is>
      </c>
    </row>
    <row r="17">
      <c r="A17" s="6" t="inlineStr">
        <is>
          <t>Gross profit</t>
        </is>
      </c>
      <c r="B17" s="9">
        <f>B15-B16</f>
        <v/>
      </c>
      <c r="C17" s="9">
        <f>C15-C16</f>
        <v/>
      </c>
      <c r="D17" s="9">
        <f>D15-D16</f>
        <v/>
      </c>
      <c r="F17" s="2" t="inlineStr">
        <is>
          <t>• D18 was a typed number (4761000). Fixed: =D15*$B$5, same value, now updates with the inputs.</t>
        </is>
      </c>
    </row>
    <row r="18">
      <c r="A18" s="24" t="inlineStr">
        <is>
          <t>Operating expenses</t>
        </is>
      </c>
      <c r="B18" s="9" t="n">
        <v>3600000</v>
      </c>
      <c r="C18" s="9">
        <f>C15*$B$5</f>
        <v/>
      </c>
      <c r="D18" s="9">
        <f>D15*$B$5</f>
        <v/>
      </c>
    </row>
    <row r="19">
      <c r="A19" s="24" t="inlineStr">
        <is>
          <t>Depreciation</t>
        </is>
      </c>
      <c r="B19" s="9" t="n">
        <v>800000</v>
      </c>
      <c r="C19" s="9">
        <f>B27*$B$6</f>
        <v/>
      </c>
      <c r="D19" s="9">
        <f>C27*$B$6</f>
        <v/>
      </c>
    </row>
    <row r="20">
      <c r="A20" s="24" t="inlineStr">
        <is>
          <t>Interest</t>
        </is>
      </c>
      <c r="B20" s="9" t="n">
        <v>300000</v>
      </c>
      <c r="C20" s="9">
        <f>B34*$B$11</f>
        <v/>
      </c>
      <c r="D20" s="9">
        <f>C34*$B$11</f>
        <v/>
      </c>
    </row>
    <row r="21">
      <c r="A21" s="24" t="inlineStr">
        <is>
          <t>Profit before tax</t>
        </is>
      </c>
      <c r="B21" s="9">
        <f>B17-B18-B19-B20</f>
        <v/>
      </c>
      <c r="C21" s="9">
        <f>C17-C18-C19-C20</f>
        <v/>
      </c>
      <c r="D21" s="9">
        <f>D17-D18-D19-D20</f>
        <v/>
      </c>
    </row>
    <row r="22">
      <c r="A22" s="24" t="inlineStr">
        <is>
          <t>Tax</t>
        </is>
      </c>
      <c r="B22" s="9">
        <f>B21*$B$7</f>
        <v/>
      </c>
      <c r="C22" s="9">
        <f>C21*$B$7</f>
        <v/>
      </c>
      <c r="D22" s="9">
        <f>D21*$B$7</f>
        <v/>
      </c>
    </row>
    <row r="23">
      <c r="A23" s="6" t="inlineStr">
        <is>
          <t>Net profit</t>
        </is>
      </c>
      <c r="B23" s="9">
        <f>B21-B22</f>
        <v/>
      </c>
      <c r="C23" s="9">
        <f>C21-C22</f>
        <v/>
      </c>
      <c r="D23" s="9">
        <f>D21-D22</f>
        <v/>
      </c>
    </row>
    <row r="25">
      <c r="A25" s="3" t="inlineStr">
        <is>
          <t>Balance sheet (31 March)</t>
        </is>
      </c>
      <c r="B25" s="3" t="inlineStr">
        <is>
          <t>FY 2025-26 (A)</t>
        </is>
      </c>
      <c r="C25" s="3" t="inlineStr">
        <is>
          <t>FY 2026-27 (F)</t>
        </is>
      </c>
      <c r="D25" s="3" t="inlineStr">
        <is>
          <t>FY 2027-28 (F)</t>
        </is>
      </c>
    </row>
    <row r="26">
      <c r="A26" s="6" t="inlineStr">
        <is>
          <t>Assets</t>
        </is>
      </c>
    </row>
    <row r="27">
      <c r="A27" s="24" t="inlineStr">
        <is>
          <t>Net fixed assets</t>
        </is>
      </c>
      <c r="B27" s="9" t="n">
        <v>8000000</v>
      </c>
      <c r="C27" s="9">
        <f>B27+$B$10-C19</f>
        <v/>
      </c>
      <c r="D27" s="9">
        <f>C27+$B$10-D19</f>
        <v/>
      </c>
    </row>
    <row r="28">
      <c r="A28" s="24" t="inlineStr">
        <is>
          <t>Trade receivables</t>
        </is>
      </c>
      <c r="B28" s="9" t="n">
        <v>2500000</v>
      </c>
      <c r="C28" s="9">
        <f>C15*$B$8/365</f>
        <v/>
      </c>
      <c r="D28" s="9">
        <f>D15*$B$8/365</f>
        <v/>
      </c>
    </row>
    <row r="29">
      <c r="A29" s="24" t="inlineStr">
        <is>
          <t>Cash</t>
        </is>
      </c>
      <c r="B29" s="9" t="n">
        <v>1200000</v>
      </c>
      <c r="C29" s="10">
        <f>C49</f>
        <v/>
      </c>
      <c r="D29" s="10">
        <f>D49</f>
        <v/>
      </c>
    </row>
    <row r="30">
      <c r="A30" s="6" t="inlineStr">
        <is>
          <t>Total assets</t>
        </is>
      </c>
      <c r="B30" s="9">
        <f>SUM(B27:B29)</f>
        <v/>
      </c>
      <c r="C30" s="9">
        <f>SUM(C27:C29)</f>
        <v/>
      </c>
      <c r="D30" s="9">
        <f>SUM(D27:D29)</f>
        <v/>
      </c>
    </row>
    <row r="31">
      <c r="A31" s="6" t="inlineStr">
        <is>
          <t>Equity and liabilities</t>
        </is>
      </c>
      <c r="B31" s="9" t="n"/>
      <c r="C31" s="9" t="n"/>
      <c r="D31" s="9" t="n"/>
    </row>
    <row r="32">
      <c r="A32" s="24" t="inlineStr">
        <is>
          <t>Share capital</t>
        </is>
      </c>
      <c r="B32" s="9" t="n">
        <v>5000000</v>
      </c>
      <c r="C32" s="9">
        <f>B32</f>
        <v/>
      </c>
      <c r="D32" s="9">
        <f>C32</f>
        <v/>
      </c>
    </row>
    <row r="33">
      <c r="A33" s="24" t="inlineStr">
        <is>
          <t>Retained earnings</t>
        </is>
      </c>
      <c r="B33" s="9" t="n">
        <v>2200000</v>
      </c>
      <c r="C33" s="10">
        <f>B33+C23</f>
        <v/>
      </c>
      <c r="D33" s="10">
        <f>C33+D23</f>
        <v/>
      </c>
    </row>
    <row r="34">
      <c r="A34" s="24" t="inlineStr">
        <is>
          <t>Loan</t>
        </is>
      </c>
      <c r="B34" s="9" t="n">
        <v>3000000</v>
      </c>
      <c r="C34" s="9">
        <f>B34-$B$12</f>
        <v/>
      </c>
      <c r="D34" s="9">
        <f>C34-$B$12</f>
        <v/>
      </c>
    </row>
    <row r="35">
      <c r="A35" s="24" t="inlineStr">
        <is>
          <t>Trade payables</t>
        </is>
      </c>
      <c r="B35" s="9" t="n">
        <v>1500000</v>
      </c>
      <c r="C35" s="9">
        <f>C16*$B$9/365</f>
        <v/>
      </c>
      <c r="D35" s="9">
        <f>D16*$B$9/365</f>
        <v/>
      </c>
    </row>
    <row r="36">
      <c r="A36" s="6" t="inlineStr">
        <is>
          <t>Total equity and liabilities</t>
        </is>
      </c>
      <c r="B36" s="9">
        <f>SUM(B32:B35)</f>
        <v/>
      </c>
      <c r="C36" s="9">
        <f>SUM(C32:C35)</f>
        <v/>
      </c>
      <c r="D36" s="9">
        <f>SUM(D32:D35)</f>
        <v/>
      </c>
    </row>
    <row r="37">
      <c r="A37" s="6" t="inlineStr">
        <is>
          <t>Check (should be 0)</t>
        </is>
      </c>
      <c r="B37" s="9">
        <f>ROUND(B30-B36,0)</f>
        <v/>
      </c>
      <c r="C37" s="10">
        <f>ROUND(C30-C36,0)</f>
        <v/>
      </c>
      <c r="D37" s="10">
        <f>ROUND(D30-D36,0)</f>
        <v/>
      </c>
    </row>
    <row r="39">
      <c r="A39" s="3" t="inlineStr">
        <is>
          <t>Cash flow</t>
        </is>
      </c>
      <c r="B39" s="3" t="inlineStr"/>
      <c r="C39" s="3" t="inlineStr">
        <is>
          <t>FY 2026-27 (F)</t>
        </is>
      </c>
      <c r="D39" s="3" t="inlineStr">
        <is>
          <t>FY 2027-28 (F)</t>
        </is>
      </c>
    </row>
    <row r="40">
      <c r="A40" s="24" t="inlineStr">
        <is>
          <t>Net profit</t>
        </is>
      </c>
      <c r="B40" s="25" t="n"/>
      <c r="C40" s="25">
        <f>C23</f>
        <v/>
      </c>
      <c r="D40" s="25">
        <f>D23</f>
        <v/>
      </c>
    </row>
    <row r="41">
      <c r="A41" s="24" t="inlineStr">
        <is>
          <t>Add: depreciation</t>
        </is>
      </c>
      <c r="B41" s="25" t="n"/>
      <c r="C41" s="25">
        <f>C19</f>
        <v/>
      </c>
      <c r="D41" s="25">
        <f>D19</f>
        <v/>
      </c>
    </row>
    <row r="42">
      <c r="A42" s="24" t="inlineStr">
        <is>
          <t>(Increase) in receivables</t>
        </is>
      </c>
      <c r="B42" s="25" t="n"/>
      <c r="C42" s="25">
        <f>B28-C28</f>
        <v/>
      </c>
      <c r="D42" s="25">
        <f>C28-D28</f>
        <v/>
      </c>
    </row>
    <row r="43">
      <c r="A43" s="24" t="inlineStr">
        <is>
          <t>Increase in payables</t>
        </is>
      </c>
      <c r="B43" s="25" t="n"/>
      <c r="C43" s="25">
        <f>C35-B35</f>
        <v/>
      </c>
      <c r="D43" s="25">
        <f>D35-C35</f>
        <v/>
      </c>
    </row>
    <row r="44">
      <c r="A44" s="6" t="inlineStr">
        <is>
          <t>Cash from operations</t>
        </is>
      </c>
      <c r="B44" s="25" t="n"/>
      <c r="C44" s="25">
        <f>SUM(C40:C43)</f>
        <v/>
      </c>
      <c r="D44" s="25">
        <f>SUM(D40:D43)</f>
        <v/>
      </c>
    </row>
    <row r="45">
      <c r="A45" s="24" t="inlineStr">
        <is>
          <t>Capex</t>
        </is>
      </c>
      <c r="B45" s="25" t="n"/>
      <c r="C45" s="25">
        <f>-$B$10</f>
        <v/>
      </c>
      <c r="D45" s="25">
        <f>-$B$10</f>
        <v/>
      </c>
    </row>
    <row r="46">
      <c r="A46" s="24" t="inlineStr">
        <is>
          <t>Loan repayment</t>
        </is>
      </c>
      <c r="B46" s="25" t="n"/>
      <c r="C46" s="25">
        <f>-$B$12</f>
        <v/>
      </c>
      <c r="D46" s="25">
        <f>-$B$12</f>
        <v/>
      </c>
    </row>
    <row r="47">
      <c r="A47" s="6" t="inlineStr">
        <is>
          <t>Net change in cash</t>
        </is>
      </c>
      <c r="B47" s="25" t="n"/>
      <c r="C47" s="25">
        <f>SUM(C44:C46)</f>
        <v/>
      </c>
      <c r="D47" s="25">
        <f>SUM(D44:D46)</f>
        <v/>
      </c>
    </row>
    <row r="48">
      <c r="A48" s="24" t="inlineStr">
        <is>
          <t>Opening cash</t>
        </is>
      </c>
      <c r="B48" s="25" t="n"/>
      <c r="C48" s="25">
        <f>B29</f>
        <v/>
      </c>
      <c r="D48" s="25">
        <f>C29</f>
        <v/>
      </c>
    </row>
    <row r="49">
      <c r="A49" s="6" t="inlineStr">
        <is>
          <t>Closing cash</t>
        </is>
      </c>
      <c r="B49" s="25" t="n"/>
      <c r="C49" s="25">
        <f>C48+C47</f>
        <v/>
      </c>
      <c r="D49" s="25">
        <f>D48+D47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2026-10-23T10:16:07Z</dcterms:created>
  <dcterms:modified xmlns:dcterms="http://purl.org/dc/terms/" xmlns:xsi="http://www.w3.org/2001/XMLSchema-instance" xsi:type="dcterms:W3CDTF">2026-10-23T10:16:07Z</dcterms:modified>
</cp:coreProperties>
</file>