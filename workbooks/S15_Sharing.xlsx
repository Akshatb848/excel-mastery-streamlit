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15-01" sheetId="2" state="visible" r:id="rId2"/>
    <sheet xmlns:r="http://schemas.openxmlformats.org/officeDocument/2006/relationships" name="S15-01 Done" sheetId="3" state="visible" r:id="rId3"/>
    <sheet xmlns:r="http://schemas.openxmlformats.org/officeDocument/2006/relationships" name="S15-02" sheetId="4" state="visible" r:id="rId4"/>
    <sheet xmlns:r="http://schemas.openxmlformats.org/officeDocument/2006/relationships" name="S15-02 Done" sheetId="5" state="visible" r:id="rId5"/>
    <sheet xmlns:r="http://schemas.openxmlformats.org/officeDocument/2006/relationships" name="S15-03" sheetId="6" state="visible" r:id="rId6"/>
    <sheet xmlns:r="http://schemas.openxmlformats.org/officeDocument/2006/relationships" name="S15-03 Done" sheetId="7" state="visible" r:id="rId7"/>
    <sheet xmlns:r="http://schemas.openxmlformats.org/officeDocument/2006/relationships" name="S15-04" sheetId="8" state="visible" r:id="rId8"/>
    <sheet xmlns:r="http://schemas.openxmlformats.org/officeDocument/2006/relationships" name="S15-04 Done" sheetId="9" state="visible" r:id="rId9"/>
    <sheet xmlns:r="http://schemas.openxmlformats.org/officeDocument/2006/relationships" name="S15-05" sheetId="10" state="visible" r:id="rId10"/>
    <sheet xmlns:r="http://schemas.openxmlformats.org/officeDocument/2006/relationships" name="S15-05 Done" sheetId="11" state="visible" r:id="rId11"/>
    <sheet xmlns:r="http://schemas.openxmlformats.org/officeDocument/2006/relationships" name="S15-06" sheetId="12" state="visible" r:id="rId12"/>
    <sheet xmlns:r="http://schemas.openxmlformats.org/officeDocument/2006/relationships" name="S15-06 Done" sheetId="13" state="visible" r:id="rId13"/>
  </sheets>
  <definedNames>
    <definedName name="_xlnm.Print_Titles" localSheetId="8">'S15-04 Done'!$1:$1</definedName>
    <definedName name="_xlnm.Print_Area" localSheetId="8">'S15-04 Done'!$A$1:$I$62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-YYYY"/>
    <numFmt numFmtId="166" formatCode="[&gt;=10000000]&quot;₹&quot;##\,##\,##\,##0;[&gt;=100000]&quot;₹&quot;##\,##\,##0;&quot;₹&quot;##,##0"/>
  </numFmts>
  <fonts count="9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  <font>
      <b val="1"/>
      <sz val="14"/>
    </font>
    <font>
      <b val="1"/>
      <color rgb="001F4E78"/>
      <sz val="18"/>
    </font>
    <font>
      <color rgb="00D9D9D9"/>
    </font>
    <font>
      <color rgb="00000000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  <xf numFmtId="0" fontId="0" fillId="3" borderId="0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1" fontId="0" fillId="4" borderId="0" pivotButton="0" quotePrefix="0" xfId="0"/>
    <xf numFmtId="166" fontId="0" fillId="4" borderId="0" pivotButton="0" quotePrefix="0" xfId="0"/>
    <xf numFmtId="166" fontId="3" fillId="0" borderId="0" pivotButton="0" quotePrefix="0" xfId="0"/>
    <xf numFmtId="0" fontId="0" fillId="4" borderId="0" applyProtection="1" pivotButton="0" quotePrefix="0" xfId="0">
      <protection locked="0" hidden="0"/>
    </xf>
    <xf numFmtId="1" fontId="0" fillId="4" borderId="0" applyProtection="1" pivotButton="0" quotePrefix="0" xfId="0">
      <protection locked="0" hidden="0"/>
    </xf>
    <xf numFmtId="166" fontId="0" fillId="4" borderId="0" applyProtection="1" pivotButton="0" quotePrefix="0" xfId="0">
      <protection locked="0" hidden="0"/>
    </xf>
    <xf numFmtId="166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166" fontId="3" fillId="0" borderId="0" applyProtection="1" pivotButton="0" quotePrefix="0" xfId="0">
      <protection locked="1" hidden="1"/>
    </xf>
    <xf numFmtId="0" fontId="5" fillId="0" borderId="0" applyAlignment="1" pivotButton="0" quotePrefix="0" xfId="0">
      <alignment horizontal="center"/>
    </xf>
    <xf numFmtId="165" fontId="0" fillId="4" borderId="0" pivotButton="0" quotePrefix="0" xfId="0"/>
    <xf numFmtId="0" fontId="0" fillId="4" borderId="1" pivotButton="0" quotePrefix="0" xfId="0"/>
    <xf numFmtId="166" fontId="0" fillId="4" borderId="1" pivotButton="0" quotePrefix="0" xfId="0"/>
    <xf numFmtId="166" fontId="0" fillId="0" borderId="1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Continuous"/>
    </xf>
    <xf numFmtId="0" fontId="8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2286000" cy="857250"/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0</row>
      <rowOff>0</rowOff>
    </from>
    <ext cx="2286000" cy="857250"/>
    <pic>
      <nvPicPr>
        <cNvPr id="1" name="Image 1" descr="Shree Ganesh Traders logo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6" customWidth="1" min="3" max="3"/>
    <col width="32" customWidth="1" min="4" max="4"/>
  </cols>
  <sheetData>
    <row r="1">
      <c r="A1" s="1" t="inlineStr">
        <is>
          <t>Section 15: Sharing, protection and printing</t>
        </is>
      </c>
    </row>
    <row r="3">
      <c r="A3" s="2" t="inlineStr">
        <is>
          <t>Lesson</t>
        </is>
      </c>
      <c r="B3" s="2" t="inlineStr">
        <is>
          <t>Title</t>
        </is>
      </c>
      <c r="C3" s="2" t="inlineStr">
        <is>
          <t>Practice sheet</t>
        </is>
      </c>
      <c r="D3" s="2" t="inlineStr">
        <is>
          <t>Recorded in</t>
        </is>
      </c>
    </row>
    <row r="4">
      <c r="A4" t="inlineStr">
        <is>
          <t>S15-01</t>
        </is>
      </c>
      <c r="B4" t="inlineStr">
        <is>
          <t>Share, co-author, comments and notes</t>
        </is>
      </c>
      <c r="C4" t="inlineStr">
        <is>
          <t>S15-01</t>
        </is>
      </c>
      <c r="D4" t="inlineStr">
        <is>
          <t>Excel for the web</t>
        </is>
      </c>
    </row>
    <row r="5">
      <c r="A5" t="inlineStr">
        <is>
          <t>S15-02</t>
        </is>
      </c>
      <c r="B5" t="inlineStr">
        <is>
          <t>Version history and Sheet View</t>
        </is>
      </c>
      <c r="C5" t="inlineStr">
        <is>
          <t>S15-02</t>
        </is>
      </c>
      <c r="D5" t="inlineStr">
        <is>
          <t>Excel for the web</t>
        </is>
      </c>
    </row>
    <row r="6">
      <c r="A6" t="inlineStr">
        <is>
          <t>S15-03</t>
        </is>
      </c>
      <c r="B6" t="inlineStr">
        <is>
          <t>Protect cells, sheets and workbooks</t>
        </is>
      </c>
      <c r="C6" t="inlineStr">
        <is>
          <t>S15-03</t>
        </is>
      </c>
      <c r="D6" t="inlineStr">
        <is>
          <t>Excel desktop (Mac path shown)</t>
        </is>
      </c>
    </row>
    <row r="7">
      <c r="A7" t="inlineStr">
        <is>
          <t>S15-04</t>
        </is>
      </c>
      <c r="B7" t="inlineStr">
        <is>
          <t>Printing and PDF</t>
        </is>
      </c>
      <c r="C7" t="inlineStr">
        <is>
          <t>S15-04</t>
        </is>
      </c>
      <c r="D7" t="inlineStr">
        <is>
          <t>Excel desktop (Mac path shown)</t>
        </is>
      </c>
    </row>
    <row r="8">
      <c r="A8" t="inlineStr">
        <is>
          <t>S15-05</t>
        </is>
      </c>
      <c r="B8" t="inlineStr">
        <is>
          <t>Linked data types: stocks and geography</t>
        </is>
      </c>
      <c r="C8" t="inlineStr">
        <is>
          <t>S15-05</t>
        </is>
      </c>
      <c r="D8" t="inlineStr">
        <is>
          <t>Excel for the web</t>
        </is>
      </c>
    </row>
    <row r="9">
      <c r="A9" t="inlineStr">
        <is>
          <t>S15-06</t>
        </is>
      </c>
      <c r="B9" t="inlineStr">
        <is>
          <t>Templates and accessibility</t>
        </is>
      </c>
      <c r="C9" t="inlineStr">
        <is>
          <t>S15-06</t>
        </is>
      </c>
      <c r="D9" t="inlineStr">
        <is>
          <t>Excel desktop (Mac path shown)</t>
        </is>
      </c>
    </row>
    <row r="11">
      <c r="A11" t="inlineStr">
        <is>
          <t>Sharing, comments, version history and Sheet View need the file saved on OneDrive or SharePoint.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3" customWidth="1" min="4" max="4"/>
    <col width="16" customWidth="1" min="5" max="5"/>
    <col width="11" customWidth="1" min="6" max="6"/>
    <col width="11" customWidth="1" min="7" max="7"/>
    <col width="48" customWidth="1" min="9" max="9"/>
  </cols>
  <sheetData>
    <row r="1">
      <c r="A1" s="2" t="inlineStr">
        <is>
          <t>Claim ID</t>
        </is>
      </c>
      <c r="B1" s="2" t="inlineStr">
        <is>
          <t>Date</t>
        </is>
      </c>
      <c r="C1" s="2" t="inlineStr">
        <is>
          <t>Employee</t>
        </is>
      </c>
      <c r="D1" s="2" t="inlineStr">
        <is>
          <t>Department</t>
        </is>
      </c>
      <c r="E1" s="2" t="inlineStr">
        <is>
          <t>Category</t>
        </is>
      </c>
      <c r="F1" s="2" t="inlineStr">
        <is>
          <t>Amount</t>
        </is>
      </c>
      <c r="G1" s="2" t="inlineStr">
        <is>
          <t>Status</t>
        </is>
      </c>
      <c r="I1" s="3" t="inlineStr">
        <is>
          <t>Team expense claims, October 2026</t>
        </is>
      </c>
    </row>
    <row r="2">
      <c r="A2" t="inlineStr">
        <is>
          <t>EXP-2611</t>
        </is>
      </c>
      <c r="B2" s="4" t="n">
        <v>46296</v>
      </c>
      <c r="C2" t="inlineStr">
        <is>
          <t>Pooja Reddy</t>
        </is>
      </c>
      <c r="D2" t="inlineStr">
        <is>
          <t>Finance</t>
        </is>
      </c>
      <c r="E2" t="inlineStr">
        <is>
          <t>Travel</t>
        </is>
      </c>
      <c r="F2" s="5" t="n">
        <v>6130</v>
      </c>
      <c r="G2" t="inlineStr">
        <is>
          <t>Pending</t>
        </is>
      </c>
      <c r="I2" s="6" t="inlineStr">
        <is>
          <t>Comment on F5 (₹18,600 hotel claim), reply, resolve, then set G5 to Approved.</t>
        </is>
      </c>
    </row>
    <row r="3">
      <c r="A3" t="inlineStr">
        <is>
          <t>EXP-2612</t>
        </is>
      </c>
      <c r="B3" s="4" t="n">
        <v>46297</v>
      </c>
      <c r="C3" t="inlineStr">
        <is>
          <t>Divya Menon</t>
        </is>
      </c>
      <c r="D3" t="inlineStr">
        <is>
          <t>Marketing</t>
        </is>
      </c>
      <c r="E3" t="inlineStr">
        <is>
          <t>Client gifts</t>
        </is>
      </c>
      <c r="F3" s="5" t="n">
        <v>3720</v>
      </c>
      <c r="G3" t="inlineStr">
        <is>
          <t>Approved</t>
        </is>
      </c>
      <c r="I3" s="6" t="inlineStr">
        <is>
          <t>Add a note on F9.</t>
        </is>
      </c>
    </row>
    <row r="4">
      <c r="A4" t="inlineStr">
        <is>
          <t>EXP-2613</t>
        </is>
      </c>
      <c r="B4" s="4" t="n">
        <v>46298</v>
      </c>
      <c r="C4" t="inlineStr">
        <is>
          <t>Rahul Mehta</t>
        </is>
      </c>
      <c r="D4" t="inlineStr">
        <is>
          <t>Sales</t>
        </is>
      </c>
      <c r="E4" t="inlineStr">
        <is>
          <t>Client gifts</t>
        </is>
      </c>
      <c r="F4" s="5" t="n">
        <v>4260</v>
      </c>
      <c r="G4" t="inlineStr">
        <is>
          <t>Pending</t>
        </is>
      </c>
    </row>
    <row r="5">
      <c r="A5" t="inlineStr">
        <is>
          <t>EXP-2614</t>
        </is>
      </c>
      <c r="B5" s="4" t="n">
        <v>46299</v>
      </c>
      <c r="C5" t="inlineStr">
        <is>
          <t>Karan Malhotra</t>
        </is>
      </c>
      <c r="D5" t="inlineStr">
        <is>
          <t>Sales</t>
        </is>
      </c>
      <c r="E5" t="inlineStr">
        <is>
          <t>Hotel</t>
        </is>
      </c>
      <c r="F5" s="5" t="n">
        <v>18600</v>
      </c>
      <c r="G5" t="inlineStr">
        <is>
          <t>Pending</t>
        </is>
      </c>
    </row>
    <row r="6">
      <c r="A6" t="inlineStr">
        <is>
          <t>EXP-2615</t>
        </is>
      </c>
      <c r="B6" s="4" t="n">
        <v>46300</v>
      </c>
      <c r="C6" t="inlineStr">
        <is>
          <t>Divya Menon</t>
        </is>
      </c>
      <c r="D6" t="inlineStr">
        <is>
          <t>Marketing</t>
        </is>
      </c>
      <c r="E6" t="inlineStr">
        <is>
          <t>Travel</t>
        </is>
      </c>
      <c r="F6" s="5" t="n">
        <v>5840</v>
      </c>
      <c r="G6" t="inlineStr">
        <is>
          <t>Approved</t>
        </is>
      </c>
    </row>
    <row r="7">
      <c r="A7" t="inlineStr">
        <is>
          <t>EXP-2616</t>
        </is>
      </c>
      <c r="B7" s="4" t="n">
        <v>46301</v>
      </c>
      <c r="C7" t="inlineStr">
        <is>
          <t>Fatima Shaikh</t>
        </is>
      </c>
      <c r="D7" t="inlineStr">
        <is>
          <t>HR</t>
        </is>
      </c>
      <c r="E7" t="inlineStr">
        <is>
          <t>Meals</t>
        </is>
      </c>
      <c r="F7" s="5" t="n">
        <v>590</v>
      </c>
      <c r="G7" t="inlineStr">
        <is>
          <t>Approved</t>
        </is>
      </c>
    </row>
    <row r="8">
      <c r="A8" t="inlineStr">
        <is>
          <t>EXP-2617</t>
        </is>
      </c>
      <c r="B8" s="4" t="n">
        <v>46302</v>
      </c>
      <c r="C8" t="inlineStr">
        <is>
          <t>Arjun Nair</t>
        </is>
      </c>
      <c r="D8" t="inlineStr">
        <is>
          <t>Sales</t>
        </is>
      </c>
      <c r="E8" t="inlineStr">
        <is>
          <t>Travel</t>
        </is>
      </c>
      <c r="F8" s="5" t="n">
        <v>8700</v>
      </c>
      <c r="G8" t="inlineStr">
        <is>
          <t>Approved</t>
        </is>
      </c>
    </row>
    <row r="9">
      <c r="A9" t="inlineStr">
        <is>
          <t>EXP-2618</t>
        </is>
      </c>
      <c r="B9" s="4" t="n">
        <v>46303</v>
      </c>
      <c r="C9" t="inlineStr">
        <is>
          <t>Sneha Kulkarni</t>
        </is>
      </c>
      <c r="D9" t="inlineStr">
        <is>
          <t>Marketing</t>
        </is>
      </c>
      <c r="E9" t="inlineStr">
        <is>
          <t>Client gifts</t>
        </is>
      </c>
      <c r="F9" s="5" t="n">
        <v>870</v>
      </c>
      <c r="G9" t="inlineStr">
        <is>
          <t>Approved</t>
        </is>
      </c>
    </row>
    <row r="10">
      <c r="A10" t="inlineStr">
        <is>
          <t>EXP-2619</t>
        </is>
      </c>
      <c r="B10" s="4" t="n">
        <v>46304</v>
      </c>
      <c r="C10" t="inlineStr">
        <is>
          <t>Vikram Singh</t>
        </is>
      </c>
      <c r="D10" t="inlineStr">
        <is>
          <t>Operations</t>
        </is>
      </c>
      <c r="E10" t="inlineStr">
        <is>
          <t>Travel</t>
        </is>
      </c>
      <c r="F10" s="5" t="n">
        <v>4870</v>
      </c>
      <c r="G10" t="inlineStr">
        <is>
          <t>Approved</t>
        </is>
      </c>
    </row>
    <row r="11">
      <c r="A11" t="inlineStr">
        <is>
          <t>EXP-2620</t>
        </is>
      </c>
      <c r="B11" s="4" t="n">
        <v>46305</v>
      </c>
      <c r="C11" t="inlineStr">
        <is>
          <t>Divya Menon</t>
        </is>
      </c>
      <c r="D11" t="inlineStr">
        <is>
          <t>Marketing</t>
        </is>
      </c>
      <c r="E11" t="inlineStr">
        <is>
          <t>Travel</t>
        </is>
      </c>
      <c r="F11" s="5" t="n">
        <v>4880</v>
      </c>
      <c r="G11" t="inlineStr">
        <is>
          <t>Approved</t>
        </is>
      </c>
    </row>
    <row r="12">
      <c r="A12" t="inlineStr">
        <is>
          <t>EXP-2621</t>
        </is>
      </c>
      <c r="B12" s="4" t="n">
        <v>46306</v>
      </c>
      <c r="C12" t="inlineStr">
        <is>
          <t>Fatima Shaikh</t>
        </is>
      </c>
      <c r="D12" t="inlineStr">
        <is>
          <t>HR</t>
        </is>
      </c>
      <c r="E12" t="inlineStr">
        <is>
          <t>Travel</t>
        </is>
      </c>
      <c r="F12" s="5" t="n">
        <v>3970</v>
      </c>
      <c r="G12" t="inlineStr">
        <is>
          <t>Pending</t>
        </is>
      </c>
    </row>
    <row r="13">
      <c r="A13" t="inlineStr">
        <is>
          <t>EXP-2622</t>
        </is>
      </c>
      <c r="B13" s="4" t="n">
        <v>46307</v>
      </c>
      <c r="C13" t="inlineStr">
        <is>
          <t>Rahul Mehta</t>
        </is>
      </c>
      <c r="D13" t="inlineStr">
        <is>
          <t>Sales</t>
        </is>
      </c>
      <c r="E13" t="inlineStr">
        <is>
          <t>Local conveyance</t>
        </is>
      </c>
      <c r="F13" s="5" t="n">
        <v>260</v>
      </c>
      <c r="G13" t="inlineStr">
        <is>
          <t>Pending</t>
        </is>
      </c>
    </row>
    <row r="14">
      <c r="A14" t="inlineStr">
        <is>
          <t>EXP-2623</t>
        </is>
      </c>
      <c r="B14" s="4" t="n">
        <v>46308</v>
      </c>
      <c r="C14" t="inlineStr">
        <is>
          <t>Arjun Nair</t>
        </is>
      </c>
      <c r="D14" t="inlineStr">
        <is>
          <t>Sales</t>
        </is>
      </c>
      <c r="E14" t="inlineStr">
        <is>
          <t>Hotel</t>
        </is>
      </c>
      <c r="F14" s="5" t="n">
        <v>3500</v>
      </c>
      <c r="G14" t="inlineStr">
        <is>
          <t>Pending</t>
        </is>
      </c>
    </row>
    <row r="15">
      <c r="A15" t="inlineStr">
        <is>
          <t>EXP-2624</t>
        </is>
      </c>
      <c r="B15" s="4" t="n">
        <v>46309</v>
      </c>
      <c r="C15" t="inlineStr">
        <is>
          <t>Rahul Mehta</t>
        </is>
      </c>
      <c r="D15" t="inlineStr">
        <is>
          <t>Sales</t>
        </is>
      </c>
      <c r="E15" t="inlineStr">
        <is>
          <t>Travel</t>
        </is>
      </c>
      <c r="F15" s="5" t="n">
        <v>7290</v>
      </c>
      <c r="G15" t="inlineStr">
        <is>
          <t>Approved</t>
        </is>
      </c>
    </row>
    <row r="16">
      <c r="A16" t="inlineStr">
        <is>
          <t>EXP-2625</t>
        </is>
      </c>
      <c r="B16" s="4" t="n">
        <v>46310</v>
      </c>
      <c r="C16" t="inlineStr">
        <is>
          <t>Divya Menon</t>
        </is>
      </c>
      <c r="D16" t="inlineStr">
        <is>
          <t>Marketing</t>
        </is>
      </c>
      <c r="E16" t="inlineStr">
        <is>
          <t>Hotel</t>
        </is>
      </c>
      <c r="F16" s="5" t="n">
        <v>11450</v>
      </c>
      <c r="G1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3" customWidth="1" min="4" max="4"/>
    <col width="16" customWidth="1" min="5" max="5"/>
    <col width="11" customWidth="1" min="6" max="6"/>
    <col width="11" customWidth="1" min="7" max="7"/>
    <col width="48" customWidth="1" min="9" max="9"/>
  </cols>
  <sheetData>
    <row r="1">
      <c r="A1" s="2" t="inlineStr">
        <is>
          <t>Claim ID</t>
        </is>
      </c>
      <c r="B1" s="2" t="inlineStr">
        <is>
          <t>Date</t>
        </is>
      </c>
      <c r="C1" s="2" t="inlineStr">
        <is>
          <t>Employee</t>
        </is>
      </c>
      <c r="D1" s="2" t="inlineStr">
        <is>
          <t>Department</t>
        </is>
      </c>
      <c r="E1" s="2" t="inlineStr">
        <is>
          <t>Category</t>
        </is>
      </c>
      <c r="F1" s="2" t="inlineStr">
        <is>
          <t>Amount</t>
        </is>
      </c>
      <c r="G1" s="2" t="inlineStr">
        <is>
          <t>Status</t>
        </is>
      </c>
      <c r="I1" s="3" t="inlineStr">
        <is>
          <t>Finished state</t>
        </is>
      </c>
    </row>
    <row r="2">
      <c r="A2" t="inlineStr">
        <is>
          <t>EXP-2611</t>
        </is>
      </c>
      <c r="B2" s="4" t="n">
        <v>46296</v>
      </c>
      <c r="C2" t="inlineStr">
        <is>
          <t>Pooja Reddy</t>
        </is>
      </c>
      <c r="D2" t="inlineStr">
        <is>
          <t>Finance</t>
        </is>
      </c>
      <c r="E2" t="inlineStr">
        <is>
          <t>Travel</t>
        </is>
      </c>
      <c r="F2" s="5" t="n">
        <v>6130</v>
      </c>
      <c r="G2" t="inlineStr">
        <is>
          <t>Pending</t>
        </is>
      </c>
      <c r="I2" s="6" t="inlineStr">
        <is>
          <t>F5: resolved comment thread (question + reply)</t>
        </is>
      </c>
    </row>
    <row r="3">
      <c r="A3" t="inlineStr">
        <is>
          <t>EXP-2612</t>
        </is>
      </c>
      <c r="B3" s="4" t="n">
        <v>46297</v>
      </c>
      <c r="C3" t="inlineStr">
        <is>
          <t>Divya Menon</t>
        </is>
      </c>
      <c r="D3" t="inlineStr">
        <is>
          <t>Marketing</t>
        </is>
      </c>
      <c r="E3" t="inlineStr">
        <is>
          <t>Client gifts</t>
        </is>
      </c>
      <c r="F3" s="5" t="n">
        <v>3720</v>
      </c>
      <c r="G3" t="inlineStr">
        <is>
          <t>Approved</t>
        </is>
      </c>
      <c r="I3" s="6" t="inlineStr">
        <is>
          <t>F9: note about parking charges</t>
        </is>
      </c>
    </row>
    <row r="4">
      <c r="A4" t="inlineStr">
        <is>
          <t>EXP-2613</t>
        </is>
      </c>
      <c r="B4" s="4" t="n">
        <v>46298</v>
      </c>
      <c r="C4" t="inlineStr">
        <is>
          <t>Rahul Mehta</t>
        </is>
      </c>
      <c r="D4" t="inlineStr">
        <is>
          <t>Sales</t>
        </is>
      </c>
      <c r="E4" t="inlineStr">
        <is>
          <t>Client gifts</t>
        </is>
      </c>
      <c r="F4" s="5" t="n">
        <v>4260</v>
      </c>
      <c r="G4" t="inlineStr">
        <is>
          <t>Pending</t>
        </is>
      </c>
      <c r="I4" s="6" t="inlineStr">
        <is>
          <t>G5: Approved</t>
        </is>
      </c>
    </row>
    <row r="5">
      <c r="A5" t="inlineStr">
        <is>
          <t>EXP-2614</t>
        </is>
      </c>
      <c r="B5" s="4" t="n">
        <v>46299</v>
      </c>
      <c r="C5" t="inlineStr">
        <is>
          <t>Karan Malhotra</t>
        </is>
      </c>
      <c r="D5" t="inlineStr">
        <is>
          <t>Sales</t>
        </is>
      </c>
      <c r="E5" t="inlineStr">
        <is>
          <t>Hotel</t>
        </is>
      </c>
      <c r="F5" s="5" t="n">
        <v>18600</v>
      </c>
      <c r="G5" t="inlineStr">
        <is>
          <t>Approved</t>
        </is>
      </c>
      <c r="I5" s="6" t="inlineStr">
        <is>
          <t>File shared as a view-only link</t>
        </is>
      </c>
    </row>
    <row r="6">
      <c r="A6" t="inlineStr">
        <is>
          <t>EXP-2615</t>
        </is>
      </c>
      <c r="B6" s="4" t="n">
        <v>46300</v>
      </c>
      <c r="C6" t="inlineStr">
        <is>
          <t>Divya Menon</t>
        </is>
      </c>
      <c r="D6" t="inlineStr">
        <is>
          <t>Marketing</t>
        </is>
      </c>
      <c r="E6" t="inlineStr">
        <is>
          <t>Travel</t>
        </is>
      </c>
      <c r="F6" s="5" t="n">
        <v>5840</v>
      </c>
      <c r="G6" t="inlineStr">
        <is>
          <t>Approved</t>
        </is>
      </c>
    </row>
    <row r="7">
      <c r="A7" t="inlineStr">
        <is>
          <t>EXP-2616</t>
        </is>
      </c>
      <c r="B7" s="4" t="n">
        <v>46301</v>
      </c>
      <c r="C7" t="inlineStr">
        <is>
          <t>Fatima Shaikh</t>
        </is>
      </c>
      <c r="D7" t="inlineStr">
        <is>
          <t>HR</t>
        </is>
      </c>
      <c r="E7" t="inlineStr">
        <is>
          <t>Meals</t>
        </is>
      </c>
      <c r="F7" s="5" t="n">
        <v>590</v>
      </c>
      <c r="G7" t="inlineStr">
        <is>
          <t>Approved</t>
        </is>
      </c>
    </row>
    <row r="8">
      <c r="A8" t="inlineStr">
        <is>
          <t>EXP-2617</t>
        </is>
      </c>
      <c r="B8" s="4" t="n">
        <v>46302</v>
      </c>
      <c r="C8" t="inlineStr">
        <is>
          <t>Arjun Nair</t>
        </is>
      </c>
      <c r="D8" t="inlineStr">
        <is>
          <t>Sales</t>
        </is>
      </c>
      <c r="E8" t="inlineStr">
        <is>
          <t>Travel</t>
        </is>
      </c>
      <c r="F8" s="5" t="n">
        <v>8700</v>
      </c>
      <c r="G8" t="inlineStr">
        <is>
          <t>Approved</t>
        </is>
      </c>
    </row>
    <row r="9">
      <c r="A9" t="inlineStr">
        <is>
          <t>EXP-2618</t>
        </is>
      </c>
      <c r="B9" s="4" t="n">
        <v>46303</v>
      </c>
      <c r="C9" t="inlineStr">
        <is>
          <t>Sneha Kulkarni</t>
        </is>
      </c>
      <c r="D9" t="inlineStr">
        <is>
          <t>Marketing</t>
        </is>
      </c>
      <c r="E9" t="inlineStr">
        <is>
          <t>Client gifts</t>
        </is>
      </c>
      <c r="F9" s="5" t="n">
        <v>870</v>
      </c>
      <c r="G9" t="inlineStr">
        <is>
          <t>Approved</t>
        </is>
      </c>
    </row>
    <row r="10">
      <c r="A10" t="inlineStr">
        <is>
          <t>EXP-2619</t>
        </is>
      </c>
      <c r="B10" s="4" t="n">
        <v>46304</v>
      </c>
      <c r="C10" t="inlineStr">
        <is>
          <t>Vikram Singh</t>
        </is>
      </c>
      <c r="D10" t="inlineStr">
        <is>
          <t>Operations</t>
        </is>
      </c>
      <c r="E10" t="inlineStr">
        <is>
          <t>Travel</t>
        </is>
      </c>
      <c r="F10" s="5" t="n">
        <v>4870</v>
      </c>
      <c r="G10" t="inlineStr">
        <is>
          <t>Approved</t>
        </is>
      </c>
    </row>
    <row r="11">
      <c r="A11" t="inlineStr">
        <is>
          <t>EXP-2620</t>
        </is>
      </c>
      <c r="B11" s="4" t="n">
        <v>46305</v>
      </c>
      <c r="C11" t="inlineStr">
        <is>
          <t>Divya Menon</t>
        </is>
      </c>
      <c r="D11" t="inlineStr">
        <is>
          <t>Marketing</t>
        </is>
      </c>
      <c r="E11" t="inlineStr">
        <is>
          <t>Travel</t>
        </is>
      </c>
      <c r="F11" s="5" t="n">
        <v>4880</v>
      </c>
      <c r="G11" t="inlineStr">
        <is>
          <t>Approved</t>
        </is>
      </c>
    </row>
    <row r="12">
      <c r="A12" t="inlineStr">
        <is>
          <t>EXP-2621</t>
        </is>
      </c>
      <c r="B12" s="4" t="n">
        <v>46306</v>
      </c>
      <c r="C12" t="inlineStr">
        <is>
          <t>Fatima Shaikh</t>
        </is>
      </c>
      <c r="D12" t="inlineStr">
        <is>
          <t>HR</t>
        </is>
      </c>
      <c r="E12" t="inlineStr">
        <is>
          <t>Travel</t>
        </is>
      </c>
      <c r="F12" s="5" t="n">
        <v>3970</v>
      </c>
      <c r="G12" t="inlineStr">
        <is>
          <t>Pending</t>
        </is>
      </c>
    </row>
    <row r="13">
      <c r="A13" t="inlineStr">
        <is>
          <t>EXP-2622</t>
        </is>
      </c>
      <c r="B13" s="4" t="n">
        <v>46307</v>
      </c>
      <c r="C13" t="inlineStr">
        <is>
          <t>Rahul Mehta</t>
        </is>
      </c>
      <c r="D13" t="inlineStr">
        <is>
          <t>Sales</t>
        </is>
      </c>
      <c r="E13" t="inlineStr">
        <is>
          <t>Local conveyance</t>
        </is>
      </c>
      <c r="F13" s="5" t="n">
        <v>260</v>
      </c>
      <c r="G13" t="inlineStr">
        <is>
          <t>Pending</t>
        </is>
      </c>
    </row>
    <row r="14">
      <c r="A14" t="inlineStr">
        <is>
          <t>EXP-2623</t>
        </is>
      </c>
      <c r="B14" s="4" t="n">
        <v>46308</v>
      </c>
      <c r="C14" t="inlineStr">
        <is>
          <t>Arjun Nair</t>
        </is>
      </c>
      <c r="D14" t="inlineStr">
        <is>
          <t>Sales</t>
        </is>
      </c>
      <c r="E14" t="inlineStr">
        <is>
          <t>Hotel</t>
        </is>
      </c>
      <c r="F14" s="5" t="n">
        <v>3500</v>
      </c>
      <c r="G14" t="inlineStr">
        <is>
          <t>Pending</t>
        </is>
      </c>
    </row>
    <row r="15">
      <c r="A15" t="inlineStr">
        <is>
          <t>EXP-2624</t>
        </is>
      </c>
      <c r="B15" s="4" t="n">
        <v>46309</v>
      </c>
      <c r="C15" t="inlineStr">
        <is>
          <t>Rahul Mehta</t>
        </is>
      </c>
      <c r="D15" t="inlineStr">
        <is>
          <t>Sales</t>
        </is>
      </c>
      <c r="E15" t="inlineStr">
        <is>
          <t>Travel</t>
        </is>
      </c>
      <c r="F15" s="5" t="n">
        <v>7290</v>
      </c>
      <c r="G15" t="inlineStr">
        <is>
          <t>Approved</t>
        </is>
      </c>
    </row>
    <row r="16">
      <c r="A16" t="inlineStr">
        <is>
          <t>EXP-2625</t>
        </is>
      </c>
      <c r="B16" s="4" t="n">
        <v>46310</v>
      </c>
      <c r="C16" t="inlineStr">
        <is>
          <t>Divya Menon</t>
        </is>
      </c>
      <c r="D16" t="inlineStr">
        <is>
          <t>Marketing</t>
        </is>
      </c>
      <c r="E16" t="inlineStr">
        <is>
          <t>Hotel</t>
        </is>
      </c>
      <c r="F16" s="5" t="n">
        <v>11450</v>
      </c>
      <c r="G16" t="inlineStr">
        <is>
          <t>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9" customWidth="1" min="3" max="3"/>
    <col width="13" customWidth="1" min="4" max="4"/>
    <col width="48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Month</t>
        </is>
      </c>
      <c r="D1" s="2" t="inlineStr">
        <is>
          <t>Sales</t>
        </is>
      </c>
      <c r="F1" s="3" t="inlineStr">
        <is>
          <t>Shared Q1 sales tracker</t>
        </is>
      </c>
    </row>
    <row r="2">
      <c r="A2" t="inlineStr">
        <is>
          <t>West</t>
        </is>
      </c>
      <c r="B2" t="inlineStr">
        <is>
          <t>Rohan Patil</t>
        </is>
      </c>
      <c r="C2" t="inlineStr">
        <is>
          <t>May-26</t>
        </is>
      </c>
      <c r="D2" s="5" t="n">
        <v>230000</v>
      </c>
      <c r="F2" s="6" t="inlineStr">
        <is>
          <t>Create a Sheet View, filter Region = South, then Exit.</t>
        </is>
      </c>
    </row>
    <row r="3">
      <c r="A3" t="inlineStr">
        <is>
          <t>East</t>
        </is>
      </c>
      <c r="B3" t="inlineStr">
        <is>
          <t>Sourav Das</t>
        </is>
      </c>
      <c r="C3" t="inlineStr">
        <is>
          <t>Jun-26</t>
        </is>
      </c>
      <c r="D3" s="5" t="n">
        <v>460000</v>
      </c>
      <c r="F3" s="6" t="inlineStr">
        <is>
          <t>Colleagues keep seeing all 24 rows in the Default view.</t>
        </is>
      </c>
    </row>
    <row r="4">
      <c r="A4" t="inlineStr">
        <is>
          <t>West</t>
        </is>
      </c>
      <c r="B4" t="inlineStr">
        <is>
          <t>Rohan Patil</t>
        </is>
      </c>
      <c r="C4" t="inlineStr">
        <is>
          <t>Apr-26</t>
        </is>
      </c>
      <c r="D4" s="5" t="n">
        <v>470000</v>
      </c>
    </row>
    <row r="5">
      <c r="A5" t="inlineStr">
        <is>
          <t>East</t>
        </is>
      </c>
      <c r="B5" t="inlineStr">
        <is>
          <t>Priyanka Bose</t>
        </is>
      </c>
      <c r="C5" t="inlineStr">
        <is>
          <t>Jun-26</t>
        </is>
      </c>
      <c r="D5" s="5" t="n">
        <v>260000</v>
      </c>
    </row>
    <row r="6">
      <c r="A6" t="inlineStr">
        <is>
          <t>South</t>
        </is>
      </c>
      <c r="B6" t="inlineStr">
        <is>
          <t>Karthik Raman</t>
        </is>
      </c>
      <c r="C6" t="inlineStr">
        <is>
          <t>Apr-26</t>
        </is>
      </c>
      <c r="D6" s="5" t="n">
        <v>310000</v>
      </c>
    </row>
    <row r="7">
      <c r="A7" t="inlineStr">
        <is>
          <t>North</t>
        </is>
      </c>
      <c r="B7" t="inlineStr">
        <is>
          <t>Aman Gupta</t>
        </is>
      </c>
      <c r="C7" t="inlineStr">
        <is>
          <t>Jun-26</t>
        </is>
      </c>
      <c r="D7" s="5" t="n">
        <v>560000</v>
      </c>
    </row>
    <row r="8">
      <c r="A8" t="inlineStr">
        <is>
          <t>North</t>
        </is>
      </c>
      <c r="B8" t="inlineStr">
        <is>
          <t>Aman Gupta</t>
        </is>
      </c>
      <c r="C8" t="inlineStr">
        <is>
          <t>May-26</t>
        </is>
      </c>
      <c r="D8" s="5" t="n">
        <v>530000</v>
      </c>
    </row>
    <row r="9">
      <c r="A9" t="inlineStr">
        <is>
          <t>North</t>
        </is>
      </c>
      <c r="B9" t="inlineStr">
        <is>
          <t>Neha Sharma</t>
        </is>
      </c>
      <c r="C9" t="inlineStr">
        <is>
          <t>May-26</t>
        </is>
      </c>
      <c r="D9" s="5" t="n">
        <v>380000</v>
      </c>
    </row>
    <row r="10">
      <c r="A10" t="inlineStr">
        <is>
          <t>West</t>
        </is>
      </c>
      <c r="B10" t="inlineStr">
        <is>
          <t>Rohan Patil</t>
        </is>
      </c>
      <c r="C10" t="inlineStr">
        <is>
          <t>Jun-26</t>
        </is>
      </c>
      <c r="D10" s="5" t="n">
        <v>210000</v>
      </c>
    </row>
    <row r="11">
      <c r="A11" t="inlineStr">
        <is>
          <t>North</t>
        </is>
      </c>
      <c r="B11" t="inlineStr">
        <is>
          <t>Neha Sharma</t>
        </is>
      </c>
      <c r="C11" t="inlineStr">
        <is>
          <t>Apr-26</t>
        </is>
      </c>
      <c r="D11" s="5" t="n">
        <v>560000</v>
      </c>
    </row>
    <row r="12">
      <c r="A12" t="inlineStr">
        <is>
          <t>West</t>
        </is>
      </c>
      <c r="B12" t="inlineStr">
        <is>
          <t>Meera Shah</t>
        </is>
      </c>
      <c r="C12" t="inlineStr">
        <is>
          <t>Apr-26</t>
        </is>
      </c>
      <c r="D12" s="5" t="n">
        <v>570000</v>
      </c>
    </row>
    <row r="13">
      <c r="A13" t="inlineStr">
        <is>
          <t>South</t>
        </is>
      </c>
      <c r="B13" t="inlineStr">
        <is>
          <t>Karthik Raman</t>
        </is>
      </c>
      <c r="C13" t="inlineStr">
        <is>
          <t>Jun-26</t>
        </is>
      </c>
      <c r="D13" s="5" t="n">
        <v>580000</v>
      </c>
    </row>
    <row r="14">
      <c r="A14" t="inlineStr">
        <is>
          <t>North</t>
        </is>
      </c>
      <c r="B14" t="inlineStr">
        <is>
          <t>Neha Sharma</t>
        </is>
      </c>
      <c r="C14" t="inlineStr">
        <is>
          <t>Jun-26</t>
        </is>
      </c>
      <c r="D14" s="5" t="n">
        <v>540000</v>
      </c>
    </row>
    <row r="15">
      <c r="A15" t="inlineStr">
        <is>
          <t>West</t>
        </is>
      </c>
      <c r="B15" t="inlineStr">
        <is>
          <t>Meera Shah</t>
        </is>
      </c>
      <c r="C15" t="inlineStr">
        <is>
          <t>Jun-26</t>
        </is>
      </c>
      <c r="D15" s="5" t="n">
        <v>440000</v>
      </c>
    </row>
    <row r="16">
      <c r="A16" t="inlineStr">
        <is>
          <t>East</t>
        </is>
      </c>
      <c r="B16" t="inlineStr">
        <is>
          <t>Sourav Das</t>
        </is>
      </c>
      <c r="C16" t="inlineStr">
        <is>
          <t>May-26</t>
        </is>
      </c>
      <c r="D16" s="5" t="n">
        <v>410000</v>
      </c>
    </row>
    <row r="17">
      <c r="A17" t="inlineStr">
        <is>
          <t>South</t>
        </is>
      </c>
      <c r="B17" t="inlineStr">
        <is>
          <t>Karthik Raman</t>
        </is>
      </c>
      <c r="C17" t="inlineStr">
        <is>
          <t>May-26</t>
        </is>
      </c>
      <c r="D17" s="5" t="n">
        <v>250000</v>
      </c>
    </row>
    <row r="18">
      <c r="A18" t="inlineStr">
        <is>
          <t>North</t>
        </is>
      </c>
      <c r="B18" t="inlineStr">
        <is>
          <t>Aman Gupta</t>
        </is>
      </c>
      <c r="C18" t="inlineStr">
        <is>
          <t>Apr-26</t>
        </is>
      </c>
      <c r="D18" s="5" t="n">
        <v>630000</v>
      </c>
    </row>
    <row r="19">
      <c r="A19" t="inlineStr">
        <is>
          <t>South</t>
        </is>
      </c>
      <c r="B19" t="inlineStr">
        <is>
          <t>Lakshmi Iyer</t>
        </is>
      </c>
      <c r="C19" t="inlineStr">
        <is>
          <t>May-26</t>
        </is>
      </c>
      <c r="D19" s="5" t="n">
        <v>340000</v>
      </c>
    </row>
    <row r="20">
      <c r="A20" t="inlineStr">
        <is>
          <t>East</t>
        </is>
      </c>
      <c r="B20" t="inlineStr">
        <is>
          <t>Priyanka Bose</t>
        </is>
      </c>
      <c r="C20" t="inlineStr">
        <is>
          <t>May-26</t>
        </is>
      </c>
      <c r="D20" s="5" t="n">
        <v>200000</v>
      </c>
    </row>
    <row r="21">
      <c r="A21" t="inlineStr">
        <is>
          <t>South</t>
        </is>
      </c>
      <c r="B21" t="inlineStr">
        <is>
          <t>Lakshmi Iyer</t>
        </is>
      </c>
      <c r="C21" t="inlineStr">
        <is>
          <t>Jun-26</t>
        </is>
      </c>
      <c r="D21" s="5" t="n">
        <v>220000</v>
      </c>
    </row>
    <row r="22">
      <c r="A22" t="inlineStr">
        <is>
          <t>East</t>
        </is>
      </c>
      <c r="B22" t="inlineStr">
        <is>
          <t>Sourav Das</t>
        </is>
      </c>
      <c r="C22" t="inlineStr">
        <is>
          <t>Apr-26</t>
        </is>
      </c>
      <c r="D22" s="5" t="n">
        <v>350000</v>
      </c>
    </row>
    <row r="23">
      <c r="A23" t="inlineStr">
        <is>
          <t>East</t>
        </is>
      </c>
      <c r="B23" t="inlineStr">
        <is>
          <t>Priyanka Bose</t>
        </is>
      </c>
      <c r="C23" t="inlineStr">
        <is>
          <t>Apr-26</t>
        </is>
      </c>
      <c r="D23" s="5" t="n">
        <v>620000</v>
      </c>
    </row>
    <row r="24">
      <c r="A24" t="inlineStr">
        <is>
          <t>South</t>
        </is>
      </c>
      <c r="B24" t="inlineStr">
        <is>
          <t>Lakshmi Iyer</t>
        </is>
      </c>
      <c r="C24" t="inlineStr">
        <is>
          <t>Apr-26</t>
        </is>
      </c>
      <c r="D24" s="5" t="n">
        <v>500000</v>
      </c>
    </row>
    <row r="25">
      <c r="A25" t="inlineStr">
        <is>
          <t>West</t>
        </is>
      </c>
      <c r="B25" t="inlineStr">
        <is>
          <t>Meera Shah</t>
        </is>
      </c>
      <c r="C25" t="inlineStr">
        <is>
          <t>May-26</t>
        </is>
      </c>
      <c r="D25" s="5" t="n">
        <v>330000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9" customWidth="1" min="3" max="3"/>
    <col width="13" customWidth="1" min="4" max="4"/>
    <col width="48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Month</t>
        </is>
      </c>
      <c r="D1" s="2" t="inlineStr">
        <is>
          <t>Sales</t>
        </is>
      </c>
      <c r="F1" s="3" t="inlineStr">
        <is>
          <t>What your Sheet View shows: South only (6 rows)</t>
        </is>
      </c>
    </row>
    <row r="2">
      <c r="A2" t="inlineStr">
        <is>
          <t>South</t>
        </is>
      </c>
      <c r="B2" t="inlineStr">
        <is>
          <t>Karthik Raman</t>
        </is>
      </c>
      <c r="C2" t="inlineStr">
        <is>
          <t>Apr-26</t>
        </is>
      </c>
      <c r="D2" s="5" t="n">
        <v>310000</v>
      </c>
      <c r="F2" s="6" t="inlineStr">
        <is>
          <t>South total ₹22,00,000</t>
        </is>
      </c>
    </row>
    <row r="3">
      <c r="A3" t="inlineStr">
        <is>
          <t>South</t>
        </is>
      </c>
      <c r="B3" t="inlineStr">
        <is>
          <t>Karthik Raman</t>
        </is>
      </c>
      <c r="C3" t="inlineStr">
        <is>
          <t>Jun-26</t>
        </is>
      </c>
      <c r="D3" s="5" t="n">
        <v>580000</v>
      </c>
      <c r="F3" s="6" t="inlineStr">
        <is>
          <t>The Default view is unchanged for everyone else.</t>
        </is>
      </c>
    </row>
    <row r="4">
      <c r="A4" t="inlineStr">
        <is>
          <t>South</t>
        </is>
      </c>
      <c r="B4" t="inlineStr">
        <is>
          <t>Karthik Raman</t>
        </is>
      </c>
      <c r="C4" t="inlineStr">
        <is>
          <t>May-26</t>
        </is>
      </c>
      <c r="D4" s="5" t="n">
        <v>250000</v>
      </c>
    </row>
    <row r="5">
      <c r="A5" t="inlineStr">
        <is>
          <t>South</t>
        </is>
      </c>
      <c r="B5" t="inlineStr">
        <is>
          <t>Lakshmi Iyer</t>
        </is>
      </c>
      <c r="C5" t="inlineStr">
        <is>
          <t>May-26</t>
        </is>
      </c>
      <c r="D5" s="5" t="n">
        <v>340000</v>
      </c>
    </row>
    <row r="6">
      <c r="A6" t="inlineStr">
        <is>
          <t>South</t>
        </is>
      </c>
      <c r="B6" t="inlineStr">
        <is>
          <t>Lakshmi Iyer</t>
        </is>
      </c>
      <c r="C6" t="inlineStr">
        <is>
          <t>Jun-26</t>
        </is>
      </c>
      <c r="D6" s="5" t="n">
        <v>220000</v>
      </c>
    </row>
    <row r="7">
      <c r="A7" t="inlineStr">
        <is>
          <t>South</t>
        </is>
      </c>
      <c r="B7" t="inlineStr">
        <is>
          <t>Lakshmi Iyer</t>
        </is>
      </c>
      <c r="C7" t="inlineStr">
        <is>
          <t>Apr-26</t>
        </is>
      </c>
      <c r="D7" s="5" t="n">
        <v>500000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12" customWidth="1" min="3" max="3"/>
    <col width="12" customWidth="1" min="4" max="4"/>
    <col width="12" customWidth="1" min="5" max="5"/>
    <col width="13" customWidth="1" min="6" max="6"/>
    <col width="48" customWidth="1" min="8" max="8"/>
  </cols>
  <sheetData>
    <row r="1">
      <c r="A1" s="7" t="inlineStr">
        <is>
          <t>Department budget request: FY 2026-27</t>
        </is>
      </c>
      <c r="H1" s="3" t="inlineStr">
        <is>
          <t>Protect this form</t>
        </is>
      </c>
    </row>
    <row r="2">
      <c r="H2" s="6" t="inlineStr">
        <is>
          <t>Unlock B3:B4 and A7:C11 (yellow), hide formulas in D7:F12,</t>
        </is>
      </c>
    </row>
    <row r="3">
      <c r="A3" s="8" t="inlineStr">
        <is>
          <t>Department</t>
        </is>
      </c>
      <c r="B3" s="9" t="inlineStr">
        <is>
          <t>Marketing</t>
        </is>
      </c>
      <c r="H3" s="6" t="inlineStr">
        <is>
          <t>protect the sheet, then protect the workbook structure.</t>
        </is>
      </c>
    </row>
    <row r="4">
      <c r="A4" s="8" t="inlineStr">
        <is>
          <t>Requested by</t>
        </is>
      </c>
      <c r="B4" s="9" t="inlineStr">
        <is>
          <t>Ananya Iyer</t>
        </is>
      </c>
    </row>
    <row r="6">
      <c r="A6" s="2" t="inlineStr">
        <is>
          <t>Item</t>
        </is>
      </c>
      <c r="B6" s="2" t="inlineStr">
        <is>
          <t>Qty</t>
        </is>
      </c>
      <c r="C6" s="2" t="inlineStr">
        <is>
          <t>Unit cost</t>
        </is>
      </c>
      <c r="D6" s="2" t="inlineStr">
        <is>
          <t>Amount</t>
        </is>
      </c>
      <c r="E6" s="2" t="inlineStr">
        <is>
          <t>GST 18%</t>
        </is>
      </c>
      <c r="F6" s="2" t="inlineStr">
        <is>
          <t>Total</t>
        </is>
      </c>
    </row>
    <row r="7">
      <c r="A7" s="9" t="inlineStr">
        <is>
          <t>Google Ads campaign</t>
        </is>
      </c>
      <c r="B7" s="10" t="n">
        <v>1</v>
      </c>
      <c r="C7" s="11" t="n">
        <v>120000</v>
      </c>
      <c r="D7" s="5">
        <f>B7*C7</f>
        <v/>
      </c>
      <c r="E7" s="5">
        <f>D7*18%</f>
        <v/>
      </c>
      <c r="F7" s="5">
        <f>D7+E7</f>
        <v/>
      </c>
    </row>
    <row r="8">
      <c r="A8" s="9" t="inlineStr">
        <is>
          <t>Trade show booth, Pragati Maidan</t>
        </is>
      </c>
      <c r="B8" s="10" t="n">
        <v>1</v>
      </c>
      <c r="C8" s="11" t="n">
        <v>85000</v>
      </c>
      <c r="D8" s="5">
        <f>B8*C8</f>
        <v/>
      </c>
      <c r="E8" s="5">
        <f>D8*18%</f>
        <v/>
      </c>
      <c r="F8" s="5">
        <f>D8+E8</f>
        <v/>
      </c>
    </row>
    <row r="9">
      <c r="A9" s="9" t="inlineStr">
        <is>
          <t>Printed brochures (1,000)</t>
        </is>
      </c>
      <c r="B9" s="10" t="n">
        <v>2</v>
      </c>
      <c r="C9" s="11" t="n">
        <v>9500</v>
      </c>
      <c r="D9" s="5">
        <f>B9*C9</f>
        <v/>
      </c>
      <c r="E9" s="5">
        <f>D9*18%</f>
        <v/>
      </c>
      <c r="F9" s="5">
        <f>D9+E9</f>
        <v/>
      </c>
    </row>
    <row r="10">
      <c r="A10" s="9" t="inlineStr">
        <is>
          <t>Product photo shoot</t>
        </is>
      </c>
      <c r="B10" s="10" t="n">
        <v>1</v>
      </c>
      <c r="C10" s="11" t="n">
        <v>42000</v>
      </c>
      <c r="D10" s="5">
        <f>B10*C10</f>
        <v/>
      </c>
      <c r="E10" s="5">
        <f>D10*18%</f>
        <v/>
      </c>
      <c r="F10" s="5">
        <f>D10+E10</f>
        <v/>
      </c>
    </row>
    <row r="11">
      <c r="A11" s="9" t="inlineStr">
        <is>
          <t>LinkedIn premium seats</t>
        </is>
      </c>
      <c r="B11" s="10" t="n">
        <v>4</v>
      </c>
      <c r="C11" s="11" t="n">
        <v>3200</v>
      </c>
      <c r="D11" s="5">
        <f>B11*C11</f>
        <v/>
      </c>
      <c r="E11" s="5">
        <f>D11*18%</f>
        <v/>
      </c>
      <c r="F11" s="5">
        <f>D11+E11</f>
        <v/>
      </c>
    </row>
    <row r="12">
      <c r="A12" s="8" t="inlineStr">
        <is>
          <t>Total</t>
        </is>
      </c>
      <c r="F12" s="12">
        <f>SUM(F7:F11)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12" customWidth="1" min="3" max="3"/>
    <col width="12" customWidth="1" min="4" max="4"/>
    <col width="12" customWidth="1" min="5" max="5"/>
    <col width="13" customWidth="1" min="6" max="6"/>
    <col width="48" customWidth="1" min="8" max="8"/>
  </cols>
  <sheetData>
    <row r="1">
      <c r="A1" s="7" t="inlineStr">
        <is>
          <t>Department budget request: FY 2026-27</t>
        </is>
      </c>
      <c r="H1" s="3" t="inlineStr">
        <is>
          <t>This sheet is protected (no password)</t>
        </is>
      </c>
    </row>
    <row r="2">
      <c r="H2" s="6" t="inlineStr">
        <is>
          <t>Yellow cells are unlocked; formulas in D:F are hidden.</t>
        </is>
      </c>
    </row>
    <row r="3">
      <c r="A3" s="8" t="inlineStr">
        <is>
          <t>Department</t>
        </is>
      </c>
      <c r="B3" s="13" t="inlineStr">
        <is>
          <t>Marketing</t>
        </is>
      </c>
      <c r="H3" s="6" t="inlineStr">
        <is>
          <t>Challenge answer: allow 'Format columns' in Protect Sheet so users can widen columns.</t>
        </is>
      </c>
    </row>
    <row r="4">
      <c r="A4" s="8" t="inlineStr">
        <is>
          <t>Requested by</t>
        </is>
      </c>
      <c r="B4" s="13" t="inlineStr">
        <is>
          <t>Ananya Iyer</t>
        </is>
      </c>
    </row>
    <row r="6">
      <c r="A6" s="2" t="inlineStr">
        <is>
          <t>Item</t>
        </is>
      </c>
      <c r="B6" s="2" t="inlineStr">
        <is>
          <t>Qty</t>
        </is>
      </c>
      <c r="C6" s="2" t="inlineStr">
        <is>
          <t>Unit cost</t>
        </is>
      </c>
      <c r="D6" s="2" t="inlineStr">
        <is>
          <t>Amount</t>
        </is>
      </c>
      <c r="E6" s="2" t="inlineStr">
        <is>
          <t>GST 18%</t>
        </is>
      </c>
      <c r="F6" s="2" t="inlineStr">
        <is>
          <t>Total</t>
        </is>
      </c>
    </row>
    <row r="7">
      <c r="A7" s="13" t="inlineStr">
        <is>
          <t>Google Ads campaign</t>
        </is>
      </c>
      <c r="B7" s="14" t="n">
        <v>1</v>
      </c>
      <c r="C7" s="15" t="n">
        <v>120000</v>
      </c>
      <c r="D7" s="16">
        <f>B7*C7</f>
        <v/>
      </c>
      <c r="E7" s="16">
        <f>D7*18%</f>
        <v/>
      </c>
      <c r="F7" s="16">
        <f>D7+E7</f>
        <v/>
      </c>
    </row>
    <row r="8">
      <c r="A8" s="13" t="inlineStr">
        <is>
          <t>Trade show booth, Pragati Maidan</t>
        </is>
      </c>
      <c r="B8" s="14" t="n">
        <v>1</v>
      </c>
      <c r="C8" s="15" t="n">
        <v>85000</v>
      </c>
      <c r="D8" s="16">
        <f>B8*C8</f>
        <v/>
      </c>
      <c r="E8" s="16">
        <f>D8*18%</f>
        <v/>
      </c>
      <c r="F8" s="16">
        <f>D8+E8</f>
        <v/>
      </c>
    </row>
    <row r="9">
      <c r="A9" s="13" t="inlineStr">
        <is>
          <t>Printed brochures (1,000)</t>
        </is>
      </c>
      <c r="B9" s="14" t="n">
        <v>2</v>
      </c>
      <c r="C9" s="15" t="n">
        <v>8000</v>
      </c>
      <c r="D9" s="16">
        <f>B9*C9</f>
        <v/>
      </c>
      <c r="E9" s="16">
        <f>D9*18%</f>
        <v/>
      </c>
      <c r="F9" s="16">
        <f>D9+E9</f>
        <v/>
      </c>
    </row>
    <row r="10">
      <c r="A10" s="13" t="inlineStr">
        <is>
          <t>Product photo shoot</t>
        </is>
      </c>
      <c r="B10" s="14" t="n">
        <v>1</v>
      </c>
      <c r="C10" s="15" t="n">
        <v>42000</v>
      </c>
      <c r="D10" s="16">
        <f>B10*C10</f>
        <v/>
      </c>
      <c r="E10" s="16">
        <f>D10*18%</f>
        <v/>
      </c>
      <c r="F10" s="16">
        <f>D10+E10</f>
        <v/>
      </c>
    </row>
    <row r="11">
      <c r="A11" s="13" t="inlineStr">
        <is>
          <t>LinkedIn premium seats</t>
        </is>
      </c>
      <c r="B11" s="14" t="n">
        <v>4</v>
      </c>
      <c r="C11" s="15" t="n">
        <v>3200</v>
      </c>
      <c r="D11" s="16">
        <f>B11*C11</f>
        <v/>
      </c>
      <c r="E11" s="16">
        <f>D11*18%</f>
        <v/>
      </c>
      <c r="F11" s="16">
        <f>D11+E11</f>
        <v/>
      </c>
    </row>
    <row r="12">
      <c r="A12" s="8" t="inlineStr">
        <is>
          <t>Total</t>
        </is>
      </c>
      <c r="D12" s="17" t="n"/>
      <c r="E12" s="17" t="n"/>
      <c r="F12" s="18">
        <f>SUM(F7:F11)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0" customWidth="1" min="3" max="3"/>
    <col width="12" customWidth="1" min="4" max="4"/>
    <col width="16" customWidth="1" min="5" max="5"/>
    <col width="18" customWidth="1" min="6" max="6"/>
    <col width="14" customWidth="1" min="7" max="7"/>
    <col width="12" customWidth="1" min="8" max="8"/>
    <col width="14" customWidth="1" min="9" max="9"/>
  </cols>
  <sheetData>
    <row r="1">
      <c r="A1" s="2" t="inlineStr">
        <is>
          <t>Invoice No</t>
        </is>
      </c>
      <c r="B1" s="2" t="inlineStr">
        <is>
          <t>Date</t>
        </is>
      </c>
      <c r="C1" s="2" t="inlineStr">
        <is>
          <t>Customer</t>
        </is>
      </c>
      <c r="D1" s="2" t="inlineStr">
        <is>
          <t>City</t>
        </is>
      </c>
      <c r="E1" s="2" t="inlineStr">
        <is>
          <t>State</t>
        </is>
      </c>
      <c r="F1" s="2" t="inlineStr">
        <is>
          <t>GSTIN</t>
        </is>
      </c>
      <c r="G1" s="2" t="inlineStr">
        <is>
          <t>Taxable Value</t>
        </is>
      </c>
      <c r="H1" s="2" t="inlineStr">
        <is>
          <t>GST</t>
        </is>
      </c>
      <c r="I1" s="2" t="inlineStr">
        <is>
          <t>Invoice Total</t>
        </is>
      </c>
    </row>
    <row r="2">
      <c r="A2" t="inlineStr">
        <is>
          <t>SGT/26-27/0101</t>
        </is>
      </c>
      <c r="B2" s="4" t="n">
        <v>46113</v>
      </c>
      <c r="C2" t="inlineStr">
        <is>
          <t>Hegde Enterprises</t>
        </is>
      </c>
      <c r="D2" t="inlineStr">
        <is>
          <t>Mangaluru</t>
        </is>
      </c>
      <c r="E2" t="inlineStr">
        <is>
          <t>Karnataka</t>
        </is>
      </c>
      <c r="F2" t="inlineStr">
        <is>
          <t>29NHUUA1106C1Z7</t>
        </is>
      </c>
      <c r="G2" s="5" t="n">
        <v>65000</v>
      </c>
      <c r="H2" s="5" t="n">
        <v>11700</v>
      </c>
      <c r="I2" s="5" t="n">
        <v>76700</v>
      </c>
    </row>
    <row r="3">
      <c r="A3" t="inlineStr">
        <is>
          <t>SGT/26-27/0102</t>
        </is>
      </c>
      <c r="B3" s="4" t="n">
        <v>46115</v>
      </c>
      <c r="C3" t="inlineStr">
        <is>
          <t>Pillai Brothers</t>
        </is>
      </c>
      <c r="D3" t="inlineStr">
        <is>
          <t>Chennai</t>
        </is>
      </c>
      <c r="E3" t="inlineStr">
        <is>
          <t>Tamil Nadu</t>
        </is>
      </c>
      <c r="F3" t="inlineStr">
        <is>
          <t>33FULYB6873Y1Z5</t>
        </is>
      </c>
      <c r="G3" s="5" t="n">
        <v>14200</v>
      </c>
      <c r="H3" s="5" t="n">
        <v>2556</v>
      </c>
      <c r="I3" s="5" t="n">
        <v>16756</v>
      </c>
    </row>
    <row r="4">
      <c r="A4" t="inlineStr">
        <is>
          <t>SGT/26-27/0103</t>
        </is>
      </c>
      <c r="B4" s="4" t="n">
        <v>46117</v>
      </c>
      <c r="C4" t="inlineStr">
        <is>
          <t>Thakkar Sales</t>
        </is>
      </c>
      <c r="D4" t="inlineStr">
        <is>
          <t>Rajkot</t>
        </is>
      </c>
      <c r="E4" t="inlineStr">
        <is>
          <t>Gujarat</t>
        </is>
      </c>
      <c r="F4" t="inlineStr">
        <is>
          <t>24FUUSJ5169R1Z4</t>
        </is>
      </c>
      <c r="G4" s="5" t="n">
        <v>99400</v>
      </c>
      <c r="H4" s="5" t="n">
        <v>17892</v>
      </c>
      <c r="I4" s="5" t="n">
        <v>117292</v>
      </c>
    </row>
    <row r="5">
      <c r="A5" t="inlineStr">
        <is>
          <t>SGT/26-27/0104</t>
        </is>
      </c>
      <c r="B5" s="4" t="n">
        <v>46119</v>
      </c>
      <c r="C5" t="inlineStr">
        <is>
          <t>Hegde Enterprises</t>
        </is>
      </c>
      <c r="D5" t="inlineStr">
        <is>
          <t>Mangaluru</t>
        </is>
      </c>
      <c r="E5" t="inlineStr">
        <is>
          <t>Karnataka</t>
        </is>
      </c>
      <c r="F5" t="inlineStr">
        <is>
          <t>29BAVAP1832L1Z4</t>
        </is>
      </c>
      <c r="G5" s="5" t="n">
        <v>23900</v>
      </c>
      <c r="H5" s="5" t="n">
        <v>4302</v>
      </c>
      <c r="I5" s="5" t="n">
        <v>28202</v>
      </c>
    </row>
    <row r="6">
      <c r="A6" t="inlineStr">
        <is>
          <t>SGT/26-27/0105</t>
        </is>
      </c>
      <c r="B6" s="4" t="n">
        <v>46121</v>
      </c>
      <c r="C6" t="inlineStr">
        <is>
          <t>Saxena Retail</t>
        </is>
      </c>
      <c r="D6" t="inlineStr">
        <is>
          <t>Bhopal</t>
        </is>
      </c>
      <c r="E6" t="inlineStr">
        <is>
          <t>Madhya Pradesh</t>
        </is>
      </c>
      <c r="F6" t="inlineStr">
        <is>
          <t>23RAWVZ9105H1Z7</t>
        </is>
      </c>
      <c r="G6" s="5" t="n">
        <v>37900</v>
      </c>
      <c r="H6" s="5" t="n">
        <v>6822</v>
      </c>
      <c r="I6" s="5" t="n">
        <v>44722</v>
      </c>
    </row>
    <row r="7">
      <c r="A7" t="inlineStr">
        <is>
          <t>SGT/26-27/0106</t>
        </is>
      </c>
      <c r="B7" s="4" t="n">
        <v>46123</v>
      </c>
      <c r="C7" t="inlineStr">
        <is>
          <t>Rao Suppliers</t>
        </is>
      </c>
      <c r="D7" t="inlineStr">
        <is>
          <t>Hyderabad</t>
        </is>
      </c>
      <c r="E7" t="inlineStr">
        <is>
          <t>Telangana</t>
        </is>
      </c>
      <c r="F7" t="inlineStr">
        <is>
          <t>36LHLNY8978U1Z8</t>
        </is>
      </c>
      <c r="G7" s="5" t="n">
        <v>37200</v>
      </c>
      <c r="H7" s="5" t="n">
        <v>6696</v>
      </c>
      <c r="I7" s="5" t="n">
        <v>43896</v>
      </c>
    </row>
    <row r="8">
      <c r="A8" t="inlineStr">
        <is>
          <t>SGT/26-27/0107</t>
        </is>
      </c>
      <c r="B8" s="4" t="n">
        <v>46125</v>
      </c>
      <c r="C8" t="inlineStr">
        <is>
          <t>Bhatia Electronics</t>
        </is>
      </c>
      <c r="D8" t="inlineStr">
        <is>
          <t>Ludhiana</t>
        </is>
      </c>
      <c r="E8" t="inlineStr">
        <is>
          <t>Punjab</t>
        </is>
      </c>
      <c r="F8" t="inlineStr">
        <is>
          <t>03UNJVQ2240K1Z9</t>
        </is>
      </c>
      <c r="G8" s="5" t="n">
        <v>221300</v>
      </c>
      <c r="H8" s="5" t="n">
        <v>39834</v>
      </c>
      <c r="I8" s="5" t="n">
        <v>261134</v>
      </c>
    </row>
    <row r="9">
      <c r="A9" t="inlineStr">
        <is>
          <t>SGT/26-27/0108</t>
        </is>
      </c>
      <c r="B9" s="4" t="n">
        <v>46127</v>
      </c>
      <c r="C9" t="inlineStr">
        <is>
          <t>Wagh Industries</t>
        </is>
      </c>
      <c r="D9" t="inlineStr">
        <is>
          <t>Nagpur</t>
        </is>
      </c>
      <c r="E9" t="inlineStr">
        <is>
          <t>Maharashtra</t>
        </is>
      </c>
      <c r="F9" t="inlineStr">
        <is>
          <t>27NRYEY4927C1Z2</t>
        </is>
      </c>
      <c r="G9" s="5" t="n">
        <v>130000</v>
      </c>
      <c r="H9" s="5" t="n">
        <v>23400</v>
      </c>
      <c r="I9" s="5" t="n">
        <v>153400</v>
      </c>
    </row>
    <row r="10">
      <c r="A10" t="inlineStr">
        <is>
          <t>SGT/26-27/0109</t>
        </is>
      </c>
      <c r="B10" s="4" t="n">
        <v>46129</v>
      </c>
      <c r="C10" t="inlineStr">
        <is>
          <t>Pillai Brothers</t>
        </is>
      </c>
      <c r="D10" t="inlineStr">
        <is>
          <t>Chennai</t>
        </is>
      </c>
      <c r="E10" t="inlineStr">
        <is>
          <t>Tamil Nadu</t>
        </is>
      </c>
      <c r="F10" t="inlineStr">
        <is>
          <t>33AEBGE2378V1Z5</t>
        </is>
      </c>
      <c r="G10" s="5" t="n">
        <v>116600</v>
      </c>
      <c r="H10" s="5" t="n">
        <v>20988</v>
      </c>
      <c r="I10" s="5" t="n">
        <v>137588</v>
      </c>
    </row>
    <row r="11">
      <c r="A11" t="inlineStr">
        <is>
          <t>SGT/26-27/0110</t>
        </is>
      </c>
      <c r="B11" s="4" t="n">
        <v>46131</v>
      </c>
      <c r="C11" t="inlineStr">
        <is>
          <t>Thakkar Sales</t>
        </is>
      </c>
      <c r="D11" t="inlineStr">
        <is>
          <t>Rajkot</t>
        </is>
      </c>
      <c r="E11" t="inlineStr">
        <is>
          <t>Gujarat</t>
        </is>
      </c>
      <c r="F11" t="inlineStr">
        <is>
          <t>24BQQQD4978S1Z4</t>
        </is>
      </c>
      <c r="G11" s="5" t="n">
        <v>137300</v>
      </c>
      <c r="H11" s="5" t="n">
        <v>24714</v>
      </c>
      <c r="I11" s="5" t="n">
        <v>162014</v>
      </c>
    </row>
    <row r="12">
      <c r="A12" t="inlineStr">
        <is>
          <t>SGT/26-27/0111</t>
        </is>
      </c>
      <c r="B12" s="4" t="n">
        <v>46133</v>
      </c>
      <c r="C12" t="inlineStr">
        <is>
          <t>Hegde Enterprises</t>
        </is>
      </c>
      <c r="D12" t="inlineStr">
        <is>
          <t>Mangaluru</t>
        </is>
      </c>
      <c r="E12" t="inlineStr">
        <is>
          <t>Karnataka</t>
        </is>
      </c>
      <c r="F12" t="inlineStr">
        <is>
          <t>29ABCKD9468R1Z8</t>
        </is>
      </c>
      <c r="G12" s="5" t="n">
        <v>222200</v>
      </c>
      <c r="H12" s="5" t="n">
        <v>39996</v>
      </c>
      <c r="I12" s="5" t="n">
        <v>262196</v>
      </c>
    </row>
    <row r="13">
      <c r="A13" t="inlineStr">
        <is>
          <t>SGT/26-27/0112</t>
        </is>
      </c>
      <c r="B13" s="4" t="n">
        <v>46135</v>
      </c>
      <c r="C13" t="inlineStr">
        <is>
          <t>Pillai Brothers</t>
        </is>
      </c>
      <c r="D13" t="inlineStr">
        <is>
          <t>Chennai</t>
        </is>
      </c>
      <c r="E13" t="inlineStr">
        <is>
          <t>Tamil Nadu</t>
        </is>
      </c>
      <c r="F13" t="inlineStr">
        <is>
          <t>33YZRVZ5695Q1Z1</t>
        </is>
      </c>
      <c r="G13" s="5" t="n">
        <v>10900</v>
      </c>
      <c r="H13" s="5" t="n">
        <v>1962</v>
      </c>
      <c r="I13" s="5" t="n">
        <v>12862</v>
      </c>
    </row>
    <row r="14">
      <c r="A14" t="inlineStr">
        <is>
          <t>SGT/26-27/0113</t>
        </is>
      </c>
      <c r="B14" s="4" t="n">
        <v>46137</v>
      </c>
      <c r="C14" t="inlineStr">
        <is>
          <t>Jain Hardware</t>
        </is>
      </c>
      <c r="D14" t="inlineStr">
        <is>
          <t>Indore</t>
        </is>
      </c>
      <c r="E14" t="inlineStr">
        <is>
          <t>Madhya Pradesh</t>
        </is>
      </c>
      <c r="F14" t="inlineStr">
        <is>
          <t>23LWZZS7057K1Z5</t>
        </is>
      </c>
      <c r="G14" s="5" t="n">
        <v>230300</v>
      </c>
      <c r="H14" s="5" t="n">
        <v>41454</v>
      </c>
      <c r="I14" s="5" t="n">
        <v>271754</v>
      </c>
    </row>
    <row r="15">
      <c r="A15" t="inlineStr">
        <is>
          <t>SGT/26-27/0114</t>
        </is>
      </c>
      <c r="B15" s="4" t="n">
        <v>46139</v>
      </c>
      <c r="C15" t="inlineStr">
        <is>
          <t>Jain Hardware</t>
        </is>
      </c>
      <c r="D15" t="inlineStr">
        <is>
          <t>Indore</t>
        </is>
      </c>
      <c r="E15" t="inlineStr">
        <is>
          <t>Madhya Pradesh</t>
        </is>
      </c>
      <c r="F15" t="inlineStr">
        <is>
          <t>23XQBRY1254L1Z5</t>
        </is>
      </c>
      <c r="G15" s="5" t="n">
        <v>38500</v>
      </c>
      <c r="H15" s="5" t="n">
        <v>6930</v>
      </c>
      <c r="I15" s="5" t="n">
        <v>45430</v>
      </c>
    </row>
    <row r="16">
      <c r="A16" t="inlineStr">
        <is>
          <t>SGT/26-27/0115</t>
        </is>
      </c>
      <c r="B16" s="4" t="n">
        <v>46141</v>
      </c>
      <c r="C16" t="inlineStr">
        <is>
          <t>Dutta Stores</t>
        </is>
      </c>
      <c r="D16" t="inlineStr">
        <is>
          <t>Kolkata</t>
        </is>
      </c>
      <c r="E16" t="inlineStr">
        <is>
          <t>West Bengal</t>
        </is>
      </c>
      <c r="F16" t="inlineStr">
        <is>
          <t>19QSWFM2501C1Z8</t>
        </is>
      </c>
      <c r="G16" s="5" t="n">
        <v>82400</v>
      </c>
      <c r="H16" s="5" t="n">
        <v>14832</v>
      </c>
      <c r="I16" s="5" t="n">
        <v>97232</v>
      </c>
    </row>
    <row r="17">
      <c r="A17" t="inlineStr">
        <is>
          <t>SGT/26-27/0116</t>
        </is>
      </c>
      <c r="B17" s="4" t="n">
        <v>46143</v>
      </c>
      <c r="C17" t="inlineStr">
        <is>
          <t>Wagh Industries</t>
        </is>
      </c>
      <c r="D17" t="inlineStr">
        <is>
          <t>Nagpur</t>
        </is>
      </c>
      <c r="E17" t="inlineStr">
        <is>
          <t>Maharashtra</t>
        </is>
      </c>
      <c r="F17" t="inlineStr">
        <is>
          <t>27LPEFF2668B1Z9</t>
        </is>
      </c>
      <c r="G17" s="5" t="n">
        <v>140200</v>
      </c>
      <c r="H17" s="5" t="n">
        <v>25236</v>
      </c>
      <c r="I17" s="5" t="n">
        <v>165436</v>
      </c>
    </row>
    <row r="18">
      <c r="A18" t="inlineStr">
        <is>
          <t>SGT/26-27/0117</t>
        </is>
      </c>
      <c r="B18" s="4" t="n">
        <v>46145</v>
      </c>
      <c r="C18" t="inlineStr">
        <is>
          <t>Naidu Distributors</t>
        </is>
      </c>
      <c r="D18" t="inlineStr">
        <is>
          <t>Vijayawada</t>
        </is>
      </c>
      <c r="E18" t="inlineStr">
        <is>
          <t>Andhra Pradesh</t>
        </is>
      </c>
      <c r="F18" t="inlineStr">
        <is>
          <t>37UPMJU4340U1Z9</t>
        </is>
      </c>
      <c r="G18" s="5" t="n">
        <v>22700</v>
      </c>
      <c r="H18" s="5" t="n">
        <v>4086</v>
      </c>
      <c r="I18" s="5" t="n">
        <v>26786</v>
      </c>
    </row>
    <row r="19">
      <c r="A19" t="inlineStr">
        <is>
          <t>SGT/26-27/0118</t>
        </is>
      </c>
      <c r="B19" s="4" t="n">
        <v>46147</v>
      </c>
      <c r="C19" t="inlineStr">
        <is>
          <t>Jain Hardware</t>
        </is>
      </c>
      <c r="D19" t="inlineStr">
        <is>
          <t>Indore</t>
        </is>
      </c>
      <c r="E19" t="inlineStr">
        <is>
          <t>Madhya Pradesh</t>
        </is>
      </c>
      <c r="F19" t="inlineStr">
        <is>
          <t>23GBGLY6863V1Z1</t>
        </is>
      </c>
      <c r="G19" s="5" t="n">
        <v>150400</v>
      </c>
      <c r="H19" s="5" t="n">
        <v>27072</v>
      </c>
      <c r="I19" s="5" t="n">
        <v>177472</v>
      </c>
    </row>
    <row r="20">
      <c r="A20" t="inlineStr">
        <is>
          <t>SGT/26-27/0119</t>
        </is>
      </c>
      <c r="B20" s="4" t="n">
        <v>46149</v>
      </c>
      <c r="C20" t="inlineStr">
        <is>
          <t>Thakkar Sales</t>
        </is>
      </c>
      <c r="D20" t="inlineStr">
        <is>
          <t>Rajkot</t>
        </is>
      </c>
      <c r="E20" t="inlineStr">
        <is>
          <t>Gujarat</t>
        </is>
      </c>
      <c r="F20" t="inlineStr">
        <is>
          <t>24KFYMT7487R1Z5</t>
        </is>
      </c>
      <c r="G20" s="5" t="n">
        <v>160600</v>
      </c>
      <c r="H20" s="5" t="n">
        <v>28908</v>
      </c>
      <c r="I20" s="5" t="n">
        <v>189508</v>
      </c>
    </row>
    <row r="21">
      <c r="A21" t="inlineStr">
        <is>
          <t>SGT/26-27/0120</t>
        </is>
      </c>
      <c r="B21" s="4" t="n">
        <v>46151</v>
      </c>
      <c r="C21" t="inlineStr">
        <is>
          <t>Agarwal Traders</t>
        </is>
      </c>
      <c r="D21" t="inlineStr">
        <is>
          <t>Jaipur</t>
        </is>
      </c>
      <c r="E21" t="inlineStr">
        <is>
          <t>Rajasthan</t>
        </is>
      </c>
      <c r="F21" t="inlineStr">
        <is>
          <t>08KRQNU2999K1Z2</t>
        </is>
      </c>
      <c r="G21" s="5" t="n">
        <v>45200</v>
      </c>
      <c r="H21" s="5" t="n">
        <v>8136</v>
      </c>
      <c r="I21" s="5" t="n">
        <v>53336</v>
      </c>
    </row>
    <row r="22">
      <c r="A22" t="inlineStr">
        <is>
          <t>SGT/26-27/0121</t>
        </is>
      </c>
      <c r="B22" s="4" t="n">
        <v>46153</v>
      </c>
      <c r="C22" t="inlineStr">
        <is>
          <t>Wagh Industries</t>
        </is>
      </c>
      <c r="D22" t="inlineStr">
        <is>
          <t>Nagpur</t>
        </is>
      </c>
      <c r="E22" t="inlineStr">
        <is>
          <t>Maharashtra</t>
        </is>
      </c>
      <c r="F22" t="inlineStr">
        <is>
          <t>27LCSKR8606Q1Z4</t>
        </is>
      </c>
      <c r="G22" s="5" t="n">
        <v>181200</v>
      </c>
      <c r="H22" s="5" t="n">
        <v>32616</v>
      </c>
      <c r="I22" s="5" t="n">
        <v>213816</v>
      </c>
    </row>
    <row r="23">
      <c r="A23" t="inlineStr">
        <is>
          <t>SGT/26-27/0122</t>
        </is>
      </c>
      <c r="B23" s="4" t="n">
        <v>46155</v>
      </c>
      <c r="C23" t="inlineStr">
        <is>
          <t>Naidu Distributors</t>
        </is>
      </c>
      <c r="D23" t="inlineStr">
        <is>
          <t>Vijayawada</t>
        </is>
      </c>
      <c r="E23" t="inlineStr">
        <is>
          <t>Andhra Pradesh</t>
        </is>
      </c>
      <c r="F23" t="inlineStr">
        <is>
          <t>37AZUAQ7661G1Z2</t>
        </is>
      </c>
      <c r="G23" s="5" t="n">
        <v>204200</v>
      </c>
      <c r="H23" s="5" t="n">
        <v>36756</v>
      </c>
      <c r="I23" s="5" t="n">
        <v>240956</v>
      </c>
    </row>
    <row r="24">
      <c r="A24" t="inlineStr">
        <is>
          <t>SGT/26-27/0123</t>
        </is>
      </c>
      <c r="B24" s="4" t="n">
        <v>46157</v>
      </c>
      <c r="C24" t="inlineStr">
        <is>
          <t>Menon Agencies</t>
        </is>
      </c>
      <c r="D24" t="inlineStr">
        <is>
          <t>Kochi</t>
        </is>
      </c>
      <c r="E24" t="inlineStr">
        <is>
          <t>Kerala</t>
        </is>
      </c>
      <c r="F24" t="inlineStr">
        <is>
          <t>32TWZBQ9582D1Z8</t>
        </is>
      </c>
      <c r="G24" s="5" t="n">
        <v>55700</v>
      </c>
      <c r="H24" s="5" t="n">
        <v>10026</v>
      </c>
      <c r="I24" s="5" t="n">
        <v>65726</v>
      </c>
    </row>
    <row r="25">
      <c r="A25" t="inlineStr">
        <is>
          <t>SGT/26-27/0124</t>
        </is>
      </c>
      <c r="B25" s="4" t="n">
        <v>46159</v>
      </c>
      <c r="C25" t="inlineStr">
        <is>
          <t>Agarwal Traders</t>
        </is>
      </c>
      <c r="D25" t="inlineStr">
        <is>
          <t>Jaipur</t>
        </is>
      </c>
      <c r="E25" t="inlineStr">
        <is>
          <t>Rajasthan</t>
        </is>
      </c>
      <c r="F25" t="inlineStr">
        <is>
          <t>08ZBVMD5663L1Z4</t>
        </is>
      </c>
      <c r="G25" s="5" t="n">
        <v>204000</v>
      </c>
      <c r="H25" s="5" t="n">
        <v>36720</v>
      </c>
      <c r="I25" s="5" t="n">
        <v>240720</v>
      </c>
    </row>
    <row r="26">
      <c r="A26" t="inlineStr">
        <is>
          <t>SGT/26-27/0125</t>
        </is>
      </c>
      <c r="B26" s="4" t="n">
        <v>46161</v>
      </c>
      <c r="C26" t="inlineStr">
        <is>
          <t>Rao Suppliers</t>
        </is>
      </c>
      <c r="D26" t="inlineStr">
        <is>
          <t>Hyderabad</t>
        </is>
      </c>
      <c r="E26" t="inlineStr">
        <is>
          <t>Telangana</t>
        </is>
      </c>
      <c r="F26" t="inlineStr">
        <is>
          <t>36ZDEGN1364A1Z4</t>
        </is>
      </c>
      <c r="G26" s="5" t="n">
        <v>45300</v>
      </c>
      <c r="H26" s="5" t="n">
        <v>8154</v>
      </c>
      <c r="I26" s="5" t="n">
        <v>53454</v>
      </c>
    </row>
    <row r="27">
      <c r="A27" t="inlineStr">
        <is>
          <t>SGT/26-27/0126</t>
        </is>
      </c>
      <c r="B27" s="4" t="n">
        <v>46163</v>
      </c>
      <c r="C27" t="inlineStr">
        <is>
          <t>Bhatia Electronics</t>
        </is>
      </c>
      <c r="D27" t="inlineStr">
        <is>
          <t>Ludhiana</t>
        </is>
      </c>
      <c r="E27" t="inlineStr">
        <is>
          <t>Punjab</t>
        </is>
      </c>
      <c r="F27" t="inlineStr">
        <is>
          <t>03RFGBA8620P1Z9</t>
        </is>
      </c>
      <c r="G27" s="5" t="n">
        <v>175300</v>
      </c>
      <c r="H27" s="5" t="n">
        <v>31554</v>
      </c>
      <c r="I27" s="5" t="n">
        <v>206854</v>
      </c>
    </row>
    <row r="28">
      <c r="A28" t="inlineStr">
        <is>
          <t>SGT/26-27/0127</t>
        </is>
      </c>
      <c r="B28" s="4" t="n">
        <v>46165</v>
      </c>
      <c r="C28" t="inlineStr">
        <is>
          <t>Rao Suppliers</t>
        </is>
      </c>
      <c r="D28" t="inlineStr">
        <is>
          <t>Hyderabad</t>
        </is>
      </c>
      <c r="E28" t="inlineStr">
        <is>
          <t>Telangana</t>
        </is>
      </c>
      <c r="F28" t="inlineStr">
        <is>
          <t>36SYTPQ3558S1Z5</t>
        </is>
      </c>
      <c r="G28" s="5" t="n">
        <v>163600</v>
      </c>
      <c r="H28" s="5" t="n">
        <v>29448</v>
      </c>
      <c r="I28" s="5" t="n">
        <v>193048</v>
      </c>
    </row>
    <row r="29">
      <c r="A29" t="inlineStr">
        <is>
          <t>SGT/26-27/0128</t>
        </is>
      </c>
      <c r="B29" s="4" t="n">
        <v>46167</v>
      </c>
      <c r="C29" t="inlineStr">
        <is>
          <t>Wagh Industries</t>
        </is>
      </c>
      <c r="D29" t="inlineStr">
        <is>
          <t>Nagpur</t>
        </is>
      </c>
      <c r="E29" t="inlineStr">
        <is>
          <t>Maharashtra</t>
        </is>
      </c>
      <c r="F29" t="inlineStr">
        <is>
          <t>27FLRLN5560E1Z7</t>
        </is>
      </c>
      <c r="G29" s="5" t="n">
        <v>169400</v>
      </c>
      <c r="H29" s="5" t="n">
        <v>30492</v>
      </c>
      <c r="I29" s="5" t="n">
        <v>199892</v>
      </c>
    </row>
    <row r="30">
      <c r="A30" t="inlineStr">
        <is>
          <t>SGT/26-27/0129</t>
        </is>
      </c>
      <c r="B30" s="4" t="n">
        <v>46169</v>
      </c>
      <c r="C30" t="inlineStr">
        <is>
          <t>Menon Agencies</t>
        </is>
      </c>
      <c r="D30" t="inlineStr">
        <is>
          <t>Kochi</t>
        </is>
      </c>
      <c r="E30" t="inlineStr">
        <is>
          <t>Kerala</t>
        </is>
      </c>
      <c r="F30" t="inlineStr">
        <is>
          <t>32SZQVH4209E1Z9</t>
        </is>
      </c>
      <c r="G30" s="5" t="n">
        <v>135600</v>
      </c>
      <c r="H30" s="5" t="n">
        <v>24408</v>
      </c>
      <c r="I30" s="5" t="n">
        <v>160008</v>
      </c>
    </row>
    <row r="31">
      <c r="A31" t="inlineStr">
        <is>
          <t>SGT/26-27/0130</t>
        </is>
      </c>
      <c r="B31" s="4" t="n">
        <v>46171</v>
      </c>
      <c r="C31" t="inlineStr">
        <is>
          <t>Bhatia Electronics</t>
        </is>
      </c>
      <c r="D31" t="inlineStr">
        <is>
          <t>Ludhiana</t>
        </is>
      </c>
      <c r="E31" t="inlineStr">
        <is>
          <t>Punjab</t>
        </is>
      </c>
      <c r="F31" t="inlineStr">
        <is>
          <t>03CLPPV6209M1Z7</t>
        </is>
      </c>
      <c r="G31" s="5" t="n">
        <v>38500</v>
      </c>
      <c r="H31" s="5" t="n">
        <v>6930</v>
      </c>
      <c r="I31" s="5" t="n">
        <v>45430</v>
      </c>
    </row>
    <row r="32">
      <c r="A32" t="inlineStr">
        <is>
          <t>SGT/26-27/0131</t>
        </is>
      </c>
      <c r="B32" s="4" t="n">
        <v>46173</v>
      </c>
      <c r="C32" t="inlineStr">
        <is>
          <t>Fernandes &amp; Co</t>
        </is>
      </c>
      <c r="D32" t="inlineStr">
        <is>
          <t>Panaji</t>
        </is>
      </c>
      <c r="E32" t="inlineStr">
        <is>
          <t>Goa</t>
        </is>
      </c>
      <c r="F32" t="inlineStr">
        <is>
          <t>30QNZLC7677Y1Z6</t>
        </is>
      </c>
      <c r="G32" s="5" t="n">
        <v>119000</v>
      </c>
      <c r="H32" s="5" t="n">
        <v>21420</v>
      </c>
      <c r="I32" s="5" t="n">
        <v>140420</v>
      </c>
    </row>
    <row r="33">
      <c r="A33" t="inlineStr">
        <is>
          <t>SGT/26-27/0132</t>
        </is>
      </c>
      <c r="B33" s="4" t="n">
        <v>46175</v>
      </c>
      <c r="C33" t="inlineStr">
        <is>
          <t>Jain Hardware</t>
        </is>
      </c>
      <c r="D33" t="inlineStr">
        <is>
          <t>Indore</t>
        </is>
      </c>
      <c r="E33" t="inlineStr">
        <is>
          <t>Madhya Pradesh</t>
        </is>
      </c>
      <c r="F33" t="inlineStr">
        <is>
          <t>23GDGWJ1108P1Z1</t>
        </is>
      </c>
      <c r="G33" s="5" t="n">
        <v>182600</v>
      </c>
      <c r="H33" s="5" t="n">
        <v>32868</v>
      </c>
      <c r="I33" s="5" t="n">
        <v>215468</v>
      </c>
    </row>
    <row r="34">
      <c r="A34" t="inlineStr">
        <is>
          <t>SGT/26-27/0133</t>
        </is>
      </c>
      <c r="B34" s="4" t="n">
        <v>46177</v>
      </c>
      <c r="C34" t="inlineStr">
        <is>
          <t>Naidu Distributors</t>
        </is>
      </c>
      <c r="D34" t="inlineStr">
        <is>
          <t>Vijayawada</t>
        </is>
      </c>
      <c r="E34" t="inlineStr">
        <is>
          <t>Andhra Pradesh</t>
        </is>
      </c>
      <c r="F34" t="inlineStr">
        <is>
          <t>37RFJUW5496A1Z1</t>
        </is>
      </c>
      <c r="G34" s="5" t="n">
        <v>174400</v>
      </c>
      <c r="H34" s="5" t="n">
        <v>31392</v>
      </c>
      <c r="I34" s="5" t="n">
        <v>205792</v>
      </c>
    </row>
    <row r="35">
      <c r="A35" t="inlineStr">
        <is>
          <t>SGT/26-27/0134</t>
        </is>
      </c>
      <c r="B35" s="4" t="n">
        <v>46179</v>
      </c>
      <c r="C35" t="inlineStr">
        <is>
          <t>Kapoor Mart</t>
        </is>
      </c>
      <c r="D35" t="inlineStr">
        <is>
          <t>Lucknow</t>
        </is>
      </c>
      <c r="E35" t="inlineStr">
        <is>
          <t>Uttar Pradesh</t>
        </is>
      </c>
      <c r="F35" t="inlineStr">
        <is>
          <t>09PBCYG7357G1Z1</t>
        </is>
      </c>
      <c r="G35" s="5" t="n">
        <v>189800</v>
      </c>
      <c r="H35" s="5" t="n">
        <v>34164</v>
      </c>
      <c r="I35" s="5" t="n">
        <v>223964</v>
      </c>
    </row>
    <row r="36">
      <c r="A36" t="inlineStr">
        <is>
          <t>SGT/26-27/0135</t>
        </is>
      </c>
      <c r="B36" s="4" t="n">
        <v>46181</v>
      </c>
      <c r="C36" t="inlineStr">
        <is>
          <t>Agarwal Traders</t>
        </is>
      </c>
      <c r="D36" t="inlineStr">
        <is>
          <t>Jaipur</t>
        </is>
      </c>
      <c r="E36" t="inlineStr">
        <is>
          <t>Rajasthan</t>
        </is>
      </c>
      <c r="F36" t="inlineStr">
        <is>
          <t>08MWYXT3443H1Z5</t>
        </is>
      </c>
      <c r="G36" s="5" t="n">
        <v>208300</v>
      </c>
      <c r="H36" s="5" t="n">
        <v>37494</v>
      </c>
      <c r="I36" s="5" t="n">
        <v>245794</v>
      </c>
    </row>
    <row r="37">
      <c r="A37" t="inlineStr">
        <is>
          <t>SGT/26-27/0136</t>
        </is>
      </c>
      <c r="B37" s="4" t="n">
        <v>46183</v>
      </c>
      <c r="C37" t="inlineStr">
        <is>
          <t>Saxena Retail</t>
        </is>
      </c>
      <c r="D37" t="inlineStr">
        <is>
          <t>Bhopal</t>
        </is>
      </c>
      <c r="E37" t="inlineStr">
        <is>
          <t>Madhya Pradesh</t>
        </is>
      </c>
      <c r="F37" t="inlineStr">
        <is>
          <t>23FCRHD6221R1Z1</t>
        </is>
      </c>
      <c r="G37" s="5" t="n">
        <v>62400</v>
      </c>
      <c r="H37" s="5" t="n">
        <v>11232</v>
      </c>
      <c r="I37" s="5" t="n">
        <v>73632</v>
      </c>
    </row>
    <row r="38">
      <c r="A38" t="inlineStr">
        <is>
          <t>SGT/26-27/0137</t>
        </is>
      </c>
      <c r="B38" s="4" t="n">
        <v>46185</v>
      </c>
      <c r="C38" t="inlineStr">
        <is>
          <t>Hegde Enterprises</t>
        </is>
      </c>
      <c r="D38" t="inlineStr">
        <is>
          <t>Mangaluru</t>
        </is>
      </c>
      <c r="E38" t="inlineStr">
        <is>
          <t>Karnataka</t>
        </is>
      </c>
      <c r="F38" t="inlineStr">
        <is>
          <t>29PZYJF1927H1Z2</t>
        </is>
      </c>
      <c r="G38" s="5" t="n">
        <v>130300</v>
      </c>
      <c r="H38" s="5" t="n">
        <v>23454</v>
      </c>
      <c r="I38" s="5" t="n">
        <v>153754</v>
      </c>
    </row>
    <row r="39">
      <c r="A39" t="inlineStr">
        <is>
          <t>SGT/26-27/0138</t>
        </is>
      </c>
      <c r="B39" s="4" t="n">
        <v>46187</v>
      </c>
      <c r="C39" t="inlineStr">
        <is>
          <t>Chopra Textiles</t>
        </is>
      </c>
      <c r="D39" t="inlineStr">
        <is>
          <t>Delhi</t>
        </is>
      </c>
      <c r="E39" t="inlineStr">
        <is>
          <t>Delhi</t>
        </is>
      </c>
      <c r="F39" t="inlineStr">
        <is>
          <t>07UMYNG6665Y1Z7</t>
        </is>
      </c>
      <c r="G39" s="5" t="n">
        <v>212400</v>
      </c>
      <c r="H39" s="5" t="n">
        <v>38232</v>
      </c>
      <c r="I39" s="5" t="n">
        <v>250632</v>
      </c>
    </row>
    <row r="40">
      <c r="A40" t="inlineStr">
        <is>
          <t>SGT/26-27/0139</t>
        </is>
      </c>
      <c r="B40" s="4" t="n">
        <v>46189</v>
      </c>
      <c r="C40" t="inlineStr">
        <is>
          <t>Menon Agencies</t>
        </is>
      </c>
      <c r="D40" t="inlineStr">
        <is>
          <t>Kochi</t>
        </is>
      </c>
      <c r="E40" t="inlineStr">
        <is>
          <t>Kerala</t>
        </is>
      </c>
      <c r="F40" t="inlineStr">
        <is>
          <t>32UFXKY7118N1Z2</t>
        </is>
      </c>
      <c r="G40" s="5" t="n">
        <v>44600</v>
      </c>
      <c r="H40" s="5" t="n">
        <v>8028</v>
      </c>
      <c r="I40" s="5" t="n">
        <v>52628</v>
      </c>
    </row>
    <row r="41">
      <c r="A41" t="inlineStr">
        <is>
          <t>SGT/26-27/0140</t>
        </is>
      </c>
      <c r="B41" s="4" t="n">
        <v>46191</v>
      </c>
      <c r="C41" t="inlineStr">
        <is>
          <t>Dutta Stores</t>
        </is>
      </c>
      <c r="D41" t="inlineStr">
        <is>
          <t>Kolkata</t>
        </is>
      </c>
      <c r="E41" t="inlineStr">
        <is>
          <t>West Bengal</t>
        </is>
      </c>
      <c r="F41" t="inlineStr">
        <is>
          <t>19FNMTU3710S1Z3</t>
        </is>
      </c>
      <c r="G41" s="5" t="n">
        <v>190800</v>
      </c>
      <c r="H41" s="5" t="n">
        <v>34344</v>
      </c>
      <c r="I41" s="5" t="n">
        <v>225144</v>
      </c>
    </row>
    <row r="42">
      <c r="A42" t="inlineStr">
        <is>
          <t>SGT/26-27/0141</t>
        </is>
      </c>
      <c r="B42" s="4" t="n">
        <v>46193</v>
      </c>
      <c r="C42" t="inlineStr">
        <is>
          <t>Saxena Retail</t>
        </is>
      </c>
      <c r="D42" t="inlineStr">
        <is>
          <t>Bhopal</t>
        </is>
      </c>
      <c r="E42" t="inlineStr">
        <is>
          <t>Madhya Pradesh</t>
        </is>
      </c>
      <c r="F42" t="inlineStr">
        <is>
          <t>23YVHWF4567Y1Z6</t>
        </is>
      </c>
      <c r="G42" s="5" t="n">
        <v>151500</v>
      </c>
      <c r="H42" s="5" t="n">
        <v>27270</v>
      </c>
      <c r="I42" s="5" t="n">
        <v>178770</v>
      </c>
    </row>
    <row r="43">
      <c r="A43" t="inlineStr">
        <is>
          <t>SGT/26-27/0142</t>
        </is>
      </c>
      <c r="B43" s="4" t="n">
        <v>46195</v>
      </c>
      <c r="C43" t="inlineStr">
        <is>
          <t>Dutta Stores</t>
        </is>
      </c>
      <c r="D43" t="inlineStr">
        <is>
          <t>Kolkata</t>
        </is>
      </c>
      <c r="E43" t="inlineStr">
        <is>
          <t>West Bengal</t>
        </is>
      </c>
      <c r="F43" t="inlineStr">
        <is>
          <t>19VLVJN6143M1Z6</t>
        </is>
      </c>
      <c r="G43" s="5" t="n">
        <v>111600</v>
      </c>
      <c r="H43" s="5" t="n">
        <v>20088</v>
      </c>
      <c r="I43" s="5" t="n">
        <v>131688</v>
      </c>
    </row>
    <row r="44">
      <c r="A44" t="inlineStr">
        <is>
          <t>SGT/26-27/0143</t>
        </is>
      </c>
      <c r="B44" s="4" t="n">
        <v>46197</v>
      </c>
      <c r="C44" t="inlineStr">
        <is>
          <t>Pillai Brothers</t>
        </is>
      </c>
      <c r="D44" t="inlineStr">
        <is>
          <t>Chennai</t>
        </is>
      </c>
      <c r="E44" t="inlineStr">
        <is>
          <t>Tamil Nadu</t>
        </is>
      </c>
      <c r="F44" t="inlineStr">
        <is>
          <t>33JKTEV3260S1Z5</t>
        </is>
      </c>
      <c r="G44" s="5" t="n">
        <v>110800</v>
      </c>
      <c r="H44" s="5" t="n">
        <v>19944</v>
      </c>
      <c r="I44" s="5" t="n">
        <v>130744</v>
      </c>
    </row>
    <row r="45">
      <c r="A45" t="inlineStr">
        <is>
          <t>SGT/26-27/0144</t>
        </is>
      </c>
      <c r="B45" s="4" t="n">
        <v>46199</v>
      </c>
      <c r="C45" t="inlineStr">
        <is>
          <t>Jain Hardware</t>
        </is>
      </c>
      <c r="D45" t="inlineStr">
        <is>
          <t>Indore</t>
        </is>
      </c>
      <c r="E45" t="inlineStr">
        <is>
          <t>Madhya Pradesh</t>
        </is>
      </c>
      <c r="F45" t="inlineStr">
        <is>
          <t>23ZPVHQ8956Y1Z5</t>
        </is>
      </c>
      <c r="G45" s="5" t="n">
        <v>208600</v>
      </c>
      <c r="H45" s="5" t="n">
        <v>37548</v>
      </c>
      <c r="I45" s="5" t="n">
        <v>246148</v>
      </c>
    </row>
    <row r="46">
      <c r="A46" t="inlineStr">
        <is>
          <t>SGT/26-27/0145</t>
        </is>
      </c>
      <c r="B46" s="4" t="n">
        <v>46201</v>
      </c>
      <c r="C46" t="inlineStr">
        <is>
          <t>Menon Agencies</t>
        </is>
      </c>
      <c r="D46" t="inlineStr">
        <is>
          <t>Kochi</t>
        </is>
      </c>
      <c r="E46" t="inlineStr">
        <is>
          <t>Kerala</t>
        </is>
      </c>
      <c r="F46" t="inlineStr">
        <is>
          <t>32ZFWEW3910N1Z7</t>
        </is>
      </c>
      <c r="G46" s="5" t="n">
        <v>184400</v>
      </c>
      <c r="H46" s="5" t="n">
        <v>33192</v>
      </c>
      <c r="I46" s="5" t="n">
        <v>217592</v>
      </c>
    </row>
    <row r="47">
      <c r="A47" t="inlineStr">
        <is>
          <t>SGT/26-27/0146</t>
        </is>
      </c>
      <c r="B47" s="4" t="n">
        <v>46203</v>
      </c>
      <c r="C47" t="inlineStr">
        <is>
          <t>Menon Agencies</t>
        </is>
      </c>
      <c r="D47" t="inlineStr">
        <is>
          <t>Kochi</t>
        </is>
      </c>
      <c r="E47" t="inlineStr">
        <is>
          <t>Kerala</t>
        </is>
      </c>
      <c r="F47" t="inlineStr">
        <is>
          <t>32LZPTE9491U1Z7</t>
        </is>
      </c>
      <c r="G47" s="5" t="n">
        <v>60700</v>
      </c>
      <c r="H47" s="5" t="n">
        <v>10926</v>
      </c>
      <c r="I47" s="5" t="n">
        <v>71626</v>
      </c>
    </row>
    <row r="48">
      <c r="A48" t="inlineStr">
        <is>
          <t>SGT/26-27/0147</t>
        </is>
      </c>
      <c r="B48" s="4" t="n">
        <v>46205</v>
      </c>
      <c r="C48" t="inlineStr">
        <is>
          <t>Menon Agencies</t>
        </is>
      </c>
      <c r="D48" t="inlineStr">
        <is>
          <t>Kochi</t>
        </is>
      </c>
      <c r="E48" t="inlineStr">
        <is>
          <t>Kerala</t>
        </is>
      </c>
      <c r="F48" t="inlineStr">
        <is>
          <t>32DRVLV1305B1Z1</t>
        </is>
      </c>
      <c r="G48" s="5" t="n">
        <v>107000</v>
      </c>
      <c r="H48" s="5" t="n">
        <v>19260</v>
      </c>
      <c r="I48" s="5" t="n">
        <v>126260</v>
      </c>
    </row>
    <row r="49">
      <c r="A49" t="inlineStr">
        <is>
          <t>SGT/26-27/0148</t>
        </is>
      </c>
      <c r="B49" s="4" t="n">
        <v>46207</v>
      </c>
      <c r="C49" t="inlineStr">
        <is>
          <t>Kapoor Mart</t>
        </is>
      </c>
      <c r="D49" t="inlineStr">
        <is>
          <t>Lucknow</t>
        </is>
      </c>
      <c r="E49" t="inlineStr">
        <is>
          <t>Uttar Pradesh</t>
        </is>
      </c>
      <c r="F49" t="inlineStr">
        <is>
          <t>09VAXYG1887L1Z8</t>
        </is>
      </c>
      <c r="G49" s="5" t="n">
        <v>236300</v>
      </c>
      <c r="H49" s="5" t="n">
        <v>42534</v>
      </c>
      <c r="I49" s="5" t="n">
        <v>278834</v>
      </c>
    </row>
    <row r="50">
      <c r="A50" t="inlineStr">
        <is>
          <t>SGT/26-27/0149</t>
        </is>
      </c>
      <c r="B50" s="4" t="n">
        <v>46209</v>
      </c>
      <c r="C50" t="inlineStr">
        <is>
          <t>Bhatia Electronics</t>
        </is>
      </c>
      <c r="D50" t="inlineStr">
        <is>
          <t>Ludhiana</t>
        </is>
      </c>
      <c r="E50" t="inlineStr">
        <is>
          <t>Punjab</t>
        </is>
      </c>
      <c r="F50" t="inlineStr">
        <is>
          <t>03GRCDG8700L1Z6</t>
        </is>
      </c>
      <c r="G50" s="5" t="n">
        <v>99000</v>
      </c>
      <c r="H50" s="5" t="n">
        <v>17820</v>
      </c>
      <c r="I50" s="5" t="n">
        <v>116820</v>
      </c>
    </row>
    <row r="51">
      <c r="A51" t="inlineStr">
        <is>
          <t>SGT/26-27/0150</t>
        </is>
      </c>
      <c r="B51" s="4" t="n">
        <v>46211</v>
      </c>
      <c r="C51" t="inlineStr">
        <is>
          <t>Chopra Textiles</t>
        </is>
      </c>
      <c r="D51" t="inlineStr">
        <is>
          <t>Delhi</t>
        </is>
      </c>
      <c r="E51" t="inlineStr">
        <is>
          <t>Delhi</t>
        </is>
      </c>
      <c r="F51" t="inlineStr">
        <is>
          <t>07DJQMK4250G1Z4</t>
        </is>
      </c>
      <c r="G51" s="5" t="n">
        <v>49800</v>
      </c>
      <c r="H51" s="5" t="n">
        <v>8964</v>
      </c>
      <c r="I51" s="5" t="n">
        <v>58764</v>
      </c>
    </row>
    <row r="52">
      <c r="A52" t="inlineStr">
        <is>
          <t>SGT/26-27/0151</t>
        </is>
      </c>
      <c r="B52" s="4" t="n">
        <v>46213</v>
      </c>
      <c r="C52" t="inlineStr">
        <is>
          <t>Dutta Stores</t>
        </is>
      </c>
      <c r="D52" t="inlineStr">
        <is>
          <t>Kolkata</t>
        </is>
      </c>
      <c r="E52" t="inlineStr">
        <is>
          <t>West Bengal</t>
        </is>
      </c>
      <c r="F52" t="inlineStr">
        <is>
          <t>19JAWQH8994M1Z2</t>
        </is>
      </c>
      <c r="G52" s="5" t="n">
        <v>45800</v>
      </c>
      <c r="H52" s="5" t="n">
        <v>8244</v>
      </c>
      <c r="I52" s="5" t="n">
        <v>54044</v>
      </c>
    </row>
    <row r="53">
      <c r="A53" t="inlineStr">
        <is>
          <t>SGT/26-27/0152</t>
        </is>
      </c>
      <c r="B53" s="4" t="n">
        <v>46215</v>
      </c>
      <c r="C53" t="inlineStr">
        <is>
          <t>Thakkar Sales</t>
        </is>
      </c>
      <c r="D53" t="inlineStr">
        <is>
          <t>Rajkot</t>
        </is>
      </c>
      <c r="E53" t="inlineStr">
        <is>
          <t>Gujarat</t>
        </is>
      </c>
      <c r="F53" t="inlineStr">
        <is>
          <t>24SKXJV7472F1Z3</t>
        </is>
      </c>
      <c r="G53" s="5" t="n">
        <v>199300</v>
      </c>
      <c r="H53" s="5" t="n">
        <v>35874</v>
      </c>
      <c r="I53" s="5" t="n">
        <v>235174</v>
      </c>
    </row>
    <row r="54">
      <c r="A54" t="inlineStr">
        <is>
          <t>SGT/26-27/0153</t>
        </is>
      </c>
      <c r="B54" s="4" t="n">
        <v>46217</v>
      </c>
      <c r="C54" t="inlineStr">
        <is>
          <t>Agarwal Traders</t>
        </is>
      </c>
      <c r="D54" t="inlineStr">
        <is>
          <t>Jaipur</t>
        </is>
      </c>
      <c r="E54" t="inlineStr">
        <is>
          <t>Rajasthan</t>
        </is>
      </c>
      <c r="F54" t="inlineStr">
        <is>
          <t>08KWGNC9125S1Z8</t>
        </is>
      </c>
      <c r="G54" s="5" t="n">
        <v>59700</v>
      </c>
      <c r="H54" s="5" t="n">
        <v>10746</v>
      </c>
      <c r="I54" s="5" t="n">
        <v>70446</v>
      </c>
    </row>
    <row r="55">
      <c r="A55" t="inlineStr">
        <is>
          <t>SGT/26-27/0154</t>
        </is>
      </c>
      <c r="B55" s="4" t="n">
        <v>46219</v>
      </c>
      <c r="C55" t="inlineStr">
        <is>
          <t>Wagh Industries</t>
        </is>
      </c>
      <c r="D55" t="inlineStr">
        <is>
          <t>Nagpur</t>
        </is>
      </c>
      <c r="E55" t="inlineStr">
        <is>
          <t>Maharashtra</t>
        </is>
      </c>
      <c r="F55" t="inlineStr">
        <is>
          <t>27BREMC6738W1Z5</t>
        </is>
      </c>
      <c r="G55" s="5" t="n">
        <v>91100</v>
      </c>
      <c r="H55" s="5" t="n">
        <v>16398</v>
      </c>
      <c r="I55" s="5" t="n">
        <v>107498</v>
      </c>
    </row>
    <row r="56">
      <c r="A56" t="inlineStr">
        <is>
          <t>SGT/26-27/0155</t>
        </is>
      </c>
      <c r="B56" s="4" t="n">
        <v>46221</v>
      </c>
      <c r="C56" t="inlineStr">
        <is>
          <t>Chopra Textiles</t>
        </is>
      </c>
      <c r="D56" t="inlineStr">
        <is>
          <t>Delhi</t>
        </is>
      </c>
      <c r="E56" t="inlineStr">
        <is>
          <t>Delhi</t>
        </is>
      </c>
      <c r="F56" t="inlineStr">
        <is>
          <t>07HMDBB5686P1Z2</t>
        </is>
      </c>
      <c r="G56" s="5" t="n">
        <v>32700</v>
      </c>
      <c r="H56" s="5" t="n">
        <v>5886</v>
      </c>
      <c r="I56" s="5" t="n">
        <v>38586</v>
      </c>
    </row>
    <row r="57">
      <c r="A57" t="inlineStr">
        <is>
          <t>SGT/26-27/0156</t>
        </is>
      </c>
      <c r="B57" s="4" t="n">
        <v>46223</v>
      </c>
      <c r="C57" t="inlineStr">
        <is>
          <t>Jain Hardware</t>
        </is>
      </c>
      <c r="D57" t="inlineStr">
        <is>
          <t>Indore</t>
        </is>
      </c>
      <c r="E57" t="inlineStr">
        <is>
          <t>Madhya Pradesh</t>
        </is>
      </c>
      <c r="F57" t="inlineStr">
        <is>
          <t>23GVWDA4768R1Z5</t>
        </is>
      </c>
      <c r="G57" s="5" t="n">
        <v>13000</v>
      </c>
      <c r="H57" s="5" t="n">
        <v>2340</v>
      </c>
      <c r="I57" s="5" t="n">
        <v>15340</v>
      </c>
    </row>
    <row r="58">
      <c r="A58" t="inlineStr">
        <is>
          <t>SGT/26-27/0157</t>
        </is>
      </c>
      <c r="B58" s="4" t="n">
        <v>46225</v>
      </c>
      <c r="C58" t="inlineStr">
        <is>
          <t>Hegde Enterprises</t>
        </is>
      </c>
      <c r="D58" t="inlineStr">
        <is>
          <t>Mangaluru</t>
        </is>
      </c>
      <c r="E58" t="inlineStr">
        <is>
          <t>Karnataka</t>
        </is>
      </c>
      <c r="F58" t="inlineStr">
        <is>
          <t>29UTBJE3409W1Z9</t>
        </is>
      </c>
      <c r="G58" s="5" t="n">
        <v>68400</v>
      </c>
      <c r="H58" s="5" t="n">
        <v>12312</v>
      </c>
      <c r="I58" s="5" t="n">
        <v>80712</v>
      </c>
    </row>
    <row r="59">
      <c r="A59" t="inlineStr">
        <is>
          <t>SGT/26-27/0158</t>
        </is>
      </c>
      <c r="B59" s="4" t="n">
        <v>46227</v>
      </c>
      <c r="C59" t="inlineStr">
        <is>
          <t>Rao Suppliers</t>
        </is>
      </c>
      <c r="D59" t="inlineStr">
        <is>
          <t>Hyderabad</t>
        </is>
      </c>
      <c r="E59" t="inlineStr">
        <is>
          <t>Telangana</t>
        </is>
      </c>
      <c r="F59" t="inlineStr">
        <is>
          <t>36TTKKS9760J1Z8</t>
        </is>
      </c>
      <c r="G59" s="5" t="n">
        <v>197400</v>
      </c>
      <c r="H59" s="5" t="n">
        <v>35532</v>
      </c>
      <c r="I59" s="5" t="n">
        <v>232932</v>
      </c>
    </row>
    <row r="60">
      <c r="A60" t="inlineStr">
        <is>
          <t>SGT/26-27/0159</t>
        </is>
      </c>
      <c r="B60" s="4" t="n">
        <v>46229</v>
      </c>
      <c r="C60" t="inlineStr">
        <is>
          <t>Pillai Brothers</t>
        </is>
      </c>
      <c r="D60" t="inlineStr">
        <is>
          <t>Chennai</t>
        </is>
      </c>
      <c r="E60" t="inlineStr">
        <is>
          <t>Tamil Nadu</t>
        </is>
      </c>
      <c r="F60" t="inlineStr">
        <is>
          <t>33AGXQE5023X1Z6</t>
        </is>
      </c>
      <c r="G60" s="5" t="n">
        <v>111200</v>
      </c>
      <c r="H60" s="5" t="n">
        <v>20016</v>
      </c>
      <c r="I60" s="5" t="n">
        <v>131216</v>
      </c>
    </row>
    <row r="61">
      <c r="A61" t="inlineStr">
        <is>
          <t>SGT/26-27/0160</t>
        </is>
      </c>
      <c r="B61" s="4" t="n">
        <v>46231</v>
      </c>
      <c r="C61" t="inlineStr">
        <is>
          <t>Agarwal Traders</t>
        </is>
      </c>
      <c r="D61" t="inlineStr">
        <is>
          <t>Jaipur</t>
        </is>
      </c>
      <c r="E61" t="inlineStr">
        <is>
          <t>Rajasthan</t>
        </is>
      </c>
      <c r="F61" t="inlineStr">
        <is>
          <t>08HYGHY6023L1Z1</t>
        </is>
      </c>
      <c r="G61" s="5" t="n">
        <v>86000</v>
      </c>
      <c r="H61" s="5" t="n">
        <v>15480</v>
      </c>
      <c r="I61" s="5" t="n">
        <v>101480</v>
      </c>
    </row>
    <row r="62">
      <c r="A62" s="8" t="inlineStr">
        <is>
          <t>Total</t>
        </is>
      </c>
      <c r="G62" s="12">
        <f>SUM(G2:G61)</f>
        <v/>
      </c>
      <c r="H62" s="12">
        <f>SUM(H2:H61)</f>
        <v/>
      </c>
      <c r="I62" s="12">
        <f>SUM(I2:I61)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6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0" customWidth="1" min="3" max="3"/>
    <col width="12" customWidth="1" min="4" max="4"/>
    <col width="16" customWidth="1" min="5" max="5"/>
    <col width="18" customWidth="1" min="6" max="6"/>
    <col width="14" customWidth="1" min="7" max="7"/>
    <col width="12" customWidth="1" min="8" max="8"/>
    <col width="14" customWidth="1" min="9" max="9"/>
  </cols>
  <sheetData>
    <row r="1">
      <c r="A1" s="2" t="inlineStr">
        <is>
          <t>Invoice No</t>
        </is>
      </c>
      <c r="B1" s="2" t="inlineStr">
        <is>
          <t>Date</t>
        </is>
      </c>
      <c r="C1" s="2" t="inlineStr">
        <is>
          <t>Customer</t>
        </is>
      </c>
      <c r="D1" s="2" t="inlineStr">
        <is>
          <t>City</t>
        </is>
      </c>
      <c r="E1" s="2" t="inlineStr">
        <is>
          <t>State</t>
        </is>
      </c>
      <c r="F1" s="2" t="inlineStr">
        <is>
          <t>GSTIN</t>
        </is>
      </c>
      <c r="G1" s="2" t="inlineStr">
        <is>
          <t>Taxable Value</t>
        </is>
      </c>
      <c r="H1" s="2" t="inlineStr">
        <is>
          <t>GST</t>
        </is>
      </c>
      <c r="I1" s="2" t="inlineStr">
        <is>
          <t>Invoice Total</t>
        </is>
      </c>
    </row>
    <row r="2">
      <c r="A2" t="inlineStr">
        <is>
          <t>SGT/26-27/0101</t>
        </is>
      </c>
      <c r="B2" s="4" t="n">
        <v>46113</v>
      </c>
      <c r="C2" t="inlineStr">
        <is>
          <t>Hegde Enterprises</t>
        </is>
      </c>
      <c r="D2" t="inlineStr">
        <is>
          <t>Mangaluru</t>
        </is>
      </c>
      <c r="E2" t="inlineStr">
        <is>
          <t>Karnataka</t>
        </is>
      </c>
      <c r="F2" t="inlineStr">
        <is>
          <t>29NHUUA1106C1Z7</t>
        </is>
      </c>
      <c r="G2" s="5" t="n">
        <v>65000</v>
      </c>
      <c r="H2" s="5" t="n">
        <v>11700</v>
      </c>
      <c r="I2" s="5" t="n">
        <v>76700</v>
      </c>
    </row>
    <row r="3">
      <c r="A3" t="inlineStr">
        <is>
          <t>SGT/26-27/0102</t>
        </is>
      </c>
      <c r="B3" s="4" t="n">
        <v>46115</v>
      </c>
      <c r="C3" t="inlineStr">
        <is>
          <t>Pillai Brothers</t>
        </is>
      </c>
      <c r="D3" t="inlineStr">
        <is>
          <t>Chennai</t>
        </is>
      </c>
      <c r="E3" t="inlineStr">
        <is>
          <t>Tamil Nadu</t>
        </is>
      </c>
      <c r="F3" t="inlineStr">
        <is>
          <t>33FULYB6873Y1Z5</t>
        </is>
      </c>
      <c r="G3" s="5" t="n">
        <v>14200</v>
      </c>
      <c r="H3" s="5" t="n">
        <v>2556</v>
      </c>
      <c r="I3" s="5" t="n">
        <v>16756</v>
      </c>
    </row>
    <row r="4">
      <c r="A4" t="inlineStr">
        <is>
          <t>SGT/26-27/0103</t>
        </is>
      </c>
      <c r="B4" s="4" t="n">
        <v>46117</v>
      </c>
      <c r="C4" t="inlineStr">
        <is>
          <t>Thakkar Sales</t>
        </is>
      </c>
      <c r="D4" t="inlineStr">
        <is>
          <t>Rajkot</t>
        </is>
      </c>
      <c r="E4" t="inlineStr">
        <is>
          <t>Gujarat</t>
        </is>
      </c>
      <c r="F4" t="inlineStr">
        <is>
          <t>24FUUSJ5169R1Z4</t>
        </is>
      </c>
      <c r="G4" s="5" t="n">
        <v>99400</v>
      </c>
      <c r="H4" s="5" t="n">
        <v>17892</v>
      </c>
      <c r="I4" s="5" t="n">
        <v>117292</v>
      </c>
    </row>
    <row r="5">
      <c r="A5" t="inlineStr">
        <is>
          <t>SGT/26-27/0104</t>
        </is>
      </c>
      <c r="B5" s="4" t="n">
        <v>46119</v>
      </c>
      <c r="C5" t="inlineStr">
        <is>
          <t>Hegde Enterprises</t>
        </is>
      </c>
      <c r="D5" t="inlineStr">
        <is>
          <t>Mangaluru</t>
        </is>
      </c>
      <c r="E5" t="inlineStr">
        <is>
          <t>Karnataka</t>
        </is>
      </c>
      <c r="F5" t="inlineStr">
        <is>
          <t>29BAVAP1832L1Z4</t>
        </is>
      </c>
      <c r="G5" s="5" t="n">
        <v>23900</v>
      </c>
      <c r="H5" s="5" t="n">
        <v>4302</v>
      </c>
      <c r="I5" s="5" t="n">
        <v>28202</v>
      </c>
    </row>
    <row r="6">
      <c r="A6" t="inlineStr">
        <is>
          <t>SGT/26-27/0105</t>
        </is>
      </c>
      <c r="B6" s="4" t="n">
        <v>46121</v>
      </c>
      <c r="C6" t="inlineStr">
        <is>
          <t>Saxena Retail</t>
        </is>
      </c>
      <c r="D6" t="inlineStr">
        <is>
          <t>Bhopal</t>
        </is>
      </c>
      <c r="E6" t="inlineStr">
        <is>
          <t>Madhya Pradesh</t>
        </is>
      </c>
      <c r="F6" t="inlineStr">
        <is>
          <t>23RAWVZ9105H1Z7</t>
        </is>
      </c>
      <c r="G6" s="5" t="n">
        <v>37900</v>
      </c>
      <c r="H6" s="5" t="n">
        <v>6822</v>
      </c>
      <c r="I6" s="5" t="n">
        <v>44722</v>
      </c>
    </row>
    <row r="7">
      <c r="A7" t="inlineStr">
        <is>
          <t>SGT/26-27/0106</t>
        </is>
      </c>
      <c r="B7" s="4" t="n">
        <v>46123</v>
      </c>
      <c r="C7" t="inlineStr">
        <is>
          <t>Rao Suppliers</t>
        </is>
      </c>
      <c r="D7" t="inlineStr">
        <is>
          <t>Hyderabad</t>
        </is>
      </c>
      <c r="E7" t="inlineStr">
        <is>
          <t>Telangana</t>
        </is>
      </c>
      <c r="F7" t="inlineStr">
        <is>
          <t>36LHLNY8978U1Z8</t>
        </is>
      </c>
      <c r="G7" s="5" t="n">
        <v>37200</v>
      </c>
      <c r="H7" s="5" t="n">
        <v>6696</v>
      </c>
      <c r="I7" s="5" t="n">
        <v>43896</v>
      </c>
    </row>
    <row r="8">
      <c r="A8" t="inlineStr">
        <is>
          <t>SGT/26-27/0107</t>
        </is>
      </c>
      <c r="B8" s="4" t="n">
        <v>46125</v>
      </c>
      <c r="C8" t="inlineStr">
        <is>
          <t>Bhatia Electronics</t>
        </is>
      </c>
      <c r="D8" t="inlineStr">
        <is>
          <t>Ludhiana</t>
        </is>
      </c>
      <c r="E8" t="inlineStr">
        <is>
          <t>Punjab</t>
        </is>
      </c>
      <c r="F8" t="inlineStr">
        <is>
          <t>03UNJVQ2240K1Z9</t>
        </is>
      </c>
      <c r="G8" s="5" t="n">
        <v>221300</v>
      </c>
      <c r="H8" s="5" t="n">
        <v>39834</v>
      </c>
      <c r="I8" s="5" t="n">
        <v>261134</v>
      </c>
    </row>
    <row r="9">
      <c r="A9" t="inlineStr">
        <is>
          <t>SGT/26-27/0108</t>
        </is>
      </c>
      <c r="B9" s="4" t="n">
        <v>46127</v>
      </c>
      <c r="C9" t="inlineStr">
        <is>
          <t>Wagh Industries</t>
        </is>
      </c>
      <c r="D9" t="inlineStr">
        <is>
          <t>Nagpur</t>
        </is>
      </c>
      <c r="E9" t="inlineStr">
        <is>
          <t>Maharashtra</t>
        </is>
      </c>
      <c r="F9" t="inlineStr">
        <is>
          <t>27NRYEY4927C1Z2</t>
        </is>
      </c>
      <c r="G9" s="5" t="n">
        <v>130000</v>
      </c>
      <c r="H9" s="5" t="n">
        <v>23400</v>
      </c>
      <c r="I9" s="5" t="n">
        <v>153400</v>
      </c>
    </row>
    <row r="10">
      <c r="A10" t="inlineStr">
        <is>
          <t>SGT/26-27/0109</t>
        </is>
      </c>
      <c r="B10" s="4" t="n">
        <v>46129</v>
      </c>
      <c r="C10" t="inlineStr">
        <is>
          <t>Pillai Brothers</t>
        </is>
      </c>
      <c r="D10" t="inlineStr">
        <is>
          <t>Chennai</t>
        </is>
      </c>
      <c r="E10" t="inlineStr">
        <is>
          <t>Tamil Nadu</t>
        </is>
      </c>
      <c r="F10" t="inlineStr">
        <is>
          <t>33AEBGE2378V1Z5</t>
        </is>
      </c>
      <c r="G10" s="5" t="n">
        <v>116600</v>
      </c>
      <c r="H10" s="5" t="n">
        <v>20988</v>
      </c>
      <c r="I10" s="5" t="n">
        <v>137588</v>
      </c>
    </row>
    <row r="11">
      <c r="A11" t="inlineStr">
        <is>
          <t>SGT/26-27/0110</t>
        </is>
      </c>
      <c r="B11" s="4" t="n">
        <v>46131</v>
      </c>
      <c r="C11" t="inlineStr">
        <is>
          <t>Thakkar Sales</t>
        </is>
      </c>
      <c r="D11" t="inlineStr">
        <is>
          <t>Rajkot</t>
        </is>
      </c>
      <c r="E11" t="inlineStr">
        <is>
          <t>Gujarat</t>
        </is>
      </c>
      <c r="F11" t="inlineStr">
        <is>
          <t>24BQQQD4978S1Z4</t>
        </is>
      </c>
      <c r="G11" s="5" t="n">
        <v>137300</v>
      </c>
      <c r="H11" s="5" t="n">
        <v>24714</v>
      </c>
      <c r="I11" s="5" t="n">
        <v>162014</v>
      </c>
    </row>
    <row r="12">
      <c r="A12" t="inlineStr">
        <is>
          <t>SGT/26-27/0111</t>
        </is>
      </c>
      <c r="B12" s="4" t="n">
        <v>46133</v>
      </c>
      <c r="C12" t="inlineStr">
        <is>
          <t>Hegde Enterprises</t>
        </is>
      </c>
      <c r="D12" t="inlineStr">
        <is>
          <t>Mangaluru</t>
        </is>
      </c>
      <c r="E12" t="inlineStr">
        <is>
          <t>Karnataka</t>
        </is>
      </c>
      <c r="F12" t="inlineStr">
        <is>
          <t>29ABCKD9468R1Z8</t>
        </is>
      </c>
      <c r="G12" s="5" t="n">
        <v>222200</v>
      </c>
      <c r="H12" s="5" t="n">
        <v>39996</v>
      </c>
      <c r="I12" s="5" t="n">
        <v>262196</v>
      </c>
    </row>
    <row r="13">
      <c r="A13" t="inlineStr">
        <is>
          <t>SGT/26-27/0112</t>
        </is>
      </c>
      <c r="B13" s="4" t="n">
        <v>46135</v>
      </c>
      <c r="C13" t="inlineStr">
        <is>
          <t>Pillai Brothers</t>
        </is>
      </c>
      <c r="D13" t="inlineStr">
        <is>
          <t>Chennai</t>
        </is>
      </c>
      <c r="E13" t="inlineStr">
        <is>
          <t>Tamil Nadu</t>
        </is>
      </c>
      <c r="F13" t="inlineStr">
        <is>
          <t>33YZRVZ5695Q1Z1</t>
        </is>
      </c>
      <c r="G13" s="5" t="n">
        <v>10900</v>
      </c>
      <c r="H13" s="5" t="n">
        <v>1962</v>
      </c>
      <c r="I13" s="5" t="n">
        <v>12862</v>
      </c>
    </row>
    <row r="14">
      <c r="A14" t="inlineStr">
        <is>
          <t>SGT/26-27/0113</t>
        </is>
      </c>
      <c r="B14" s="4" t="n">
        <v>46137</v>
      </c>
      <c r="C14" t="inlineStr">
        <is>
          <t>Jain Hardware</t>
        </is>
      </c>
      <c r="D14" t="inlineStr">
        <is>
          <t>Indore</t>
        </is>
      </c>
      <c r="E14" t="inlineStr">
        <is>
          <t>Madhya Pradesh</t>
        </is>
      </c>
      <c r="F14" t="inlineStr">
        <is>
          <t>23LWZZS7057K1Z5</t>
        </is>
      </c>
      <c r="G14" s="5" t="n">
        <v>230300</v>
      </c>
      <c r="H14" s="5" t="n">
        <v>41454</v>
      </c>
      <c r="I14" s="5" t="n">
        <v>271754</v>
      </c>
    </row>
    <row r="15">
      <c r="A15" t="inlineStr">
        <is>
          <t>SGT/26-27/0114</t>
        </is>
      </c>
      <c r="B15" s="4" t="n">
        <v>46139</v>
      </c>
      <c r="C15" t="inlineStr">
        <is>
          <t>Jain Hardware</t>
        </is>
      </c>
      <c r="D15" t="inlineStr">
        <is>
          <t>Indore</t>
        </is>
      </c>
      <c r="E15" t="inlineStr">
        <is>
          <t>Madhya Pradesh</t>
        </is>
      </c>
      <c r="F15" t="inlineStr">
        <is>
          <t>23XQBRY1254L1Z5</t>
        </is>
      </c>
      <c r="G15" s="5" t="n">
        <v>38500</v>
      </c>
      <c r="H15" s="5" t="n">
        <v>6930</v>
      </c>
      <c r="I15" s="5" t="n">
        <v>45430</v>
      </c>
    </row>
    <row r="16">
      <c r="A16" t="inlineStr">
        <is>
          <t>SGT/26-27/0115</t>
        </is>
      </c>
      <c r="B16" s="4" t="n">
        <v>46141</v>
      </c>
      <c r="C16" t="inlineStr">
        <is>
          <t>Dutta Stores</t>
        </is>
      </c>
      <c r="D16" t="inlineStr">
        <is>
          <t>Kolkata</t>
        </is>
      </c>
      <c r="E16" t="inlineStr">
        <is>
          <t>West Bengal</t>
        </is>
      </c>
      <c r="F16" t="inlineStr">
        <is>
          <t>19QSWFM2501C1Z8</t>
        </is>
      </c>
      <c r="G16" s="5" t="n">
        <v>82400</v>
      </c>
      <c r="H16" s="5" t="n">
        <v>14832</v>
      </c>
      <c r="I16" s="5" t="n">
        <v>97232</v>
      </c>
    </row>
    <row r="17">
      <c r="A17" t="inlineStr">
        <is>
          <t>SGT/26-27/0116</t>
        </is>
      </c>
      <c r="B17" s="4" t="n">
        <v>46143</v>
      </c>
      <c r="C17" t="inlineStr">
        <is>
          <t>Wagh Industries</t>
        </is>
      </c>
      <c r="D17" t="inlineStr">
        <is>
          <t>Nagpur</t>
        </is>
      </c>
      <c r="E17" t="inlineStr">
        <is>
          <t>Maharashtra</t>
        </is>
      </c>
      <c r="F17" t="inlineStr">
        <is>
          <t>27LPEFF2668B1Z9</t>
        </is>
      </c>
      <c r="G17" s="5" t="n">
        <v>140200</v>
      </c>
      <c r="H17" s="5" t="n">
        <v>25236</v>
      </c>
      <c r="I17" s="5" t="n">
        <v>165436</v>
      </c>
    </row>
    <row r="18">
      <c r="A18" t="inlineStr">
        <is>
          <t>SGT/26-27/0117</t>
        </is>
      </c>
      <c r="B18" s="4" t="n">
        <v>46145</v>
      </c>
      <c r="C18" t="inlineStr">
        <is>
          <t>Naidu Distributors</t>
        </is>
      </c>
      <c r="D18" t="inlineStr">
        <is>
          <t>Vijayawada</t>
        </is>
      </c>
      <c r="E18" t="inlineStr">
        <is>
          <t>Andhra Pradesh</t>
        </is>
      </c>
      <c r="F18" t="inlineStr">
        <is>
          <t>37UPMJU4340U1Z9</t>
        </is>
      </c>
      <c r="G18" s="5" t="n">
        <v>22700</v>
      </c>
      <c r="H18" s="5" t="n">
        <v>4086</v>
      </c>
      <c r="I18" s="5" t="n">
        <v>26786</v>
      </c>
    </row>
    <row r="19">
      <c r="A19" t="inlineStr">
        <is>
          <t>SGT/26-27/0118</t>
        </is>
      </c>
      <c r="B19" s="4" t="n">
        <v>46147</v>
      </c>
      <c r="C19" t="inlineStr">
        <is>
          <t>Jain Hardware</t>
        </is>
      </c>
      <c r="D19" t="inlineStr">
        <is>
          <t>Indore</t>
        </is>
      </c>
      <c r="E19" t="inlineStr">
        <is>
          <t>Madhya Pradesh</t>
        </is>
      </c>
      <c r="F19" t="inlineStr">
        <is>
          <t>23GBGLY6863V1Z1</t>
        </is>
      </c>
      <c r="G19" s="5" t="n">
        <v>150400</v>
      </c>
      <c r="H19" s="5" t="n">
        <v>27072</v>
      </c>
      <c r="I19" s="5" t="n">
        <v>177472</v>
      </c>
    </row>
    <row r="20">
      <c r="A20" t="inlineStr">
        <is>
          <t>SGT/26-27/0119</t>
        </is>
      </c>
      <c r="B20" s="4" t="n">
        <v>46149</v>
      </c>
      <c r="C20" t="inlineStr">
        <is>
          <t>Thakkar Sales</t>
        </is>
      </c>
      <c r="D20" t="inlineStr">
        <is>
          <t>Rajkot</t>
        </is>
      </c>
      <c r="E20" t="inlineStr">
        <is>
          <t>Gujarat</t>
        </is>
      </c>
      <c r="F20" t="inlineStr">
        <is>
          <t>24KFYMT7487R1Z5</t>
        </is>
      </c>
      <c r="G20" s="5" t="n">
        <v>160600</v>
      </c>
      <c r="H20" s="5" t="n">
        <v>28908</v>
      </c>
      <c r="I20" s="5" t="n">
        <v>189508</v>
      </c>
    </row>
    <row r="21">
      <c r="A21" t="inlineStr">
        <is>
          <t>SGT/26-27/0120</t>
        </is>
      </c>
      <c r="B21" s="4" t="n">
        <v>46151</v>
      </c>
      <c r="C21" t="inlineStr">
        <is>
          <t>Agarwal Traders</t>
        </is>
      </c>
      <c r="D21" t="inlineStr">
        <is>
          <t>Jaipur</t>
        </is>
      </c>
      <c r="E21" t="inlineStr">
        <is>
          <t>Rajasthan</t>
        </is>
      </c>
      <c r="F21" t="inlineStr">
        <is>
          <t>08KRQNU2999K1Z2</t>
        </is>
      </c>
      <c r="G21" s="5" t="n">
        <v>45200</v>
      </c>
      <c r="H21" s="5" t="n">
        <v>8136</v>
      </c>
      <c r="I21" s="5" t="n">
        <v>53336</v>
      </c>
    </row>
    <row r="22">
      <c r="A22" t="inlineStr">
        <is>
          <t>SGT/26-27/0121</t>
        </is>
      </c>
      <c r="B22" s="4" t="n">
        <v>46153</v>
      </c>
      <c r="C22" t="inlineStr">
        <is>
          <t>Wagh Industries</t>
        </is>
      </c>
      <c r="D22" t="inlineStr">
        <is>
          <t>Nagpur</t>
        </is>
      </c>
      <c r="E22" t="inlineStr">
        <is>
          <t>Maharashtra</t>
        </is>
      </c>
      <c r="F22" t="inlineStr">
        <is>
          <t>27LCSKR8606Q1Z4</t>
        </is>
      </c>
      <c r="G22" s="5" t="n">
        <v>181200</v>
      </c>
      <c r="H22" s="5" t="n">
        <v>32616</v>
      </c>
      <c r="I22" s="5" t="n">
        <v>213816</v>
      </c>
    </row>
    <row r="23">
      <c r="A23" t="inlineStr">
        <is>
          <t>SGT/26-27/0122</t>
        </is>
      </c>
      <c r="B23" s="4" t="n">
        <v>46155</v>
      </c>
      <c r="C23" t="inlineStr">
        <is>
          <t>Naidu Distributors</t>
        </is>
      </c>
      <c r="D23" t="inlineStr">
        <is>
          <t>Vijayawada</t>
        </is>
      </c>
      <c r="E23" t="inlineStr">
        <is>
          <t>Andhra Pradesh</t>
        </is>
      </c>
      <c r="F23" t="inlineStr">
        <is>
          <t>37AZUAQ7661G1Z2</t>
        </is>
      </c>
      <c r="G23" s="5" t="n">
        <v>204200</v>
      </c>
      <c r="H23" s="5" t="n">
        <v>36756</v>
      </c>
      <c r="I23" s="5" t="n">
        <v>240956</v>
      </c>
    </row>
    <row r="24">
      <c r="A24" t="inlineStr">
        <is>
          <t>SGT/26-27/0123</t>
        </is>
      </c>
      <c r="B24" s="4" t="n">
        <v>46157</v>
      </c>
      <c r="C24" t="inlineStr">
        <is>
          <t>Menon Agencies</t>
        </is>
      </c>
      <c r="D24" t="inlineStr">
        <is>
          <t>Kochi</t>
        </is>
      </c>
      <c r="E24" t="inlineStr">
        <is>
          <t>Kerala</t>
        </is>
      </c>
      <c r="F24" t="inlineStr">
        <is>
          <t>32TWZBQ9582D1Z8</t>
        </is>
      </c>
      <c r="G24" s="5" t="n">
        <v>55700</v>
      </c>
      <c r="H24" s="5" t="n">
        <v>10026</v>
      </c>
      <c r="I24" s="5" t="n">
        <v>65726</v>
      </c>
    </row>
    <row r="25">
      <c r="A25" t="inlineStr">
        <is>
          <t>SGT/26-27/0124</t>
        </is>
      </c>
      <c r="B25" s="4" t="n">
        <v>46159</v>
      </c>
      <c r="C25" t="inlineStr">
        <is>
          <t>Agarwal Traders</t>
        </is>
      </c>
      <c r="D25" t="inlineStr">
        <is>
          <t>Jaipur</t>
        </is>
      </c>
      <c r="E25" t="inlineStr">
        <is>
          <t>Rajasthan</t>
        </is>
      </c>
      <c r="F25" t="inlineStr">
        <is>
          <t>08ZBVMD5663L1Z4</t>
        </is>
      </c>
      <c r="G25" s="5" t="n">
        <v>204000</v>
      </c>
      <c r="H25" s="5" t="n">
        <v>36720</v>
      </c>
      <c r="I25" s="5" t="n">
        <v>240720</v>
      </c>
    </row>
    <row r="26">
      <c r="A26" t="inlineStr">
        <is>
          <t>SGT/26-27/0125</t>
        </is>
      </c>
      <c r="B26" s="4" t="n">
        <v>46161</v>
      </c>
      <c r="C26" t="inlineStr">
        <is>
          <t>Rao Suppliers</t>
        </is>
      </c>
      <c r="D26" t="inlineStr">
        <is>
          <t>Hyderabad</t>
        </is>
      </c>
      <c r="E26" t="inlineStr">
        <is>
          <t>Telangana</t>
        </is>
      </c>
      <c r="F26" t="inlineStr">
        <is>
          <t>36ZDEGN1364A1Z4</t>
        </is>
      </c>
      <c r="G26" s="5" t="n">
        <v>45300</v>
      </c>
      <c r="H26" s="5" t="n">
        <v>8154</v>
      </c>
      <c r="I26" s="5" t="n">
        <v>53454</v>
      </c>
    </row>
    <row r="27">
      <c r="A27" t="inlineStr">
        <is>
          <t>SGT/26-27/0126</t>
        </is>
      </c>
      <c r="B27" s="4" t="n">
        <v>46163</v>
      </c>
      <c r="C27" t="inlineStr">
        <is>
          <t>Bhatia Electronics</t>
        </is>
      </c>
      <c r="D27" t="inlineStr">
        <is>
          <t>Ludhiana</t>
        </is>
      </c>
      <c r="E27" t="inlineStr">
        <is>
          <t>Punjab</t>
        </is>
      </c>
      <c r="F27" t="inlineStr">
        <is>
          <t>03RFGBA8620P1Z9</t>
        </is>
      </c>
      <c r="G27" s="5" t="n">
        <v>175300</v>
      </c>
      <c r="H27" s="5" t="n">
        <v>31554</v>
      </c>
      <c r="I27" s="5" t="n">
        <v>206854</v>
      </c>
    </row>
    <row r="28">
      <c r="A28" t="inlineStr">
        <is>
          <t>SGT/26-27/0127</t>
        </is>
      </c>
      <c r="B28" s="4" t="n">
        <v>46165</v>
      </c>
      <c r="C28" t="inlineStr">
        <is>
          <t>Rao Suppliers</t>
        </is>
      </c>
      <c r="D28" t="inlineStr">
        <is>
          <t>Hyderabad</t>
        </is>
      </c>
      <c r="E28" t="inlineStr">
        <is>
          <t>Telangana</t>
        </is>
      </c>
      <c r="F28" t="inlineStr">
        <is>
          <t>36SYTPQ3558S1Z5</t>
        </is>
      </c>
      <c r="G28" s="5" t="n">
        <v>163600</v>
      </c>
      <c r="H28" s="5" t="n">
        <v>29448</v>
      </c>
      <c r="I28" s="5" t="n">
        <v>193048</v>
      </c>
    </row>
    <row r="29">
      <c r="A29" t="inlineStr">
        <is>
          <t>SGT/26-27/0128</t>
        </is>
      </c>
      <c r="B29" s="4" t="n">
        <v>46167</v>
      </c>
      <c r="C29" t="inlineStr">
        <is>
          <t>Wagh Industries</t>
        </is>
      </c>
      <c r="D29" t="inlineStr">
        <is>
          <t>Nagpur</t>
        </is>
      </c>
      <c r="E29" t="inlineStr">
        <is>
          <t>Maharashtra</t>
        </is>
      </c>
      <c r="F29" t="inlineStr">
        <is>
          <t>27FLRLN5560E1Z7</t>
        </is>
      </c>
      <c r="G29" s="5" t="n">
        <v>169400</v>
      </c>
      <c r="H29" s="5" t="n">
        <v>30492</v>
      </c>
      <c r="I29" s="5" t="n">
        <v>199892</v>
      </c>
    </row>
    <row r="30">
      <c r="A30" t="inlineStr">
        <is>
          <t>SGT/26-27/0129</t>
        </is>
      </c>
      <c r="B30" s="4" t="n">
        <v>46169</v>
      </c>
      <c r="C30" t="inlineStr">
        <is>
          <t>Menon Agencies</t>
        </is>
      </c>
      <c r="D30" t="inlineStr">
        <is>
          <t>Kochi</t>
        </is>
      </c>
      <c r="E30" t="inlineStr">
        <is>
          <t>Kerala</t>
        </is>
      </c>
      <c r="F30" t="inlineStr">
        <is>
          <t>32SZQVH4209E1Z9</t>
        </is>
      </c>
      <c r="G30" s="5" t="n">
        <v>135600</v>
      </c>
      <c r="H30" s="5" t="n">
        <v>24408</v>
      </c>
      <c r="I30" s="5" t="n">
        <v>160008</v>
      </c>
    </row>
    <row r="31">
      <c r="A31" t="inlineStr">
        <is>
          <t>SGT/26-27/0130</t>
        </is>
      </c>
      <c r="B31" s="4" t="n">
        <v>46171</v>
      </c>
      <c r="C31" t="inlineStr">
        <is>
          <t>Bhatia Electronics</t>
        </is>
      </c>
      <c r="D31" t="inlineStr">
        <is>
          <t>Ludhiana</t>
        </is>
      </c>
      <c r="E31" t="inlineStr">
        <is>
          <t>Punjab</t>
        </is>
      </c>
      <c r="F31" t="inlineStr">
        <is>
          <t>03CLPPV6209M1Z7</t>
        </is>
      </c>
      <c r="G31" s="5" t="n">
        <v>38500</v>
      </c>
      <c r="H31" s="5" t="n">
        <v>6930</v>
      </c>
      <c r="I31" s="5" t="n">
        <v>45430</v>
      </c>
    </row>
    <row r="32">
      <c r="A32" t="inlineStr">
        <is>
          <t>SGT/26-27/0131</t>
        </is>
      </c>
      <c r="B32" s="4" t="n">
        <v>46173</v>
      </c>
      <c r="C32" t="inlineStr">
        <is>
          <t>Fernandes &amp; Co</t>
        </is>
      </c>
      <c r="D32" t="inlineStr">
        <is>
          <t>Panaji</t>
        </is>
      </c>
      <c r="E32" t="inlineStr">
        <is>
          <t>Goa</t>
        </is>
      </c>
      <c r="F32" t="inlineStr">
        <is>
          <t>30QNZLC7677Y1Z6</t>
        </is>
      </c>
      <c r="G32" s="5" t="n">
        <v>119000</v>
      </c>
      <c r="H32" s="5" t="n">
        <v>21420</v>
      </c>
      <c r="I32" s="5" t="n">
        <v>140420</v>
      </c>
    </row>
    <row r="33">
      <c r="A33" t="inlineStr">
        <is>
          <t>SGT/26-27/0132</t>
        </is>
      </c>
      <c r="B33" s="4" t="n">
        <v>46175</v>
      </c>
      <c r="C33" t="inlineStr">
        <is>
          <t>Jain Hardware</t>
        </is>
      </c>
      <c r="D33" t="inlineStr">
        <is>
          <t>Indore</t>
        </is>
      </c>
      <c r="E33" t="inlineStr">
        <is>
          <t>Madhya Pradesh</t>
        </is>
      </c>
      <c r="F33" t="inlineStr">
        <is>
          <t>23GDGWJ1108P1Z1</t>
        </is>
      </c>
      <c r="G33" s="5" t="n">
        <v>182600</v>
      </c>
      <c r="H33" s="5" t="n">
        <v>32868</v>
      </c>
      <c r="I33" s="5" t="n">
        <v>215468</v>
      </c>
    </row>
    <row r="34">
      <c r="A34" t="inlineStr">
        <is>
          <t>SGT/26-27/0133</t>
        </is>
      </c>
      <c r="B34" s="4" t="n">
        <v>46177</v>
      </c>
      <c r="C34" t="inlineStr">
        <is>
          <t>Naidu Distributors</t>
        </is>
      </c>
      <c r="D34" t="inlineStr">
        <is>
          <t>Vijayawada</t>
        </is>
      </c>
      <c r="E34" t="inlineStr">
        <is>
          <t>Andhra Pradesh</t>
        </is>
      </c>
      <c r="F34" t="inlineStr">
        <is>
          <t>37RFJUW5496A1Z1</t>
        </is>
      </c>
      <c r="G34" s="5" t="n">
        <v>174400</v>
      </c>
      <c r="H34" s="5" t="n">
        <v>31392</v>
      </c>
      <c r="I34" s="5" t="n">
        <v>205792</v>
      </c>
    </row>
    <row r="35">
      <c r="A35" t="inlineStr">
        <is>
          <t>SGT/26-27/0134</t>
        </is>
      </c>
      <c r="B35" s="4" t="n">
        <v>46179</v>
      </c>
      <c r="C35" t="inlineStr">
        <is>
          <t>Kapoor Mart</t>
        </is>
      </c>
      <c r="D35" t="inlineStr">
        <is>
          <t>Lucknow</t>
        </is>
      </c>
      <c r="E35" t="inlineStr">
        <is>
          <t>Uttar Pradesh</t>
        </is>
      </c>
      <c r="F35" t="inlineStr">
        <is>
          <t>09PBCYG7357G1Z1</t>
        </is>
      </c>
      <c r="G35" s="5" t="n">
        <v>189800</v>
      </c>
      <c r="H35" s="5" t="n">
        <v>34164</v>
      </c>
      <c r="I35" s="5" t="n">
        <v>223964</v>
      </c>
    </row>
    <row r="36">
      <c r="A36" t="inlineStr">
        <is>
          <t>SGT/26-27/0135</t>
        </is>
      </c>
      <c r="B36" s="4" t="n">
        <v>46181</v>
      </c>
      <c r="C36" t="inlineStr">
        <is>
          <t>Agarwal Traders</t>
        </is>
      </c>
      <c r="D36" t="inlineStr">
        <is>
          <t>Jaipur</t>
        </is>
      </c>
      <c r="E36" t="inlineStr">
        <is>
          <t>Rajasthan</t>
        </is>
      </c>
      <c r="F36" t="inlineStr">
        <is>
          <t>08MWYXT3443H1Z5</t>
        </is>
      </c>
      <c r="G36" s="5" t="n">
        <v>208300</v>
      </c>
      <c r="H36" s="5" t="n">
        <v>37494</v>
      </c>
      <c r="I36" s="5" t="n">
        <v>245794</v>
      </c>
    </row>
    <row r="37">
      <c r="A37" t="inlineStr">
        <is>
          <t>SGT/26-27/0136</t>
        </is>
      </c>
      <c r="B37" s="4" t="n">
        <v>46183</v>
      </c>
      <c r="C37" t="inlineStr">
        <is>
          <t>Saxena Retail</t>
        </is>
      </c>
      <c r="D37" t="inlineStr">
        <is>
          <t>Bhopal</t>
        </is>
      </c>
      <c r="E37" t="inlineStr">
        <is>
          <t>Madhya Pradesh</t>
        </is>
      </c>
      <c r="F37" t="inlineStr">
        <is>
          <t>23FCRHD6221R1Z1</t>
        </is>
      </c>
      <c r="G37" s="5" t="n">
        <v>62400</v>
      </c>
      <c r="H37" s="5" t="n">
        <v>11232</v>
      </c>
      <c r="I37" s="5" t="n">
        <v>73632</v>
      </c>
    </row>
    <row r="38">
      <c r="A38" t="inlineStr">
        <is>
          <t>SGT/26-27/0137</t>
        </is>
      </c>
      <c r="B38" s="4" t="n">
        <v>46185</v>
      </c>
      <c r="C38" t="inlineStr">
        <is>
          <t>Hegde Enterprises</t>
        </is>
      </c>
      <c r="D38" t="inlineStr">
        <is>
          <t>Mangaluru</t>
        </is>
      </c>
      <c r="E38" t="inlineStr">
        <is>
          <t>Karnataka</t>
        </is>
      </c>
      <c r="F38" t="inlineStr">
        <is>
          <t>29PZYJF1927H1Z2</t>
        </is>
      </c>
      <c r="G38" s="5" t="n">
        <v>130300</v>
      </c>
      <c r="H38" s="5" t="n">
        <v>23454</v>
      </c>
      <c r="I38" s="5" t="n">
        <v>153754</v>
      </c>
    </row>
    <row r="39">
      <c r="A39" t="inlineStr">
        <is>
          <t>SGT/26-27/0138</t>
        </is>
      </c>
      <c r="B39" s="4" t="n">
        <v>46187</v>
      </c>
      <c r="C39" t="inlineStr">
        <is>
          <t>Chopra Textiles</t>
        </is>
      </c>
      <c r="D39" t="inlineStr">
        <is>
          <t>Delhi</t>
        </is>
      </c>
      <c r="E39" t="inlineStr">
        <is>
          <t>Delhi</t>
        </is>
      </c>
      <c r="F39" t="inlineStr">
        <is>
          <t>07UMYNG6665Y1Z7</t>
        </is>
      </c>
      <c r="G39" s="5" t="n">
        <v>212400</v>
      </c>
      <c r="H39" s="5" t="n">
        <v>38232</v>
      </c>
      <c r="I39" s="5" t="n">
        <v>250632</v>
      </c>
    </row>
    <row r="40">
      <c r="A40" t="inlineStr">
        <is>
          <t>SGT/26-27/0139</t>
        </is>
      </c>
      <c r="B40" s="4" t="n">
        <v>46189</v>
      </c>
      <c r="C40" t="inlineStr">
        <is>
          <t>Menon Agencies</t>
        </is>
      </c>
      <c r="D40" t="inlineStr">
        <is>
          <t>Kochi</t>
        </is>
      </c>
      <c r="E40" t="inlineStr">
        <is>
          <t>Kerala</t>
        </is>
      </c>
      <c r="F40" t="inlineStr">
        <is>
          <t>32UFXKY7118N1Z2</t>
        </is>
      </c>
      <c r="G40" s="5" t="n">
        <v>44600</v>
      </c>
      <c r="H40" s="5" t="n">
        <v>8028</v>
      </c>
      <c r="I40" s="5" t="n">
        <v>52628</v>
      </c>
    </row>
    <row r="41">
      <c r="A41" t="inlineStr">
        <is>
          <t>SGT/26-27/0140</t>
        </is>
      </c>
      <c r="B41" s="4" t="n">
        <v>46191</v>
      </c>
      <c r="C41" t="inlineStr">
        <is>
          <t>Dutta Stores</t>
        </is>
      </c>
      <c r="D41" t="inlineStr">
        <is>
          <t>Kolkata</t>
        </is>
      </c>
      <c r="E41" t="inlineStr">
        <is>
          <t>West Bengal</t>
        </is>
      </c>
      <c r="F41" t="inlineStr">
        <is>
          <t>19FNMTU3710S1Z3</t>
        </is>
      </c>
      <c r="G41" s="5" t="n">
        <v>190800</v>
      </c>
      <c r="H41" s="5" t="n">
        <v>34344</v>
      </c>
      <c r="I41" s="5" t="n">
        <v>225144</v>
      </c>
    </row>
    <row r="42">
      <c r="A42" t="inlineStr">
        <is>
          <t>SGT/26-27/0141</t>
        </is>
      </c>
      <c r="B42" s="4" t="n">
        <v>46193</v>
      </c>
      <c r="C42" t="inlineStr">
        <is>
          <t>Saxena Retail</t>
        </is>
      </c>
      <c r="D42" t="inlineStr">
        <is>
          <t>Bhopal</t>
        </is>
      </c>
      <c r="E42" t="inlineStr">
        <is>
          <t>Madhya Pradesh</t>
        </is>
      </c>
      <c r="F42" t="inlineStr">
        <is>
          <t>23YVHWF4567Y1Z6</t>
        </is>
      </c>
      <c r="G42" s="5" t="n">
        <v>151500</v>
      </c>
      <c r="H42" s="5" t="n">
        <v>27270</v>
      </c>
      <c r="I42" s="5" t="n">
        <v>178770</v>
      </c>
    </row>
    <row r="43">
      <c r="A43" t="inlineStr">
        <is>
          <t>SGT/26-27/0142</t>
        </is>
      </c>
      <c r="B43" s="4" t="n">
        <v>46195</v>
      </c>
      <c r="C43" t="inlineStr">
        <is>
          <t>Dutta Stores</t>
        </is>
      </c>
      <c r="D43" t="inlineStr">
        <is>
          <t>Kolkata</t>
        </is>
      </c>
      <c r="E43" t="inlineStr">
        <is>
          <t>West Bengal</t>
        </is>
      </c>
      <c r="F43" t="inlineStr">
        <is>
          <t>19VLVJN6143M1Z6</t>
        </is>
      </c>
      <c r="G43" s="5" t="n">
        <v>111600</v>
      </c>
      <c r="H43" s="5" t="n">
        <v>20088</v>
      </c>
      <c r="I43" s="5" t="n">
        <v>131688</v>
      </c>
    </row>
    <row r="44">
      <c r="A44" t="inlineStr">
        <is>
          <t>SGT/26-27/0143</t>
        </is>
      </c>
      <c r="B44" s="4" t="n">
        <v>46197</v>
      </c>
      <c r="C44" t="inlineStr">
        <is>
          <t>Pillai Brothers</t>
        </is>
      </c>
      <c r="D44" t="inlineStr">
        <is>
          <t>Chennai</t>
        </is>
      </c>
      <c r="E44" t="inlineStr">
        <is>
          <t>Tamil Nadu</t>
        </is>
      </c>
      <c r="F44" t="inlineStr">
        <is>
          <t>33JKTEV3260S1Z5</t>
        </is>
      </c>
      <c r="G44" s="5" t="n">
        <v>110800</v>
      </c>
      <c r="H44" s="5" t="n">
        <v>19944</v>
      </c>
      <c r="I44" s="5" t="n">
        <v>130744</v>
      </c>
    </row>
    <row r="45">
      <c r="A45" t="inlineStr">
        <is>
          <t>SGT/26-27/0144</t>
        </is>
      </c>
      <c r="B45" s="4" t="n">
        <v>46199</v>
      </c>
      <c r="C45" t="inlineStr">
        <is>
          <t>Jain Hardware</t>
        </is>
      </c>
      <c r="D45" t="inlineStr">
        <is>
          <t>Indore</t>
        </is>
      </c>
      <c r="E45" t="inlineStr">
        <is>
          <t>Madhya Pradesh</t>
        </is>
      </c>
      <c r="F45" t="inlineStr">
        <is>
          <t>23ZPVHQ8956Y1Z5</t>
        </is>
      </c>
      <c r="G45" s="5" t="n">
        <v>208600</v>
      </c>
      <c r="H45" s="5" t="n">
        <v>37548</v>
      </c>
      <c r="I45" s="5" t="n">
        <v>246148</v>
      </c>
    </row>
    <row r="46">
      <c r="A46" t="inlineStr">
        <is>
          <t>SGT/26-27/0145</t>
        </is>
      </c>
      <c r="B46" s="4" t="n">
        <v>46201</v>
      </c>
      <c r="C46" t="inlineStr">
        <is>
          <t>Menon Agencies</t>
        </is>
      </c>
      <c r="D46" t="inlineStr">
        <is>
          <t>Kochi</t>
        </is>
      </c>
      <c r="E46" t="inlineStr">
        <is>
          <t>Kerala</t>
        </is>
      </c>
      <c r="F46" t="inlineStr">
        <is>
          <t>32ZFWEW3910N1Z7</t>
        </is>
      </c>
      <c r="G46" s="5" t="n">
        <v>184400</v>
      </c>
      <c r="H46" s="5" t="n">
        <v>33192</v>
      </c>
      <c r="I46" s="5" t="n">
        <v>217592</v>
      </c>
    </row>
    <row r="47">
      <c r="A47" t="inlineStr">
        <is>
          <t>SGT/26-27/0146</t>
        </is>
      </c>
      <c r="B47" s="4" t="n">
        <v>46203</v>
      </c>
      <c r="C47" t="inlineStr">
        <is>
          <t>Menon Agencies</t>
        </is>
      </c>
      <c r="D47" t="inlineStr">
        <is>
          <t>Kochi</t>
        </is>
      </c>
      <c r="E47" t="inlineStr">
        <is>
          <t>Kerala</t>
        </is>
      </c>
      <c r="F47" t="inlineStr">
        <is>
          <t>32LZPTE9491U1Z7</t>
        </is>
      </c>
      <c r="G47" s="5" t="n">
        <v>60700</v>
      </c>
      <c r="H47" s="5" t="n">
        <v>10926</v>
      </c>
      <c r="I47" s="5" t="n">
        <v>71626</v>
      </c>
    </row>
    <row r="48">
      <c r="A48" t="inlineStr">
        <is>
          <t>SGT/26-27/0147</t>
        </is>
      </c>
      <c r="B48" s="4" t="n">
        <v>46205</v>
      </c>
      <c r="C48" t="inlineStr">
        <is>
          <t>Menon Agencies</t>
        </is>
      </c>
      <c r="D48" t="inlineStr">
        <is>
          <t>Kochi</t>
        </is>
      </c>
      <c r="E48" t="inlineStr">
        <is>
          <t>Kerala</t>
        </is>
      </c>
      <c r="F48" t="inlineStr">
        <is>
          <t>32DRVLV1305B1Z1</t>
        </is>
      </c>
      <c r="G48" s="5" t="n">
        <v>107000</v>
      </c>
      <c r="H48" s="5" t="n">
        <v>19260</v>
      </c>
      <c r="I48" s="5" t="n">
        <v>126260</v>
      </c>
    </row>
    <row r="49">
      <c r="A49" t="inlineStr">
        <is>
          <t>SGT/26-27/0148</t>
        </is>
      </c>
      <c r="B49" s="4" t="n">
        <v>46207</v>
      </c>
      <c r="C49" t="inlineStr">
        <is>
          <t>Kapoor Mart</t>
        </is>
      </c>
      <c r="D49" t="inlineStr">
        <is>
          <t>Lucknow</t>
        </is>
      </c>
      <c r="E49" t="inlineStr">
        <is>
          <t>Uttar Pradesh</t>
        </is>
      </c>
      <c r="F49" t="inlineStr">
        <is>
          <t>09VAXYG1887L1Z8</t>
        </is>
      </c>
      <c r="G49" s="5" t="n">
        <v>236300</v>
      </c>
      <c r="H49" s="5" t="n">
        <v>42534</v>
      </c>
      <c r="I49" s="5" t="n">
        <v>278834</v>
      </c>
    </row>
    <row r="50">
      <c r="A50" t="inlineStr">
        <is>
          <t>SGT/26-27/0149</t>
        </is>
      </c>
      <c r="B50" s="4" t="n">
        <v>46209</v>
      </c>
      <c r="C50" t="inlineStr">
        <is>
          <t>Bhatia Electronics</t>
        </is>
      </c>
      <c r="D50" t="inlineStr">
        <is>
          <t>Ludhiana</t>
        </is>
      </c>
      <c r="E50" t="inlineStr">
        <is>
          <t>Punjab</t>
        </is>
      </c>
      <c r="F50" t="inlineStr">
        <is>
          <t>03GRCDG8700L1Z6</t>
        </is>
      </c>
      <c r="G50" s="5" t="n">
        <v>99000</v>
      </c>
      <c r="H50" s="5" t="n">
        <v>17820</v>
      </c>
      <c r="I50" s="5" t="n">
        <v>116820</v>
      </c>
    </row>
    <row r="51">
      <c r="A51" t="inlineStr">
        <is>
          <t>SGT/26-27/0150</t>
        </is>
      </c>
      <c r="B51" s="4" t="n">
        <v>46211</v>
      </c>
      <c r="C51" t="inlineStr">
        <is>
          <t>Chopra Textiles</t>
        </is>
      </c>
      <c r="D51" t="inlineStr">
        <is>
          <t>Delhi</t>
        </is>
      </c>
      <c r="E51" t="inlineStr">
        <is>
          <t>Delhi</t>
        </is>
      </c>
      <c r="F51" t="inlineStr">
        <is>
          <t>07DJQMK4250G1Z4</t>
        </is>
      </c>
      <c r="G51" s="5" t="n">
        <v>49800</v>
      </c>
      <c r="H51" s="5" t="n">
        <v>8964</v>
      </c>
      <c r="I51" s="5" t="n">
        <v>58764</v>
      </c>
    </row>
    <row r="52">
      <c r="A52" t="inlineStr">
        <is>
          <t>SGT/26-27/0151</t>
        </is>
      </c>
      <c r="B52" s="4" t="n">
        <v>46213</v>
      </c>
      <c r="C52" t="inlineStr">
        <is>
          <t>Dutta Stores</t>
        </is>
      </c>
      <c r="D52" t="inlineStr">
        <is>
          <t>Kolkata</t>
        </is>
      </c>
      <c r="E52" t="inlineStr">
        <is>
          <t>West Bengal</t>
        </is>
      </c>
      <c r="F52" t="inlineStr">
        <is>
          <t>19JAWQH8994M1Z2</t>
        </is>
      </c>
      <c r="G52" s="5" t="n">
        <v>45800</v>
      </c>
      <c r="H52" s="5" t="n">
        <v>8244</v>
      </c>
      <c r="I52" s="5" t="n">
        <v>54044</v>
      </c>
    </row>
    <row r="53">
      <c r="A53" t="inlineStr">
        <is>
          <t>SGT/26-27/0152</t>
        </is>
      </c>
      <c r="B53" s="4" t="n">
        <v>46215</v>
      </c>
      <c r="C53" t="inlineStr">
        <is>
          <t>Thakkar Sales</t>
        </is>
      </c>
      <c r="D53" t="inlineStr">
        <is>
          <t>Rajkot</t>
        </is>
      </c>
      <c r="E53" t="inlineStr">
        <is>
          <t>Gujarat</t>
        </is>
      </c>
      <c r="F53" t="inlineStr">
        <is>
          <t>24SKXJV7472F1Z3</t>
        </is>
      </c>
      <c r="G53" s="5" t="n">
        <v>199300</v>
      </c>
      <c r="H53" s="5" t="n">
        <v>35874</v>
      </c>
      <c r="I53" s="5" t="n">
        <v>235174</v>
      </c>
    </row>
    <row r="54">
      <c r="A54" t="inlineStr">
        <is>
          <t>SGT/26-27/0153</t>
        </is>
      </c>
      <c r="B54" s="4" t="n">
        <v>46217</v>
      </c>
      <c r="C54" t="inlineStr">
        <is>
          <t>Agarwal Traders</t>
        </is>
      </c>
      <c r="D54" t="inlineStr">
        <is>
          <t>Jaipur</t>
        </is>
      </c>
      <c r="E54" t="inlineStr">
        <is>
          <t>Rajasthan</t>
        </is>
      </c>
      <c r="F54" t="inlineStr">
        <is>
          <t>08KWGNC9125S1Z8</t>
        </is>
      </c>
      <c r="G54" s="5" t="n">
        <v>59700</v>
      </c>
      <c r="H54" s="5" t="n">
        <v>10746</v>
      </c>
      <c r="I54" s="5" t="n">
        <v>70446</v>
      </c>
    </row>
    <row r="55">
      <c r="A55" t="inlineStr">
        <is>
          <t>SGT/26-27/0154</t>
        </is>
      </c>
      <c r="B55" s="4" t="n">
        <v>46219</v>
      </c>
      <c r="C55" t="inlineStr">
        <is>
          <t>Wagh Industries</t>
        </is>
      </c>
      <c r="D55" t="inlineStr">
        <is>
          <t>Nagpur</t>
        </is>
      </c>
      <c r="E55" t="inlineStr">
        <is>
          <t>Maharashtra</t>
        </is>
      </c>
      <c r="F55" t="inlineStr">
        <is>
          <t>27BREMC6738W1Z5</t>
        </is>
      </c>
      <c r="G55" s="5" t="n">
        <v>91100</v>
      </c>
      <c r="H55" s="5" t="n">
        <v>16398</v>
      </c>
      <c r="I55" s="5" t="n">
        <v>107498</v>
      </c>
    </row>
    <row r="56">
      <c r="A56" t="inlineStr">
        <is>
          <t>SGT/26-27/0155</t>
        </is>
      </c>
      <c r="B56" s="4" t="n">
        <v>46221</v>
      </c>
      <c r="C56" t="inlineStr">
        <is>
          <t>Chopra Textiles</t>
        </is>
      </c>
      <c r="D56" t="inlineStr">
        <is>
          <t>Delhi</t>
        </is>
      </c>
      <c r="E56" t="inlineStr">
        <is>
          <t>Delhi</t>
        </is>
      </c>
      <c r="F56" t="inlineStr">
        <is>
          <t>07HMDBB5686P1Z2</t>
        </is>
      </c>
      <c r="G56" s="5" t="n">
        <v>32700</v>
      </c>
      <c r="H56" s="5" t="n">
        <v>5886</v>
      </c>
      <c r="I56" s="5" t="n">
        <v>38586</v>
      </c>
    </row>
    <row r="57">
      <c r="A57" t="inlineStr">
        <is>
          <t>SGT/26-27/0156</t>
        </is>
      </c>
      <c r="B57" s="4" t="n">
        <v>46223</v>
      </c>
      <c r="C57" t="inlineStr">
        <is>
          <t>Jain Hardware</t>
        </is>
      </c>
      <c r="D57" t="inlineStr">
        <is>
          <t>Indore</t>
        </is>
      </c>
      <c r="E57" t="inlineStr">
        <is>
          <t>Madhya Pradesh</t>
        </is>
      </c>
      <c r="F57" t="inlineStr">
        <is>
          <t>23GVWDA4768R1Z5</t>
        </is>
      </c>
      <c r="G57" s="5" t="n">
        <v>13000</v>
      </c>
      <c r="H57" s="5" t="n">
        <v>2340</v>
      </c>
      <c r="I57" s="5" t="n">
        <v>15340</v>
      </c>
    </row>
    <row r="58">
      <c r="A58" t="inlineStr">
        <is>
          <t>SGT/26-27/0157</t>
        </is>
      </c>
      <c r="B58" s="4" t="n">
        <v>46225</v>
      </c>
      <c r="C58" t="inlineStr">
        <is>
          <t>Hegde Enterprises</t>
        </is>
      </c>
      <c r="D58" t="inlineStr">
        <is>
          <t>Mangaluru</t>
        </is>
      </c>
      <c r="E58" t="inlineStr">
        <is>
          <t>Karnataka</t>
        </is>
      </c>
      <c r="F58" t="inlineStr">
        <is>
          <t>29UTBJE3409W1Z9</t>
        </is>
      </c>
      <c r="G58" s="5" t="n">
        <v>68400</v>
      </c>
      <c r="H58" s="5" t="n">
        <v>12312</v>
      </c>
      <c r="I58" s="5" t="n">
        <v>80712</v>
      </c>
    </row>
    <row r="59">
      <c r="A59" t="inlineStr">
        <is>
          <t>SGT/26-27/0158</t>
        </is>
      </c>
      <c r="B59" s="4" t="n">
        <v>46227</v>
      </c>
      <c r="C59" t="inlineStr">
        <is>
          <t>Rao Suppliers</t>
        </is>
      </c>
      <c r="D59" t="inlineStr">
        <is>
          <t>Hyderabad</t>
        </is>
      </c>
      <c r="E59" t="inlineStr">
        <is>
          <t>Telangana</t>
        </is>
      </c>
      <c r="F59" t="inlineStr">
        <is>
          <t>36TTKKS9760J1Z8</t>
        </is>
      </c>
      <c r="G59" s="5" t="n">
        <v>197400</v>
      </c>
      <c r="H59" s="5" t="n">
        <v>35532</v>
      </c>
      <c r="I59" s="5" t="n">
        <v>232932</v>
      </c>
    </row>
    <row r="60">
      <c r="A60" t="inlineStr">
        <is>
          <t>SGT/26-27/0159</t>
        </is>
      </c>
      <c r="B60" s="4" t="n">
        <v>46229</v>
      </c>
      <c r="C60" t="inlineStr">
        <is>
          <t>Pillai Brothers</t>
        </is>
      </c>
      <c r="D60" t="inlineStr">
        <is>
          <t>Chennai</t>
        </is>
      </c>
      <c r="E60" t="inlineStr">
        <is>
          <t>Tamil Nadu</t>
        </is>
      </c>
      <c r="F60" t="inlineStr">
        <is>
          <t>33AGXQE5023X1Z6</t>
        </is>
      </c>
      <c r="G60" s="5" t="n">
        <v>111200</v>
      </c>
      <c r="H60" s="5" t="n">
        <v>20016</v>
      </c>
      <c r="I60" s="5" t="n">
        <v>131216</v>
      </c>
    </row>
    <row r="61">
      <c r="A61" t="inlineStr">
        <is>
          <t>SGT/26-27/0160</t>
        </is>
      </c>
      <c r="B61" s="4" t="n">
        <v>46231</v>
      </c>
      <c r="C61" t="inlineStr">
        <is>
          <t>Agarwal Traders</t>
        </is>
      </c>
      <c r="D61" t="inlineStr">
        <is>
          <t>Jaipur</t>
        </is>
      </c>
      <c r="E61" t="inlineStr">
        <is>
          <t>Rajasthan</t>
        </is>
      </c>
      <c r="F61" t="inlineStr">
        <is>
          <t>08HYGHY6023L1Z1</t>
        </is>
      </c>
      <c r="G61" s="5" t="n">
        <v>86000</v>
      </c>
      <c r="H61" s="5" t="n">
        <v>15480</v>
      </c>
      <c r="I61" s="5" t="n">
        <v>101480</v>
      </c>
    </row>
    <row r="62">
      <c r="A62" s="8" t="inlineStr">
        <is>
          <t>Total</t>
        </is>
      </c>
      <c r="G62" s="12">
        <f>SUM(G2:G61)</f>
        <v/>
      </c>
      <c r="H62" s="12">
        <f>SUM(H2:H61)</f>
        <v/>
      </c>
      <c r="I62" s="12">
        <f>SUM(I2:I61)</f>
        <v/>
      </c>
    </row>
  </sheetData>
  <pageMargins left="0.75" right="0.75" top="1" bottom="1" header="0.5" footer="0.5"/>
  <pageSetup orientation="landscape" paperSize="9" fitToHeight="0" fitToWidth="1"/>
  <headerFooter>
    <oddHeader>&amp;C&amp;A</oddHeader>
    <oddFooter>&amp;CPage &amp;P of &amp;N&amp;RShree Ganesh Traders</oddFooter>
    <evenHeader/>
    <evenFooter/>
    <firstHeader/>
    <firstFooter/>
  </headerFooter>
  <rowBreaks count="1" manualBreakCount="1">
    <brk id="30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1" customWidth="1" min="3" max="3"/>
    <col width="11" customWidth="1" min="4" max="4"/>
    <col width="15" customWidth="1" min="7" max="7"/>
    <col width="20" customWidth="1" min="8" max="8"/>
    <col width="14" customWidth="1" min="9" max="9"/>
  </cols>
  <sheetData>
    <row r="1">
      <c r="A1" s="2" t="inlineStr">
        <is>
          <t>NSE code</t>
        </is>
      </c>
      <c r="B1" s="2" t="inlineStr">
        <is>
          <t>Company</t>
        </is>
      </c>
      <c r="C1" s="2" t="inlineStr">
        <is>
          <t>Price</t>
        </is>
      </c>
      <c r="D1" s="2" t="inlineStr">
        <is>
          <t>Change (%)</t>
        </is>
      </c>
      <c r="G1" s="2" t="inlineStr">
        <is>
          <t>State</t>
        </is>
      </c>
      <c r="H1" s="2" t="inlineStr">
        <is>
          <t>Capital</t>
        </is>
      </c>
      <c r="I1" s="2" t="inlineStr">
        <is>
          <t>Population</t>
        </is>
      </c>
    </row>
    <row r="2">
      <c r="A2" t="inlineStr">
        <is>
          <t>XNSE:RELIANCE</t>
        </is>
      </c>
      <c r="B2" s="9" t="n"/>
      <c r="C2" s="9" t="n"/>
      <c r="D2" s="9" t="n"/>
      <c r="G2" t="inlineStr">
        <is>
          <t>Maharashtra</t>
        </is>
      </c>
      <c r="H2" s="9" t="n"/>
      <c r="I2" s="9" t="n"/>
    </row>
    <row r="3">
      <c r="A3" t="inlineStr">
        <is>
          <t>XNSE:TCS</t>
        </is>
      </c>
      <c r="B3" s="9" t="n"/>
      <c r="C3" s="9" t="n"/>
      <c r="D3" s="9" t="n"/>
      <c r="G3" t="inlineStr">
        <is>
          <t>Karnataka</t>
        </is>
      </c>
      <c r="H3" s="9" t="n"/>
      <c r="I3" s="9" t="n"/>
    </row>
    <row r="4">
      <c r="A4" t="inlineStr">
        <is>
          <t>XNSE:INFY</t>
        </is>
      </c>
      <c r="B4" s="9" t="n"/>
      <c r="C4" s="9" t="n"/>
      <c r="D4" s="9" t="n"/>
      <c r="G4" t="inlineStr">
        <is>
          <t>West Bengal</t>
        </is>
      </c>
      <c r="H4" s="9" t="n"/>
      <c r="I4" s="9" t="n"/>
    </row>
    <row r="5">
      <c r="A5" t="inlineStr">
        <is>
          <t>XNSE:HDFCBANK</t>
        </is>
      </c>
      <c r="B5" s="9" t="n"/>
      <c r="C5" s="9" t="n"/>
      <c r="D5" s="9" t="n"/>
      <c r="G5" t="inlineStr">
        <is>
          <t>Rajasthan</t>
        </is>
      </c>
      <c r="H5" s="9" t="n"/>
      <c r="I5" s="9" t="n"/>
    </row>
    <row r="6">
      <c r="A6" t="inlineStr">
        <is>
          <t>XNSE:ITC</t>
        </is>
      </c>
      <c r="B6" s="9" t="n"/>
      <c r="C6" s="9" t="n"/>
      <c r="D6" s="9" t="n"/>
      <c r="G6" t="inlineStr">
        <is>
          <t>Uttar Pradesh</t>
        </is>
      </c>
      <c r="H6" s="9" t="n"/>
      <c r="I6" s="9" t="n"/>
    </row>
    <row r="7">
      <c r="A7" t="inlineStr">
        <is>
          <t>XNSE:LT</t>
        </is>
      </c>
      <c r="B7" s="9" t="n"/>
      <c r="C7" s="9" t="n"/>
      <c r="D7" s="9" t="n"/>
      <c r="G7" t="inlineStr">
        <is>
          <t>Kerala</t>
        </is>
      </c>
      <c r="H7" s="9" t="n"/>
      <c r="I7" s="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1" customWidth="1" min="3" max="3"/>
    <col width="11" customWidth="1" min="4" max="4"/>
    <col width="15" customWidth="1" min="7" max="7"/>
    <col width="20" customWidth="1" min="8" max="8"/>
    <col width="14" customWidth="1" min="9" max="9"/>
    <col width="48" customWidth="1" min="11" max="11"/>
  </cols>
  <sheetData>
    <row r="1">
      <c r="A1" s="2" t="inlineStr">
        <is>
          <t>NSE code</t>
        </is>
      </c>
      <c r="B1" s="2" t="inlineStr">
        <is>
          <t>Company</t>
        </is>
      </c>
      <c r="C1" s="2" t="inlineStr">
        <is>
          <t>Price</t>
        </is>
      </c>
      <c r="D1" s="2" t="inlineStr">
        <is>
          <t>Change (%)</t>
        </is>
      </c>
      <c r="G1" s="2" t="inlineStr">
        <is>
          <t>State</t>
        </is>
      </c>
      <c r="H1" s="2" t="inlineStr">
        <is>
          <t>Capital</t>
        </is>
      </c>
      <c r="I1" s="2" t="inlineStr">
        <is>
          <t>Population</t>
        </is>
      </c>
      <c r="K1" s="3" t="inlineStr">
        <is>
          <t>Finished state (live data, values change daily)</t>
        </is>
      </c>
    </row>
    <row r="2">
      <c r="A2" t="inlineStr">
        <is>
          <t>XNSE:RELIANCE</t>
        </is>
      </c>
      <c r="B2" t="inlineStr">
        <is>
          <t>(live)</t>
        </is>
      </c>
      <c r="C2" t="inlineStr">
        <is>
          <t>(live)</t>
        </is>
      </c>
      <c r="D2" t="inlineStr">
        <is>
          <t>(live)</t>
        </is>
      </c>
      <c r="G2" t="inlineStr">
        <is>
          <t>Maharashtra</t>
        </is>
      </c>
      <c r="H2" t="inlineStr">
        <is>
          <t>Mumbai</t>
        </is>
      </c>
      <c r="I2" t="inlineStr">
        <is>
          <t>(live)</t>
        </is>
      </c>
      <c r="K2" s="6" t="inlineStr">
        <is>
          <t>A2:A7 converted to Stocks; B =A2.Name, C =A2.Price, D =A2.[Change (%)]</t>
        </is>
      </c>
    </row>
    <row r="3">
      <c r="A3" t="inlineStr">
        <is>
          <t>XNSE:TCS</t>
        </is>
      </c>
      <c r="B3" t="inlineStr">
        <is>
          <t>(live)</t>
        </is>
      </c>
      <c r="C3" t="inlineStr">
        <is>
          <t>(live)</t>
        </is>
      </c>
      <c r="D3" t="inlineStr">
        <is>
          <t>(live)</t>
        </is>
      </c>
      <c r="G3" t="inlineStr">
        <is>
          <t>Karnataka</t>
        </is>
      </c>
      <c r="H3" t="inlineStr">
        <is>
          <t>Bengaluru</t>
        </is>
      </c>
      <c r="I3" t="inlineStr">
        <is>
          <t>(live)</t>
        </is>
      </c>
      <c r="K3" s="6" t="inlineStr">
        <is>
          <t>G2:G7 converted to Geography; H =G2.Capital, I =G2.Population</t>
        </is>
      </c>
    </row>
    <row r="4">
      <c r="A4" t="inlineStr">
        <is>
          <t>XNSE:INFY</t>
        </is>
      </c>
      <c r="B4" t="inlineStr">
        <is>
          <t>(live)</t>
        </is>
      </c>
      <c r="C4" t="inlineStr">
        <is>
          <t>(live)</t>
        </is>
      </c>
      <c r="D4" t="inlineStr">
        <is>
          <t>(live)</t>
        </is>
      </c>
      <c r="G4" t="inlineStr">
        <is>
          <t>West Bengal</t>
        </is>
      </c>
      <c r="H4" t="inlineStr">
        <is>
          <t>Kolkata</t>
        </is>
      </c>
      <c r="I4" t="inlineStr">
        <is>
          <t>(live)</t>
        </is>
      </c>
      <c r="K4" s="6" t="inlineStr">
        <is>
          <t>Challenge answer: =A2.[52 week high] and =G2.[Largest city]</t>
        </is>
      </c>
    </row>
    <row r="5">
      <c r="A5" t="inlineStr">
        <is>
          <t>XNSE:HDFCBANK</t>
        </is>
      </c>
      <c r="B5" t="inlineStr">
        <is>
          <t>(live)</t>
        </is>
      </c>
      <c r="C5" t="inlineStr">
        <is>
          <t>(live)</t>
        </is>
      </c>
      <c r="D5" t="inlineStr">
        <is>
          <t>(live)</t>
        </is>
      </c>
      <c r="G5" t="inlineStr">
        <is>
          <t>Rajasthan</t>
        </is>
      </c>
      <c r="H5" t="inlineStr">
        <is>
          <t>Jaipur</t>
        </is>
      </c>
      <c r="I5" t="inlineStr">
        <is>
          <t>(live)</t>
        </is>
      </c>
    </row>
    <row r="6">
      <c r="A6" t="inlineStr">
        <is>
          <t>XNSE:ITC</t>
        </is>
      </c>
      <c r="B6" t="inlineStr">
        <is>
          <t>(live)</t>
        </is>
      </c>
      <c r="C6" t="inlineStr">
        <is>
          <t>(live)</t>
        </is>
      </c>
      <c r="D6" t="inlineStr">
        <is>
          <t>(live)</t>
        </is>
      </c>
      <c r="G6" t="inlineStr">
        <is>
          <t>Uttar Pradesh</t>
        </is>
      </c>
      <c r="H6" t="inlineStr">
        <is>
          <t>Lucknow</t>
        </is>
      </c>
      <c r="I6" t="inlineStr">
        <is>
          <t>(live)</t>
        </is>
      </c>
    </row>
    <row r="7">
      <c r="A7" t="inlineStr">
        <is>
          <t>XNSE:LT</t>
        </is>
      </c>
      <c r="B7" t="inlineStr">
        <is>
          <t>(live)</t>
        </is>
      </c>
      <c r="C7" t="inlineStr">
        <is>
          <t>(live)</t>
        </is>
      </c>
      <c r="D7" t="inlineStr">
        <is>
          <t>(live)</t>
        </is>
      </c>
      <c r="G7" t="inlineStr">
        <is>
          <t>Kerala</t>
        </is>
      </c>
      <c r="H7" t="inlineStr">
        <is>
          <t>Thiruvananthapuram</t>
        </is>
      </c>
      <c r="I7" t="inlineStr">
        <is>
          <t>(live)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7" customWidth="1" min="3" max="3"/>
    <col width="14" customWidth="1" min="4" max="4"/>
    <col width="15" customWidth="1" min="5" max="5"/>
    <col width="13" customWidth="1" min="6" max="6"/>
  </cols>
  <sheetData>
    <row r="1">
      <c r="A1" s="19" t="inlineStr">
        <is>
          <t>TAX INVOICE</t>
        </is>
      </c>
    </row>
    <row r="3">
      <c r="A3" s="8" t="inlineStr">
        <is>
          <t>Shree Ganesh Traders Pvt Ltd</t>
        </is>
      </c>
      <c r="E3" s="8" t="inlineStr">
        <is>
          <t>Invoice No</t>
        </is>
      </c>
      <c r="F3" s="9" t="n"/>
    </row>
    <row r="4">
      <c r="A4" t="inlineStr">
        <is>
          <t>14, MG Road, Pune 411001, Maharashtra</t>
        </is>
      </c>
      <c r="E4" s="8" t="inlineStr">
        <is>
          <t>Invoice Date</t>
        </is>
      </c>
      <c r="F4" s="20" t="n"/>
    </row>
    <row r="5">
      <c r="A5" t="inlineStr">
        <is>
          <t>GSTIN: 27AAKCS4821M1Z6   PAN: AAKCS4821M</t>
        </is>
      </c>
      <c r="E5" s="8" t="inlineStr">
        <is>
          <t>Place of supply</t>
        </is>
      </c>
      <c r="F5" s="9" t="n"/>
    </row>
    <row r="7">
      <c r="A7" s="8" t="inlineStr">
        <is>
          <t>Bill to</t>
        </is>
      </c>
    </row>
    <row r="8">
      <c r="A8" s="9" t="n"/>
    </row>
    <row r="9">
      <c r="A9" s="9" t="n"/>
    </row>
    <row r="10">
      <c r="A10" s="9" t="n"/>
    </row>
    <row r="11">
      <c r="A11" s="8" t="inlineStr">
        <is>
          <t>Customer GSTIN</t>
        </is>
      </c>
      <c r="B11" s="9" t="n"/>
    </row>
    <row r="13">
      <c r="A13" s="2" t="inlineStr">
        <is>
          <t>Description</t>
        </is>
      </c>
      <c r="B13" s="2" t="inlineStr">
        <is>
          <t>HSN/SAC</t>
        </is>
      </c>
      <c r="C13" s="2" t="inlineStr">
        <is>
          <t>Qty</t>
        </is>
      </c>
      <c r="D13" s="2" t="inlineStr">
        <is>
          <t>Rate</t>
        </is>
      </c>
      <c r="E13" s="2" t="inlineStr">
        <is>
          <t>Taxable Value</t>
        </is>
      </c>
      <c r="F13" s="2" t="inlineStr">
        <is>
          <t>GST 18%</t>
        </is>
      </c>
    </row>
    <row r="14">
      <c r="A14" s="21" t="n"/>
      <c r="B14" s="21" t="n"/>
      <c r="C14" s="21" t="n"/>
      <c r="D14" s="22" t="n"/>
      <c r="E14" s="23">
        <f>IF(C14="","",C14*D14)</f>
        <v/>
      </c>
      <c r="F14" s="23">
        <f>IF(E14="","",E14*18%)</f>
        <v/>
      </c>
    </row>
    <row r="15">
      <c r="A15" s="21" t="n"/>
      <c r="B15" s="21" t="n"/>
      <c r="C15" s="21" t="n"/>
      <c r="D15" s="22" t="n"/>
      <c r="E15" s="23">
        <f>IF(C15="","",C15*D15)</f>
        <v/>
      </c>
      <c r="F15" s="23">
        <f>IF(E15="","",E15*18%)</f>
        <v/>
      </c>
    </row>
    <row r="16">
      <c r="A16" s="21" t="n"/>
      <c r="B16" s="21" t="n"/>
      <c r="C16" s="21" t="n"/>
      <c r="D16" s="22" t="n"/>
      <c r="E16" s="23">
        <f>IF(C16="","",C16*D16)</f>
        <v/>
      </c>
      <c r="F16" s="23">
        <f>IF(E16="","",E16*18%)</f>
        <v/>
      </c>
    </row>
    <row r="17">
      <c r="A17" s="21" t="n"/>
      <c r="B17" s="21" t="n"/>
      <c r="C17" s="21" t="n"/>
      <c r="D17" s="22" t="n"/>
      <c r="E17" s="23">
        <f>IF(C17="","",C17*D17)</f>
        <v/>
      </c>
      <c r="F17" s="23">
        <f>IF(E17="","",E17*18%)</f>
        <v/>
      </c>
    </row>
    <row r="18">
      <c r="A18" s="21" t="n"/>
      <c r="B18" s="21" t="n"/>
      <c r="C18" s="21" t="n"/>
      <c r="D18" s="22" t="n"/>
      <c r="E18" s="23">
        <f>IF(C18="","",C18*D18)</f>
        <v/>
      </c>
      <c r="F18" s="23">
        <f>IF(E18="","",E18*18%)</f>
        <v/>
      </c>
    </row>
    <row r="19">
      <c r="A19" s="21" t="n"/>
      <c r="B19" s="21" t="n"/>
      <c r="C19" s="21" t="n"/>
      <c r="D19" s="22" t="n"/>
      <c r="E19" s="23">
        <f>IF(C19="","",C19*D19)</f>
        <v/>
      </c>
      <c r="F19" s="23">
        <f>IF(E19="","",E19*18%)</f>
        <v/>
      </c>
    </row>
    <row r="20">
      <c r="A20" s="21" t="n"/>
      <c r="B20" s="21" t="n"/>
      <c r="C20" s="21" t="n"/>
      <c r="D20" s="22" t="n"/>
      <c r="E20" s="23">
        <f>IF(C20="","",C20*D20)</f>
        <v/>
      </c>
      <c r="F20" s="23">
        <f>IF(E20="","",E20*18%)</f>
        <v/>
      </c>
    </row>
    <row r="21">
      <c r="A21" s="21" t="n"/>
      <c r="B21" s="21" t="n"/>
      <c r="C21" s="21" t="n"/>
      <c r="D21" s="22" t="n"/>
      <c r="E21" s="23">
        <f>IF(C21="","",C21*D21)</f>
        <v/>
      </c>
      <c r="F21" s="23">
        <f>IF(E21="","",E21*18%)</f>
        <v/>
      </c>
    </row>
    <row r="23">
      <c r="D23" s="8" t="inlineStr">
        <is>
          <t>Taxable total</t>
        </is>
      </c>
      <c r="E23" s="12">
        <f>SUM(E14:E21)</f>
        <v/>
      </c>
    </row>
    <row r="24">
      <c r="D24" s="8" t="inlineStr">
        <is>
          <t>CGST 9%</t>
        </is>
      </c>
      <c r="E24" s="5">
        <f>E23*9%</f>
        <v/>
      </c>
    </row>
    <row r="25">
      <c r="D25" s="8" t="inlineStr">
        <is>
          <t>SGST 9%</t>
        </is>
      </c>
      <c r="E25" s="5">
        <f>E23*9%</f>
        <v/>
      </c>
    </row>
    <row r="26">
      <c r="D26" s="8" t="inlineStr">
        <is>
          <t>Invoice total</t>
        </is>
      </c>
      <c r="E26" s="12">
        <f>SUM(E23:E25)</f>
        <v/>
      </c>
    </row>
    <row r="30">
      <c r="A30" s="24" t="inlineStr">
        <is>
          <t>Thank you for your business. Payment due within 30 days.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7" customWidth="1" min="3" max="3"/>
    <col width="14" customWidth="1" min="4" max="4"/>
    <col width="15" customWidth="1" min="5" max="5"/>
    <col width="13" customWidth="1" min="6" max="6"/>
  </cols>
  <sheetData>
    <row r="1">
      <c r="A1" s="25" t="inlineStr">
        <is>
          <t>TAX INVOICE</t>
        </is>
      </c>
      <c r="B1" s="26" t="n"/>
      <c r="C1" s="26" t="n"/>
      <c r="D1" s="26" t="n"/>
      <c r="E1" s="26" t="n"/>
      <c r="F1" s="26" t="n"/>
    </row>
    <row r="3">
      <c r="A3" s="8" t="inlineStr">
        <is>
          <t>Shree Ganesh Traders Pvt Ltd</t>
        </is>
      </c>
      <c r="E3" s="8" t="inlineStr">
        <is>
          <t>Invoice No</t>
        </is>
      </c>
      <c r="F3" s="9" t="n"/>
    </row>
    <row r="4">
      <c r="A4" t="inlineStr">
        <is>
          <t>14, MG Road, Pune 411001, Maharashtra</t>
        </is>
      </c>
      <c r="E4" s="8" t="inlineStr">
        <is>
          <t>Invoice Date</t>
        </is>
      </c>
      <c r="F4" s="20" t="n"/>
    </row>
    <row r="5">
      <c r="A5" t="inlineStr">
        <is>
          <t>GSTIN: 27AAKCS4821M1Z6   PAN: AAKCS4821M</t>
        </is>
      </c>
      <c r="E5" s="8" t="inlineStr">
        <is>
          <t>Place of supply</t>
        </is>
      </c>
      <c r="F5" s="9" t="n"/>
    </row>
    <row r="7">
      <c r="A7" s="8" t="inlineStr">
        <is>
          <t>Bill to</t>
        </is>
      </c>
      <c r="H7" t="inlineStr">
        <is>
          <t>Finished: title uses Center Across Selection (no merge), footer text is dark,</t>
        </is>
      </c>
    </row>
    <row r="8">
      <c r="A8" s="9" t="n"/>
      <c r="H8" t="inlineStr">
        <is>
          <t>logo has alt text 'Shree Ganesh Traders logo'. Saved as GST Invoice Template.xltx.</t>
        </is>
      </c>
    </row>
    <row r="9">
      <c r="A9" s="9" t="n"/>
    </row>
    <row r="10">
      <c r="A10" s="9" t="n"/>
      <c r="H10" s="27" t="inlineStr">
        <is>
          <t>Challenge answer: name the sheet 'Invoice' and add a Table to the item rows (Cmd+T);</t>
        </is>
      </c>
    </row>
    <row r="11">
      <c r="A11" s="8" t="inlineStr">
        <is>
          <t>Customer GSTIN</t>
        </is>
      </c>
      <c r="B11" s="9" t="n"/>
      <c r="H11" t="inlineStr">
        <is>
          <t>the checker then reports no issues.</t>
        </is>
      </c>
    </row>
    <row r="13">
      <c r="A13" s="2" t="inlineStr">
        <is>
          <t>Description</t>
        </is>
      </c>
      <c r="B13" s="2" t="inlineStr">
        <is>
          <t>HSN/SAC</t>
        </is>
      </c>
      <c r="C13" s="2" t="inlineStr">
        <is>
          <t>Qty</t>
        </is>
      </c>
      <c r="D13" s="2" t="inlineStr">
        <is>
          <t>Rate</t>
        </is>
      </c>
      <c r="E13" s="2" t="inlineStr">
        <is>
          <t>Taxable Value</t>
        </is>
      </c>
      <c r="F13" s="2" t="inlineStr">
        <is>
          <t>GST 18%</t>
        </is>
      </c>
    </row>
    <row r="14">
      <c r="A14" s="21" t="n"/>
      <c r="B14" s="21" t="n"/>
      <c r="C14" s="21" t="n"/>
      <c r="D14" s="22" t="n"/>
      <c r="E14" s="23">
        <f>IF(C14="","",C14*D14)</f>
        <v/>
      </c>
      <c r="F14" s="23">
        <f>IF(E14="","",E14*18%)</f>
        <v/>
      </c>
    </row>
    <row r="15">
      <c r="A15" s="21" t="n"/>
      <c r="B15" s="21" t="n"/>
      <c r="C15" s="21" t="n"/>
      <c r="D15" s="22" t="n"/>
      <c r="E15" s="23">
        <f>IF(C15="","",C15*D15)</f>
        <v/>
      </c>
      <c r="F15" s="23">
        <f>IF(E15="","",E15*18%)</f>
        <v/>
      </c>
    </row>
    <row r="16">
      <c r="A16" s="21" t="n"/>
      <c r="B16" s="21" t="n"/>
      <c r="C16" s="21" t="n"/>
      <c r="D16" s="22" t="n"/>
      <c r="E16" s="23">
        <f>IF(C16="","",C16*D16)</f>
        <v/>
      </c>
      <c r="F16" s="23">
        <f>IF(E16="","",E16*18%)</f>
        <v/>
      </c>
    </row>
    <row r="17">
      <c r="A17" s="21" t="n"/>
      <c r="B17" s="21" t="n"/>
      <c r="C17" s="21" t="n"/>
      <c r="D17" s="22" t="n"/>
      <c r="E17" s="23">
        <f>IF(C17="","",C17*D17)</f>
        <v/>
      </c>
      <c r="F17" s="23">
        <f>IF(E17="","",E17*18%)</f>
        <v/>
      </c>
    </row>
    <row r="18">
      <c r="A18" s="21" t="n"/>
      <c r="B18" s="21" t="n"/>
      <c r="C18" s="21" t="n"/>
      <c r="D18" s="22" t="n"/>
      <c r="E18" s="23">
        <f>IF(C18="","",C18*D18)</f>
        <v/>
      </c>
      <c r="F18" s="23">
        <f>IF(E18="","",E18*18%)</f>
        <v/>
      </c>
    </row>
    <row r="19">
      <c r="A19" s="21" t="n"/>
      <c r="B19" s="21" t="n"/>
      <c r="C19" s="21" t="n"/>
      <c r="D19" s="22" t="n"/>
      <c r="E19" s="23">
        <f>IF(C19="","",C19*D19)</f>
        <v/>
      </c>
      <c r="F19" s="23">
        <f>IF(E19="","",E19*18%)</f>
        <v/>
      </c>
    </row>
    <row r="20">
      <c r="A20" s="21" t="n"/>
      <c r="B20" s="21" t="n"/>
      <c r="C20" s="21" t="n"/>
      <c r="D20" s="22" t="n"/>
      <c r="E20" s="23">
        <f>IF(C20="","",C20*D20)</f>
        <v/>
      </c>
      <c r="F20" s="23">
        <f>IF(E20="","",E20*18%)</f>
        <v/>
      </c>
    </row>
    <row r="21">
      <c r="A21" s="21" t="n"/>
      <c r="B21" s="21" t="n"/>
      <c r="C21" s="21" t="n"/>
      <c r="D21" s="22" t="n"/>
      <c r="E21" s="23">
        <f>IF(C21="","",C21*D21)</f>
        <v/>
      </c>
      <c r="F21" s="23">
        <f>IF(E21="","",E21*18%)</f>
        <v/>
      </c>
    </row>
    <row r="23">
      <c r="D23" s="8" t="inlineStr">
        <is>
          <t>Taxable total</t>
        </is>
      </c>
      <c r="E23" s="12">
        <f>SUM(E14:E21)</f>
        <v/>
      </c>
    </row>
    <row r="24">
      <c r="D24" s="8" t="inlineStr">
        <is>
          <t>CGST 9%</t>
        </is>
      </c>
      <c r="E24" s="5">
        <f>E23*9%</f>
        <v/>
      </c>
    </row>
    <row r="25">
      <c r="D25" s="8" t="inlineStr">
        <is>
          <t>SGST 9%</t>
        </is>
      </c>
      <c r="E25" s="5">
        <f>E23*9%</f>
        <v/>
      </c>
    </row>
    <row r="26">
      <c r="D26" s="8" t="inlineStr">
        <is>
          <t>Invoice total</t>
        </is>
      </c>
      <c r="E26" s="12">
        <f>SUM(E23:E25)</f>
        <v/>
      </c>
    </row>
    <row r="30">
      <c r="A30" s="28" t="inlineStr">
        <is>
          <t>Thank you for your business. Payment due within 30 days.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2026-10-23T10:08:13Z</dcterms:created>
  <dcterms:modified xmlns:dcterms="http://purl.org/dc/terms/" xmlns:xsi="http://www.w3.org/2001/XMLSchema-instance" xsi:type="dcterms:W3CDTF">2026-10-23T10:08:13Z</dcterms:modified>
</cp:coreProperties>
</file>