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drawings/drawing2.xml" ContentType="application/vnd.openxmlformats-officedocument.drawing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  <Override PartName="/xl/worksheets/sheet15.xml" ContentType="application/vnd.openxmlformats-officedocument.spreadsheetml.worksheet+xml"/>
  <Override PartName="/xl/tables/table13.xml" ContentType="application/vnd.openxmlformats-officedocument.spreadsheetml.table+xml"/>
  <Override PartName="/xl/worksheets/sheet16.xml" ContentType="application/vnd.openxmlformats-officedocument.spreadsheetml.worksheet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drawings/drawing3.xml" ContentType="application/vnd.openxmlformats-officedocument.drawing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S18-02" sheetId="2" state="visible" r:id="rId2"/>
    <sheet xmlns:r="http://schemas.openxmlformats.org/officeDocument/2006/relationships" name="S18-02 Done" sheetId="3" state="visible" r:id="rId3"/>
    <sheet xmlns:r="http://schemas.openxmlformats.org/officeDocument/2006/relationships" name="S18-03" sheetId="4" state="visible" r:id="rId4"/>
    <sheet xmlns:r="http://schemas.openxmlformats.org/officeDocument/2006/relationships" name="S18-03 Done" sheetId="5" state="visible" r:id="rId5"/>
    <sheet xmlns:r="http://schemas.openxmlformats.org/officeDocument/2006/relationships" name="S18-04" sheetId="6" state="visible" r:id="rId6"/>
    <sheet xmlns:r="http://schemas.openxmlformats.org/officeDocument/2006/relationships" name="S18-04 Done" sheetId="7" state="visible" r:id="rId7"/>
    <sheet xmlns:r="http://schemas.openxmlformats.org/officeDocument/2006/relationships" name="S18-05" sheetId="8" state="visible" r:id="rId8"/>
    <sheet xmlns:r="http://schemas.openxmlformats.org/officeDocument/2006/relationships" name="S18-05 Done" sheetId="9" state="visible" r:id="rId9"/>
    <sheet xmlns:r="http://schemas.openxmlformats.org/officeDocument/2006/relationships" name="S18-06" sheetId="10" state="visible" r:id="rId10"/>
    <sheet xmlns:r="http://schemas.openxmlformats.org/officeDocument/2006/relationships" name="S18-06 Done" sheetId="11" state="visible" r:id="rId11"/>
    <sheet xmlns:r="http://schemas.openxmlformats.org/officeDocument/2006/relationships" name="S18-07" sheetId="12" state="visible" r:id="rId12"/>
    <sheet xmlns:r="http://schemas.openxmlformats.org/officeDocument/2006/relationships" name="S18-07 Done" sheetId="13" state="visible" r:id="rId13"/>
    <sheet xmlns:r="http://schemas.openxmlformats.org/officeDocument/2006/relationships" name="S18-08" sheetId="14" state="visible" r:id="rId14"/>
    <sheet xmlns:r="http://schemas.openxmlformats.org/officeDocument/2006/relationships" name="S18-08 Done" sheetId="15" state="visible" r:id="rId15"/>
    <sheet xmlns:r="http://schemas.openxmlformats.org/officeDocument/2006/relationships" name="S18-09" sheetId="16" state="visible" r:id="rId16"/>
    <sheet xmlns:r="http://schemas.openxmlformats.org/officeDocument/2006/relationships" name="S18-09 Don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-mm-yyyy"/>
    <numFmt numFmtId="166" formatCode="[&gt;=10000000]&quot;₹&quot;##\,##\,##\,##0;[&gt;=100000]&quot;₹&quot;##\,##\,##0;&quot;₹&quot;##,##0"/>
    <numFmt numFmtId="167" formatCode="0.0%"/>
  </numFmts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595959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0" pivotButton="0" quotePrefix="0" xfId="0"/>
    <xf numFmtId="166" fontId="0" fillId="3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6" fontId="0" fillId="3" borderId="0" applyAlignment="1" pivotButton="0" quotePrefix="0" xfId="0">
      <alignment horizontal="left"/>
    </xf>
    <xf numFmtId="17" fontId="0" fillId="0" borderId="0" pivotButton="0" quotePrefix="0" xfId="0"/>
    <xf numFmtId="0" fontId="0" fillId="3" borderId="0" pivotButton="0" quotePrefix="0" xfId="0"/>
    <xf numFmtId="167" fontId="0" fillId="0" borderId="0" pivotButton="0" quotePrefix="0" xfId="0"/>
    <xf numFmtId="9" fontId="0" fillId="0" borderId="0" pivotButton="0" quotePrefix="0" xfId="0"/>
    <xf numFmtId="0" fontId="0" fillId="0" borderId="0" applyAlignment="1" pivotButton="0" quotePrefix="0" xfId="0">
      <alignment vertical="top" wrapText="1"/>
    </xf>
    <xf numFmtId="2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8CBAD"/>
        </patternFill>
      </fill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region (Analyze Data suggestion)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'S18-02 Done'!K4</f>
            </strRef>
          </tx>
          <spPr>
            <a:ln xmlns:a="http://schemas.openxmlformats.org/drawingml/2006/main">
              <a:prstDash val="solid"/>
            </a:ln>
          </spPr>
          <cat>
            <numRef>
              <f>'S18-02 Done'!$J$5:$J$8</f>
            </numRef>
          </cat>
          <val>
            <numRef>
              <f>'S18-02 Done'!$K$5:$K$8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₹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region, FY 2025-26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'S18-07 Done'!K4</f>
            </strRef>
          </tx>
          <spPr>
            <a:ln xmlns:a="http://schemas.openxmlformats.org/drawingml/2006/main">
              <a:prstDash val="solid"/>
            </a:ln>
          </spPr>
          <cat>
            <numRef>
              <f>'S18-07 Done'!$G$5:$G$8</f>
            </numRef>
          </cat>
          <val>
            <numRef>
              <f>'S18-07 Done'!$K$5:$K$8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revenue, Apr-23 to Mar-26</a:t>
            </a:r>
          </a:p>
        </rich>
      </tx>
    </title>
    <plotArea>
      <lineChart>
        <grouping val="standard"/>
        <ser>
          <idx val="0"/>
          <order val="0"/>
          <tx>
            <strRef>
              <f>'S18-09 Done'!B1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'S18-09 Done'!$A$2:$A$37</f>
            </numRef>
          </cat>
          <val>
            <numRef>
              <f>'S18-09 Done'!$B$2:$B$37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9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10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9</col>
      <colOff>0</colOff>
      <row>5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ales1802" displayName="Sales1802" ref="A1:H61" headerRowCount="1">
  <autoFilter ref="A1:H61"/>
  <tableColumns count="8">
    <tableColumn id="1" name="Order date"/>
    <tableColumn id="2" name="Region"/>
    <tableColumn id="3" name="State"/>
    <tableColumn id="4" name="City"/>
    <tableColumn id="5" name="Category"/>
    <tableColumn id="6" name="Salesperson"/>
    <tableColumn id="7" name="Units"/>
    <tableColumn id="8" name="Revenue"/>
  </tableColumns>
  <tableStyleInfo name="TableStyleMedium2" showRowStripes="1"/>
</table>
</file>

<file path=xl/tables/table2.xml><?xml version="1.0" encoding="utf-8"?>
<table xmlns="http://schemas.openxmlformats.org/spreadsheetml/2006/main" id="2" name="Sales1802Done" displayName="Sales1802Done" ref="A1:H61" headerRowCount="1">
  <autoFilter ref="A1:H61"/>
  <tableColumns count="8">
    <tableColumn id="1" name="Order date"/>
    <tableColumn id="2" name="Region"/>
    <tableColumn id="3" name="State"/>
    <tableColumn id="4" name="City"/>
    <tableColumn id="5" name="Category"/>
    <tableColumn id="6" name="Salesperson"/>
    <tableColumn id="7" name="Units"/>
    <tableColumn id="8" name="Revenue"/>
  </tableColumns>
  <tableStyleInfo name="TableStyleMedium2" showRowStripes="1"/>
</table>
</file>

<file path=xl/tables/table3.xml><?xml version="1.0" encoding="utf-8"?>
<table xmlns="http://schemas.openxmlformats.org/spreadsheetml/2006/main" id="3" name="Expenses1803Done" displayName="Expenses1803Done" ref="A1:E19" headerRowCount="1">
  <autoFilter ref="A1:E19"/>
  <tableColumns count="5">
    <tableColumn id="1" name="Date"/>
    <tableColumn id="2" name="Employee"/>
    <tableColumn id="3" name="Department"/>
    <tableColumn id="4" name="Expense head"/>
    <tableColumn id="5" name="Amount"/>
  </tableColumns>
  <tableStyleInfo name="TableStyleMedium2" showRowStripes="1"/>
</table>
</file>

<file path=xl/tables/table4.xml><?xml version="1.0" encoding="utf-8"?>
<table xmlns="http://schemas.openxmlformats.org/spreadsheetml/2006/main" id="4" name="Branch1804" displayName="Branch1804" ref="A1:E49" headerRowCount="1">
  <autoFilter ref="A1:E49"/>
  <tableColumns count="5">
    <tableColumn id="1" name="Month"/>
    <tableColumn id="2" name="Branch"/>
    <tableColumn id="3" name="Revenue"/>
    <tableColumn id="4" name="Orders"/>
    <tableColumn id="5" name="Returns"/>
  </tableColumns>
  <tableStyleInfo name="TableStyleMedium2" showRowStripes="1"/>
</table>
</file>

<file path=xl/tables/table5.xml><?xml version="1.0" encoding="utf-8"?>
<table xmlns="http://schemas.openxmlformats.org/spreadsheetml/2006/main" id="5" name="Branch1804Done" displayName="Branch1804Done" ref="A1:E49" headerRowCount="1">
  <autoFilter ref="A1:E49"/>
  <tableColumns count="5">
    <tableColumn id="1" name="Month"/>
    <tableColumn id="2" name="Branch"/>
    <tableColumn id="3" name="Revenue"/>
    <tableColumn id="4" name="Orders"/>
    <tableColumn id="5" name="Returns"/>
  </tableColumns>
  <tableStyleInfo name="TableStyleMedium2" showRowStripes="1"/>
</table>
</file>

<file path=xl/tables/table6.xml><?xml version="1.0" encoding="utf-8"?>
<table xmlns="http://schemas.openxmlformats.org/spreadsheetml/2006/main" id="6" name="Orders1805" displayName="Orders1805" ref="A1:G21" headerRowCount="1">
  <autoFilter ref="A1:G21"/>
  <tableColumns count="7">
    <tableColumn id="1" name="Order ID"/>
    <tableColumn id="2" name="Order date"/>
    <tableColumn id="3" name="Customer"/>
    <tableColumn id="4" name="State"/>
    <tableColumn id="5" name="Category"/>
    <tableColumn id="6" name="Qty"/>
    <tableColumn id="7" name="Unit price"/>
  </tableColumns>
  <tableStyleInfo name="TableStyleMedium2" showRowStripes="1"/>
</table>
</file>

<file path=xl/tables/table7.xml><?xml version="1.0" encoding="utf-8"?>
<table xmlns="http://schemas.openxmlformats.org/spreadsheetml/2006/main" id="7" name="Orders1805Done" displayName="Orders1805Done" ref="A1:J21" headerRowCount="1">
  <autoFilter ref="A1:J21"/>
  <tableColumns count="10">
    <tableColumn id="1" name="Order ID"/>
    <tableColumn id="2" name="Order date"/>
    <tableColumn id="3" name="Customer"/>
    <tableColumn id="4" name="State"/>
    <tableColumn id="5" name="Category"/>
    <tableColumn id="6" name="Qty"/>
    <tableColumn id="7" name="Unit price"/>
    <tableColumn id="8" name="Amount"/>
    <tableColumn id="9" name="GST"/>
    <tableColumn id="10" name="Total with GST"/>
  </tableColumns>
  <tableStyleInfo name="TableStyleMedium2" showRowStripes="1"/>
</table>
</file>

<file path=xl/tables/table8.xml><?xml version="1.0" encoding="utf-8"?>
<table xmlns="http://schemas.openxmlformats.org/spreadsheetml/2006/main" id="8" name="Reps1806" displayName="Reps1806" ref="A1:E19" headerRowCount="1">
  <autoFilter ref="A1:E19"/>
  <tableColumns count="5">
    <tableColumn id="1" name="Sales rep"/>
    <tableColumn id="2" name="Region"/>
    <tableColumn id="3" name="Target"/>
    <tableColumn id="4" name="Achieved"/>
    <tableColumn id="5" name="Achievement %"/>
  </tableColumns>
  <tableStyleInfo name="TableStyleMedium2" showRowStripes="1"/>
</table>
</file>

<file path=xl/tables/table9.xml><?xml version="1.0" encoding="utf-8"?>
<table xmlns="http://schemas.openxmlformats.org/spreadsheetml/2006/main" id="9" name="Reps1806Done" displayName="Reps1806Done" ref="A1:E19" headerRowCount="1">
  <autoFilter ref="A1:E19"/>
  <tableColumns count="5">
    <tableColumn id="1" name="Sales rep"/>
    <tableColumn id="2" name="Region"/>
    <tableColumn id="3" name="Target"/>
    <tableColumn id="4" name="Achieved"/>
    <tableColumn id="5" name="Achievement %"/>
  </tableColumns>
  <tableStyleInfo name="TableStyleMedium2" showRowStripes="1"/>
</table>
</file>

<file path=xl/tables/table10.xml><?xml version="1.0" encoding="utf-8"?>
<table xmlns="http://schemas.openxmlformats.org/spreadsheetml/2006/main" id="10" name="Sales1807" displayName="Sales1807" ref="A1:E81" headerRowCount="1">
  <autoFilter ref="A1:E81"/>
  <tableColumns count="5">
    <tableColumn id="1" name="Date"/>
    <tableColumn id="2" name="Region"/>
    <tableColumn id="3" name="Category"/>
    <tableColumn id="4" name="Channel"/>
    <tableColumn id="5" name="Revenue"/>
  </tableColumns>
  <tableStyleInfo name="TableStyleMedium2" showRowStripes="1"/>
</table>
</file>

<file path=xl/tables/table11.xml><?xml version="1.0" encoding="utf-8"?>
<table xmlns="http://schemas.openxmlformats.org/spreadsheetml/2006/main" id="11" name="Sales1807Done" displayName="Sales1807Done" ref="A1:E81" headerRowCount="1">
  <autoFilter ref="A1:E81"/>
  <tableColumns count="5">
    <tableColumn id="1" name="Date"/>
    <tableColumn id="2" name="Region"/>
    <tableColumn id="3" name="Category"/>
    <tableColumn id="4" name="Channel"/>
    <tableColumn id="5" name="Revenue"/>
  </tableColumns>
  <tableStyleInfo name="TableStyleMedium2" showRowStripes="1"/>
</table>
</file>

<file path=xl/tables/table12.xml><?xml version="1.0" encoding="utf-8"?>
<table xmlns="http://schemas.openxmlformats.org/spreadsheetml/2006/main" id="12" name="Feedback1808" displayName="Feedback1808" ref="A1:F21" headerRowCount="1">
  <autoFilter ref="A1:F21"/>
  <tableColumns count="6">
    <tableColumn id="1" name="Ticket ID"/>
    <tableColumn id="2" name="Date"/>
    <tableColumn id="3" name="Customer"/>
    <tableColumn id="4" name="City"/>
    <tableColumn id="5" name="State"/>
    <tableColumn id="6" name="Feedback"/>
  </tableColumns>
  <tableStyleInfo name="TableStyleMedium2" showRowStripes="1"/>
</table>
</file>

<file path=xl/tables/table13.xml><?xml version="1.0" encoding="utf-8"?>
<table xmlns="http://schemas.openxmlformats.org/spreadsheetml/2006/main" id="13" name="Feedback1808Done" displayName="Feedback1808Done" ref="A1:I21" headerRowCount="1">
  <autoFilter ref="A1:I21"/>
  <tableColumns count="9">
    <tableColumn id="1" name="Ticket ID"/>
    <tableColumn id="2" name="Date"/>
    <tableColumn id="3" name="Customer"/>
    <tableColumn id="4" name="City"/>
    <tableColumn id="5" name="State"/>
    <tableColumn id="6" name="Feedback"/>
    <tableColumn id="7" name="Sentiment"/>
    <tableColumn id="8" name="Issue"/>
    <tableColumn id="9" name="Order No"/>
  </tableColumns>
  <tableStyleInfo name="TableStyleMedium2" showRowStripes="1"/>
</table>
</file>

<file path=xl/tables/table14.xml><?xml version="1.0" encoding="utf-8"?>
<table xmlns="http://schemas.openxmlformats.org/spreadsheetml/2006/main" id="14" name="Monthly1809" displayName="Monthly1809" ref="A1:C37" headerRowCount="1">
  <autoFilter ref="A1:C37"/>
  <tableColumns count="3">
    <tableColumn id="1" name="Month"/>
    <tableColumn id="2" name="Revenue"/>
    <tableColumn id="3" name="Marketing spend"/>
  </tableColumns>
  <tableStyleInfo name="TableStyleMedium2" showRowStripes="1"/>
</table>
</file>

<file path=xl/tables/table15.xml><?xml version="1.0" encoding="utf-8"?>
<table xmlns="http://schemas.openxmlformats.org/spreadsheetml/2006/main" id="15" name="Cust1809" displayName="Cust1809" ref="E1:H31" headerRowCount="1">
  <autoFilter ref="E1:H31"/>
  <tableColumns count="4">
    <tableColumn id="5" name="Customer ID"/>
    <tableColumn id="6" name="Annual spend"/>
    <tableColumn id="7" name="Orders"/>
    <tableColumn id="8" name="Days since last order"/>
  </tableColumns>
  <tableStyleInfo name="TableStyleMedium2" showRowStripes="1"/>
</table>
</file>

<file path=xl/tables/table16.xml><?xml version="1.0" encoding="utf-8"?>
<table xmlns="http://schemas.openxmlformats.org/spreadsheetml/2006/main" id="16" name="Monthly1809Done" displayName="Monthly1809Done" ref="A1:C37" headerRowCount="1">
  <autoFilter ref="A1:C37"/>
  <tableColumns count="3">
    <tableColumn id="1" name="Month"/>
    <tableColumn id="2" name="Revenue"/>
    <tableColumn id="3" name="Marketing spend"/>
  </tableColumns>
  <tableStyleInfo name="TableStyleMedium2" showRowStripes="1"/>
</table>
</file>

<file path=xl/tables/table17.xml><?xml version="1.0" encoding="utf-8"?>
<table xmlns="http://schemas.openxmlformats.org/spreadsheetml/2006/main" id="17" name="Cust1809Done" displayName="Cust1809Done" ref="E1:H31" headerRowCount="1">
  <autoFilter ref="E1:H31"/>
  <tableColumns count="4">
    <tableColumn id="5" name="Customer ID"/>
    <tableColumn id="6" name="Annual spend"/>
    <tableColumn id="7" name="Orders"/>
    <tableColumn id="8" name="Days since last order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2.xml" Id="rId2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11.xml" Id="rId2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4.xml" Id="rId1"/><Relationship Type="http://schemas.openxmlformats.org/officeDocument/2006/relationships/table" Target="/xl/tables/table15.xml" Id="rId2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table" Target="/xl/tables/table16.xml" Id="rId2"/><Relationship Type="http://schemas.openxmlformats.org/officeDocument/2006/relationships/table" Target="/xl/tables/table17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50" customWidth="1" min="3" max="3"/>
    <col width="30" customWidth="1" min="4" max="4"/>
  </cols>
  <sheetData>
    <row r="1">
      <c r="A1" s="1" t="inlineStr">
        <is>
          <t>S18: AI in Excel 1: built-in AI and Copilot</t>
        </is>
      </c>
    </row>
    <row r="2">
      <c r="A2" s="2" t="inlineStr">
        <is>
          <t>Excel Mastery for Mac. Practice workbook. Yellow cells are for you to fill in.</t>
        </is>
      </c>
    </row>
    <row r="4">
      <c r="A4" s="3" t="inlineStr">
        <is>
          <t>Lesson</t>
        </is>
      </c>
      <c r="B4" s="3" t="inlineStr">
        <is>
          <t>Type</t>
        </is>
      </c>
      <c r="C4" s="3" t="inlineStr">
        <is>
          <t>Title</t>
        </is>
      </c>
      <c r="D4" s="3" t="inlineStr">
        <is>
          <t>Practice sheet</t>
        </is>
      </c>
    </row>
    <row r="5">
      <c r="A5" t="inlineStr">
        <is>
          <t>S18-01</t>
        </is>
      </c>
      <c r="B5" t="inlineStr">
        <is>
          <t>concept</t>
        </is>
      </c>
      <c r="C5" t="inlineStr">
        <is>
          <t>The AI tools in Excel and when to use each</t>
        </is>
      </c>
      <c r="D5" t="inlineStr">
        <is>
          <t>(whiteboard lesson, no sheet)</t>
        </is>
      </c>
    </row>
    <row r="6">
      <c r="A6" t="inlineStr">
        <is>
          <t>S18-02</t>
        </is>
      </c>
      <c r="B6" t="inlineStr">
        <is>
          <t>demo</t>
        </is>
      </c>
      <c r="C6" t="inlineStr">
        <is>
          <t>Analyze Data</t>
        </is>
      </c>
      <c r="D6" t="inlineStr">
        <is>
          <t>S18-02</t>
        </is>
      </c>
    </row>
    <row r="7">
      <c r="A7" t="inlineStr">
        <is>
          <t>S18-03</t>
        </is>
      </c>
      <c r="B7" t="inlineStr">
        <is>
          <t>demo</t>
        </is>
      </c>
      <c r="C7" t="inlineStr">
        <is>
          <t>Copilot setup on Mac</t>
        </is>
      </c>
      <c r="D7" t="inlineStr">
        <is>
          <t>S18-03</t>
        </is>
      </c>
    </row>
    <row r="8">
      <c r="A8" t="inlineStr">
        <is>
          <t>S18-04</t>
        </is>
      </c>
      <c r="B8" t="inlineStr">
        <is>
          <t>demo</t>
        </is>
      </c>
      <c r="C8" t="inlineStr">
        <is>
          <t>Copilot chat: questions and insights</t>
        </is>
      </c>
      <c r="D8" t="inlineStr">
        <is>
          <t>S18-04</t>
        </is>
      </c>
    </row>
    <row r="9">
      <c r="A9" t="inlineStr">
        <is>
          <t>S18-05</t>
        </is>
      </c>
      <c r="B9" t="inlineStr">
        <is>
          <t>demo</t>
        </is>
      </c>
      <c r="C9" t="inlineStr">
        <is>
          <t>Copilot for formulas</t>
        </is>
      </c>
      <c r="D9" t="inlineStr">
        <is>
          <t>S18-05</t>
        </is>
      </c>
    </row>
    <row r="10">
      <c r="A10" t="inlineStr">
        <is>
          <t>S18-06</t>
        </is>
      </c>
      <c r="B10" t="inlineStr">
        <is>
          <t>demo</t>
        </is>
      </c>
      <c r="C10" t="inlineStr">
        <is>
          <t>Copilot to highlight, sort and filter</t>
        </is>
      </c>
      <c r="D10" t="inlineStr">
        <is>
          <t>S18-06</t>
        </is>
      </c>
    </row>
    <row r="11">
      <c r="A11" t="inlineStr">
        <is>
          <t>S18-07</t>
        </is>
      </c>
      <c r="B11" t="inlineStr">
        <is>
          <t>demo</t>
        </is>
      </c>
      <c r="C11" t="inlineStr">
        <is>
          <t>Copilot for charts and PivotTables</t>
        </is>
      </c>
      <c r="D11" t="inlineStr">
        <is>
          <t>S18-07</t>
        </is>
      </c>
    </row>
    <row r="12">
      <c r="A12" t="inlineStr">
        <is>
          <t>S18-08</t>
        </is>
      </c>
      <c r="B12" t="inlineStr">
        <is>
          <t>demo</t>
        </is>
      </c>
      <c r="C12" t="inlineStr">
        <is>
          <t>Copilot for cleaning and text</t>
        </is>
      </c>
      <c r="D12" t="inlineStr">
        <is>
          <t>S18-08</t>
        </is>
      </c>
    </row>
    <row r="13">
      <c r="A13" t="inlineStr">
        <is>
          <t>S18-09</t>
        </is>
      </c>
      <c r="B13" t="inlineStr">
        <is>
          <t>demo</t>
        </is>
      </c>
      <c r="C13" t="inlineStr">
        <is>
          <t>Copilot with Python: advanced analysis</t>
        </is>
      </c>
      <c r="D13" t="inlineStr">
        <is>
          <t>S18-09</t>
        </is>
      </c>
    </row>
    <row r="14">
      <c r="A14" t="inlineStr">
        <is>
          <t>S18-10</t>
        </is>
      </c>
      <c r="B14" t="inlineStr">
        <is>
          <t>concept</t>
        </is>
      </c>
      <c r="C14" t="inlineStr">
        <is>
          <t>Writing good prompts for spreadsheets</t>
        </is>
      </c>
      <c r="D14" t="inlineStr">
        <is>
          <t>(whiteboard lesson, no sheet)</t>
        </is>
      </c>
    </row>
    <row r="20">
      <c r="A20" s="2" t="inlineStr">
        <is>
          <t>AI lessons: keep this file in OneDrive with AutoSave on. Copilot and Claude answers vary from run to run, so always check the AI's work against your own totals.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5" customWidth="1" min="3" max="3"/>
    <col width="13" customWidth="1" min="4" max="4"/>
    <col width="12" customWidth="1" min="5" max="5"/>
    <col width="16" customWidth="1" min="6" max="6"/>
    <col width="7" customWidth="1" min="7" max="7"/>
    <col width="13" customWidth="1" min="8" max="8"/>
    <col width="26" customWidth="1" min="10" max="10"/>
    <col width="14" customWidth="1" min="11" max="11"/>
    <col width="14" customWidth="1" min="12" max="12"/>
  </cols>
  <sheetData>
    <row r="1">
      <c r="A1" s="3" t="inlineStr">
        <is>
          <t>Order date</t>
        </is>
      </c>
      <c r="B1" s="3" t="inlineStr">
        <is>
          <t>Region</t>
        </is>
      </c>
      <c r="C1" s="3" t="inlineStr">
        <is>
          <t>State</t>
        </is>
      </c>
      <c r="D1" s="3" t="inlineStr">
        <is>
          <t>City</t>
        </is>
      </c>
      <c r="E1" s="3" t="inlineStr">
        <is>
          <t>Category</t>
        </is>
      </c>
      <c r="F1" s="3" t="inlineStr">
        <is>
          <t>Salesperson</t>
        </is>
      </c>
      <c r="G1" s="3" t="inlineStr">
        <is>
          <t>Units</t>
        </is>
      </c>
      <c r="H1" s="3" t="inlineStr">
        <is>
          <t>Revenue</t>
        </is>
      </c>
      <c r="J1" s="4" t="inlineStr">
        <is>
          <t>Check: West revenue</t>
        </is>
      </c>
      <c r="K1" s="5" t="n"/>
    </row>
    <row r="2">
      <c r="A2" s="6" t="n">
        <v>45749</v>
      </c>
      <c r="B2" t="inlineStr">
        <is>
          <t>East</t>
        </is>
      </c>
      <c r="C2" t="inlineStr">
        <is>
          <t>Odisha</t>
        </is>
      </c>
      <c r="D2" t="inlineStr">
        <is>
          <t>Bhubaneswar</t>
        </is>
      </c>
      <c r="E2" t="inlineStr">
        <is>
          <t>Furniture</t>
        </is>
      </c>
      <c r="F2" t="inlineStr">
        <is>
          <t>Sneha Kulkarni</t>
        </is>
      </c>
      <c r="G2" t="n">
        <v>9</v>
      </c>
      <c r="H2" s="7" t="n">
        <v>181490</v>
      </c>
    </row>
    <row r="3">
      <c r="A3" s="6" t="n">
        <v>45755</v>
      </c>
      <c r="B3" t="inlineStr">
        <is>
          <t>East</t>
        </is>
      </c>
      <c r="C3" t="inlineStr">
        <is>
          <t>West Bengal</t>
        </is>
      </c>
      <c r="D3" t="inlineStr">
        <is>
          <t>Kolkata</t>
        </is>
      </c>
      <c r="E3" t="inlineStr">
        <is>
          <t>Stationery</t>
        </is>
      </c>
      <c r="F3" t="inlineStr">
        <is>
          <t>Vikram Rao</t>
        </is>
      </c>
      <c r="G3" t="n">
        <v>160</v>
      </c>
      <c r="H3" s="7" t="n">
        <v>9600</v>
      </c>
    </row>
    <row r="4">
      <c r="A4" s="6" t="n">
        <v>45760</v>
      </c>
      <c r="B4" t="inlineStr">
        <is>
          <t>West</t>
        </is>
      </c>
      <c r="C4" t="inlineStr">
        <is>
          <t>Maharashtra</t>
        </is>
      </c>
      <c r="D4" t="inlineStr">
        <is>
          <t>Mumbai</t>
        </is>
      </c>
      <c r="E4" t="inlineStr">
        <is>
          <t>Furniture</t>
        </is>
      </c>
      <c r="F4" t="inlineStr">
        <is>
          <t>Vikram Rao</t>
        </is>
      </c>
      <c r="G4" t="n">
        <v>9</v>
      </c>
      <c r="H4" s="7" t="n">
        <v>118400</v>
      </c>
    </row>
    <row r="5">
      <c r="A5" s="6" t="n">
        <v>45766</v>
      </c>
      <c r="B5" t="inlineStr">
        <is>
          <t>East</t>
        </is>
      </c>
      <c r="C5" t="inlineStr">
        <is>
          <t>Bihar</t>
        </is>
      </c>
      <c r="D5" t="inlineStr">
        <is>
          <t>Patna</t>
        </is>
      </c>
      <c r="E5" t="inlineStr">
        <is>
          <t>Furniture</t>
        </is>
      </c>
      <c r="F5" t="inlineStr">
        <is>
          <t>Karan Malhotra</t>
        </is>
      </c>
      <c r="G5" t="n">
        <v>9</v>
      </c>
      <c r="H5" s="7" t="n">
        <v>124350</v>
      </c>
    </row>
    <row r="6">
      <c r="A6" s="6" t="n">
        <v>45774</v>
      </c>
      <c r="B6" t="inlineStr">
        <is>
          <t>North</t>
        </is>
      </c>
      <c r="C6" t="inlineStr">
        <is>
          <t>Delhi</t>
        </is>
      </c>
      <c r="D6" t="inlineStr">
        <is>
          <t>New Delhi</t>
        </is>
      </c>
      <c r="E6" t="inlineStr">
        <is>
          <t>Furniture</t>
        </is>
      </c>
      <c r="F6" t="inlineStr">
        <is>
          <t>Sneha Kulkarni</t>
        </is>
      </c>
      <c r="G6" t="n">
        <v>2</v>
      </c>
      <c r="H6" s="7" t="n">
        <v>16650</v>
      </c>
    </row>
    <row r="7">
      <c r="A7" s="6" t="n">
        <v>45775</v>
      </c>
      <c r="B7" t="inlineStr">
        <is>
          <t>South</t>
        </is>
      </c>
      <c r="C7" t="inlineStr">
        <is>
          <t>Kerala</t>
        </is>
      </c>
      <c r="D7" t="inlineStr">
        <is>
          <t>Kochi</t>
        </is>
      </c>
      <c r="E7" t="inlineStr">
        <is>
          <t>Appliances</t>
        </is>
      </c>
      <c r="F7" t="inlineStr">
        <is>
          <t>Ananya Iyer</t>
        </is>
      </c>
      <c r="G7" t="n">
        <v>5</v>
      </c>
      <c r="H7" s="7" t="n">
        <v>92450</v>
      </c>
    </row>
    <row r="8">
      <c r="A8" s="6" t="n">
        <v>45781</v>
      </c>
      <c r="B8" t="inlineStr">
        <is>
          <t>East</t>
        </is>
      </c>
      <c r="C8" t="inlineStr">
        <is>
          <t>Odisha</t>
        </is>
      </c>
      <c r="D8" t="inlineStr">
        <is>
          <t>Bhubaneswar</t>
        </is>
      </c>
      <c r="E8" t="inlineStr">
        <is>
          <t>Electronics</t>
        </is>
      </c>
      <c r="F8" t="inlineStr">
        <is>
          <t>Arjun Nair</t>
        </is>
      </c>
      <c r="G8" t="n">
        <v>10</v>
      </c>
      <c r="H8" s="7" t="n">
        <v>304190</v>
      </c>
    </row>
    <row r="9">
      <c r="A9" s="6" t="n">
        <v>45784</v>
      </c>
      <c r="B9" t="inlineStr">
        <is>
          <t>East</t>
        </is>
      </c>
      <c r="C9" t="inlineStr">
        <is>
          <t>Bihar</t>
        </is>
      </c>
      <c r="D9" t="inlineStr">
        <is>
          <t>Patna</t>
        </is>
      </c>
      <c r="E9" t="inlineStr">
        <is>
          <t>Furniture</t>
        </is>
      </c>
      <c r="F9" t="inlineStr">
        <is>
          <t>Karan Malhotra</t>
        </is>
      </c>
      <c r="G9" t="n">
        <v>11</v>
      </c>
      <c r="H9" s="7" t="n">
        <v>96420</v>
      </c>
    </row>
    <row r="10">
      <c r="A10" s="6" t="n">
        <v>45790</v>
      </c>
      <c r="B10" t="inlineStr">
        <is>
          <t>West</t>
        </is>
      </c>
      <c r="C10" t="inlineStr">
        <is>
          <t>Rajasthan</t>
        </is>
      </c>
      <c r="D10" t="inlineStr">
        <is>
          <t>Jaipur</t>
        </is>
      </c>
      <c r="E10" t="inlineStr">
        <is>
          <t>Electronics</t>
        </is>
      </c>
      <c r="F10" t="inlineStr">
        <is>
          <t>Vikram Rao</t>
        </is>
      </c>
      <c r="G10" t="n">
        <v>6</v>
      </c>
      <c r="H10" s="7" t="n">
        <v>110980</v>
      </c>
    </row>
    <row r="11">
      <c r="A11" s="6" t="n">
        <v>45797</v>
      </c>
      <c r="B11" t="inlineStr">
        <is>
          <t>West</t>
        </is>
      </c>
      <c r="C11" t="inlineStr">
        <is>
          <t>Rajasthan</t>
        </is>
      </c>
      <c r="D11" t="inlineStr">
        <is>
          <t>Jaipur</t>
        </is>
      </c>
      <c r="E11" t="inlineStr">
        <is>
          <t>Furniture</t>
        </is>
      </c>
      <c r="F11" t="inlineStr">
        <is>
          <t>Arjun Nair</t>
        </is>
      </c>
      <c r="G11" t="n">
        <v>11</v>
      </c>
      <c r="H11" s="7" t="n">
        <v>115000</v>
      </c>
    </row>
    <row r="12">
      <c r="A12" s="6" t="n">
        <v>45800</v>
      </c>
      <c r="B12" t="inlineStr">
        <is>
          <t>West</t>
        </is>
      </c>
      <c r="C12" t="inlineStr">
        <is>
          <t>Maharashtra</t>
        </is>
      </c>
      <c r="D12" t="inlineStr">
        <is>
          <t>Pune</t>
        </is>
      </c>
      <c r="E12" t="inlineStr">
        <is>
          <t>Electronics</t>
        </is>
      </c>
      <c r="F12" t="inlineStr">
        <is>
          <t>Priya Sharma</t>
        </is>
      </c>
      <c r="G12" t="n">
        <v>2</v>
      </c>
      <c r="H12" s="7" t="n">
        <v>23170</v>
      </c>
    </row>
    <row r="13">
      <c r="A13" s="6" t="n">
        <v>45802</v>
      </c>
      <c r="B13" t="inlineStr">
        <is>
          <t>South</t>
        </is>
      </c>
      <c r="C13" t="inlineStr">
        <is>
          <t>Tamil Nadu</t>
        </is>
      </c>
      <c r="D13" t="inlineStr">
        <is>
          <t>Chennai</t>
        </is>
      </c>
      <c r="E13" t="inlineStr">
        <is>
          <t>Appliances</t>
        </is>
      </c>
      <c r="F13" t="inlineStr">
        <is>
          <t>Ananya Iyer</t>
        </is>
      </c>
      <c r="G13" t="n">
        <v>12</v>
      </c>
      <c r="H13" s="7" t="n">
        <v>290580</v>
      </c>
    </row>
    <row r="14">
      <c r="A14" s="6" t="n">
        <v>45817</v>
      </c>
      <c r="B14" t="inlineStr">
        <is>
          <t>West</t>
        </is>
      </c>
      <c r="C14" t="inlineStr">
        <is>
          <t>Rajasthan</t>
        </is>
      </c>
      <c r="D14" t="inlineStr">
        <is>
          <t>Jaipur</t>
        </is>
      </c>
      <c r="E14" t="inlineStr">
        <is>
          <t>Stationery</t>
        </is>
      </c>
      <c r="F14" t="inlineStr">
        <is>
          <t>Divya Menon</t>
        </is>
      </c>
      <c r="G14" t="n">
        <v>284</v>
      </c>
      <c r="H14" s="7" t="n">
        <v>61910</v>
      </c>
    </row>
    <row r="15">
      <c r="A15" s="6" t="n">
        <v>45829</v>
      </c>
      <c r="B15" t="inlineStr">
        <is>
          <t>West</t>
        </is>
      </c>
      <c r="C15" t="inlineStr">
        <is>
          <t>Maharashtra</t>
        </is>
      </c>
      <c r="D15" t="inlineStr">
        <is>
          <t>Pune</t>
        </is>
      </c>
      <c r="E15" t="inlineStr">
        <is>
          <t>Electronics</t>
        </is>
      </c>
      <c r="F15" t="inlineStr">
        <is>
          <t>Divya Menon</t>
        </is>
      </c>
      <c r="G15" t="n">
        <v>10</v>
      </c>
      <c r="H15" s="7" t="n">
        <v>441660</v>
      </c>
    </row>
    <row r="16">
      <c r="A16" s="6" t="n">
        <v>45832</v>
      </c>
      <c r="B16" t="inlineStr">
        <is>
          <t>West</t>
        </is>
      </c>
      <c r="C16" t="inlineStr">
        <is>
          <t>Maharashtra</t>
        </is>
      </c>
      <c r="D16" t="inlineStr">
        <is>
          <t>Pune</t>
        </is>
      </c>
      <c r="E16" t="inlineStr">
        <is>
          <t>Furniture</t>
        </is>
      </c>
      <c r="F16" t="inlineStr">
        <is>
          <t>Rohan Mehta</t>
        </is>
      </c>
      <c r="G16" t="n">
        <v>1</v>
      </c>
      <c r="H16" s="7" t="n">
        <v>18860</v>
      </c>
    </row>
    <row r="17">
      <c r="A17" s="6" t="n">
        <v>45832</v>
      </c>
      <c r="B17" t="inlineStr">
        <is>
          <t>East</t>
        </is>
      </c>
      <c r="C17" t="inlineStr">
        <is>
          <t>West Bengal</t>
        </is>
      </c>
      <c r="D17" t="inlineStr">
        <is>
          <t>Kolkata</t>
        </is>
      </c>
      <c r="E17" t="inlineStr">
        <is>
          <t>Furniture</t>
        </is>
      </c>
      <c r="F17" t="inlineStr">
        <is>
          <t>Rohan Mehta</t>
        </is>
      </c>
      <c r="G17" t="n">
        <v>2</v>
      </c>
      <c r="H17" s="7" t="n">
        <v>35110</v>
      </c>
    </row>
    <row r="18">
      <c r="A18" s="6" t="n">
        <v>45842</v>
      </c>
      <c r="B18" t="inlineStr">
        <is>
          <t>North</t>
        </is>
      </c>
      <c r="C18" t="inlineStr">
        <is>
          <t>Uttar Pradesh</t>
        </is>
      </c>
      <c r="D18" t="inlineStr">
        <is>
          <t>Lucknow</t>
        </is>
      </c>
      <c r="E18" t="inlineStr">
        <is>
          <t>Electronics</t>
        </is>
      </c>
      <c r="F18" t="inlineStr">
        <is>
          <t>Rohan Mehta</t>
        </is>
      </c>
      <c r="G18" t="n">
        <v>11</v>
      </c>
      <c r="H18" s="7" t="n">
        <v>231380</v>
      </c>
    </row>
    <row r="19">
      <c r="A19" s="6" t="n">
        <v>45846</v>
      </c>
      <c r="B19" t="inlineStr">
        <is>
          <t>West</t>
        </is>
      </c>
      <c r="C19" t="inlineStr">
        <is>
          <t>Maharashtra</t>
        </is>
      </c>
      <c r="D19" t="inlineStr">
        <is>
          <t>Mumbai</t>
        </is>
      </c>
      <c r="E19" t="inlineStr">
        <is>
          <t>Electronics</t>
        </is>
      </c>
      <c r="F19" t="inlineStr">
        <is>
          <t>Ananya Iyer</t>
        </is>
      </c>
      <c r="G19" t="n">
        <v>8</v>
      </c>
      <c r="H19" s="7" t="n">
        <v>349560</v>
      </c>
    </row>
    <row r="20">
      <c r="A20" s="6" t="n">
        <v>45848</v>
      </c>
      <c r="B20" t="inlineStr">
        <is>
          <t>West</t>
        </is>
      </c>
      <c r="C20" t="inlineStr">
        <is>
          <t>Rajasthan</t>
        </is>
      </c>
      <c r="D20" t="inlineStr">
        <is>
          <t>Jaipur</t>
        </is>
      </c>
      <c r="E20" t="inlineStr">
        <is>
          <t>Electronics</t>
        </is>
      </c>
      <c r="F20" t="inlineStr">
        <is>
          <t>Divya Menon</t>
        </is>
      </c>
      <c r="G20" t="n">
        <v>11</v>
      </c>
      <c r="H20" s="7" t="n">
        <v>244980</v>
      </c>
    </row>
    <row r="21">
      <c r="A21" s="6" t="n">
        <v>45875</v>
      </c>
      <c r="B21" t="inlineStr">
        <is>
          <t>North</t>
        </is>
      </c>
      <c r="C21" t="inlineStr">
        <is>
          <t>Delhi</t>
        </is>
      </c>
      <c r="D21" t="inlineStr">
        <is>
          <t>New Delhi</t>
        </is>
      </c>
      <c r="E21" t="inlineStr">
        <is>
          <t>Appliances</t>
        </is>
      </c>
      <c r="F21" t="inlineStr">
        <is>
          <t>Ananya Iyer</t>
        </is>
      </c>
      <c r="G21" t="n">
        <v>3</v>
      </c>
      <c r="H21" s="7" t="n">
        <v>71900</v>
      </c>
    </row>
    <row r="22">
      <c r="A22" s="6" t="n">
        <v>45877</v>
      </c>
      <c r="B22" t="inlineStr">
        <is>
          <t>West</t>
        </is>
      </c>
      <c r="C22" t="inlineStr">
        <is>
          <t>Maharashtra</t>
        </is>
      </c>
      <c r="D22" t="inlineStr">
        <is>
          <t>Mumbai</t>
        </is>
      </c>
      <c r="E22" t="inlineStr">
        <is>
          <t>Electronics</t>
        </is>
      </c>
      <c r="F22" t="inlineStr">
        <is>
          <t>Arjun Nair</t>
        </is>
      </c>
      <c r="G22" t="n">
        <v>11</v>
      </c>
      <c r="H22" s="7" t="n">
        <v>467910</v>
      </c>
    </row>
    <row r="23">
      <c r="A23" s="6" t="n">
        <v>45878</v>
      </c>
      <c r="B23" t="inlineStr">
        <is>
          <t>South</t>
        </is>
      </c>
      <c r="C23" t="inlineStr">
        <is>
          <t>Kerala</t>
        </is>
      </c>
      <c r="D23" t="inlineStr">
        <is>
          <t>Kochi</t>
        </is>
      </c>
      <c r="E23" t="inlineStr">
        <is>
          <t>Furniture</t>
        </is>
      </c>
      <c r="F23" t="inlineStr">
        <is>
          <t>Karan Malhotra</t>
        </is>
      </c>
      <c r="G23" t="n">
        <v>11</v>
      </c>
      <c r="H23" s="7" t="n">
        <v>172490</v>
      </c>
    </row>
    <row r="24">
      <c r="A24" s="6" t="n">
        <v>45880</v>
      </c>
      <c r="B24" t="inlineStr">
        <is>
          <t>East</t>
        </is>
      </c>
      <c r="C24" t="inlineStr">
        <is>
          <t>Bihar</t>
        </is>
      </c>
      <c r="D24" t="inlineStr">
        <is>
          <t>Patna</t>
        </is>
      </c>
      <c r="E24" t="inlineStr">
        <is>
          <t>Furniture</t>
        </is>
      </c>
      <c r="F24" t="inlineStr">
        <is>
          <t>Rohan Mehta</t>
        </is>
      </c>
      <c r="G24" t="n">
        <v>10</v>
      </c>
      <c r="H24" s="7" t="n">
        <v>67150</v>
      </c>
    </row>
    <row r="25">
      <c r="A25" s="6" t="n">
        <v>45890</v>
      </c>
      <c r="B25" t="inlineStr">
        <is>
          <t>South</t>
        </is>
      </c>
      <c r="C25" t="inlineStr">
        <is>
          <t>Kerala</t>
        </is>
      </c>
      <c r="D25" t="inlineStr">
        <is>
          <t>Kochi</t>
        </is>
      </c>
      <c r="E25" t="inlineStr">
        <is>
          <t>Electronics</t>
        </is>
      </c>
      <c r="F25" t="inlineStr">
        <is>
          <t>Vikram Rao</t>
        </is>
      </c>
      <c r="G25" t="n">
        <v>2</v>
      </c>
      <c r="H25" s="7" t="n">
        <v>25980</v>
      </c>
    </row>
    <row r="26">
      <c r="A26" s="6" t="n">
        <v>45892</v>
      </c>
      <c r="B26" t="inlineStr">
        <is>
          <t>South</t>
        </is>
      </c>
      <c r="C26" t="inlineStr">
        <is>
          <t>Kerala</t>
        </is>
      </c>
      <c r="D26" t="inlineStr">
        <is>
          <t>Kochi</t>
        </is>
      </c>
      <c r="E26" t="inlineStr">
        <is>
          <t>Stationery</t>
        </is>
      </c>
      <c r="F26" t="inlineStr">
        <is>
          <t>Ananya Iyer</t>
        </is>
      </c>
      <c r="G26" t="n">
        <v>160</v>
      </c>
      <c r="H26" s="7" t="n">
        <v>31360</v>
      </c>
    </row>
    <row r="27">
      <c r="A27" s="6" t="n">
        <v>45910</v>
      </c>
      <c r="B27" t="inlineStr">
        <is>
          <t>South</t>
        </is>
      </c>
      <c r="C27" t="inlineStr">
        <is>
          <t>Telangana</t>
        </is>
      </c>
      <c r="D27" t="inlineStr">
        <is>
          <t>Hyderabad</t>
        </is>
      </c>
      <c r="E27" t="inlineStr">
        <is>
          <t>Furniture</t>
        </is>
      </c>
      <c r="F27" t="inlineStr">
        <is>
          <t>Priya Sharma</t>
        </is>
      </c>
      <c r="G27" t="n">
        <v>1</v>
      </c>
      <c r="H27" s="7" t="n">
        <v>11060</v>
      </c>
    </row>
    <row r="28">
      <c r="A28" s="6" t="n">
        <v>45929</v>
      </c>
      <c r="B28" t="inlineStr">
        <is>
          <t>West</t>
        </is>
      </c>
      <c r="C28" t="inlineStr">
        <is>
          <t>Maharashtra</t>
        </is>
      </c>
      <c r="D28" t="inlineStr">
        <is>
          <t>Mumbai</t>
        </is>
      </c>
      <c r="E28" t="inlineStr">
        <is>
          <t>Furniture</t>
        </is>
      </c>
      <c r="F28" t="inlineStr">
        <is>
          <t>Karan Malhotra</t>
        </is>
      </c>
      <c r="G28" t="n">
        <v>11</v>
      </c>
      <c r="H28" s="7" t="n">
        <v>92210</v>
      </c>
    </row>
    <row r="29">
      <c r="A29" s="6" t="n">
        <v>45941</v>
      </c>
      <c r="B29" t="inlineStr">
        <is>
          <t>North</t>
        </is>
      </c>
      <c r="C29" t="inlineStr">
        <is>
          <t>Delhi</t>
        </is>
      </c>
      <c r="D29" t="inlineStr">
        <is>
          <t>New Delhi</t>
        </is>
      </c>
      <c r="E29" t="inlineStr">
        <is>
          <t>Stationery</t>
        </is>
      </c>
      <c r="F29" t="inlineStr">
        <is>
          <t>Rohan Mehta</t>
        </is>
      </c>
      <c r="G29" t="n">
        <v>100</v>
      </c>
      <c r="H29" s="7" t="n">
        <v>38300</v>
      </c>
    </row>
    <row r="30">
      <c r="A30" s="6" t="n">
        <v>45941</v>
      </c>
      <c r="B30" t="inlineStr">
        <is>
          <t>West</t>
        </is>
      </c>
      <c r="C30" t="inlineStr">
        <is>
          <t>Maharashtra</t>
        </is>
      </c>
      <c r="D30" t="inlineStr">
        <is>
          <t>Pune</t>
        </is>
      </c>
      <c r="E30" t="inlineStr">
        <is>
          <t>Stationery</t>
        </is>
      </c>
      <c r="F30" t="inlineStr">
        <is>
          <t>Priya Sharma</t>
        </is>
      </c>
      <c r="G30" t="n">
        <v>208</v>
      </c>
      <c r="H30" s="7" t="n">
        <v>36190</v>
      </c>
    </row>
    <row r="31">
      <c r="A31" s="6" t="n">
        <v>45942</v>
      </c>
      <c r="B31" t="inlineStr">
        <is>
          <t>South</t>
        </is>
      </c>
      <c r="C31" t="inlineStr">
        <is>
          <t>Tamil Nadu</t>
        </is>
      </c>
      <c r="D31" t="inlineStr">
        <is>
          <t>Chennai</t>
        </is>
      </c>
      <c r="E31" t="inlineStr">
        <is>
          <t>Appliances</t>
        </is>
      </c>
      <c r="F31" t="inlineStr">
        <is>
          <t>Arjun Nair</t>
        </is>
      </c>
      <c r="G31" t="n">
        <v>11</v>
      </c>
      <c r="H31" s="7" t="n">
        <v>377730</v>
      </c>
    </row>
    <row r="32">
      <c r="A32" s="6" t="n">
        <v>45943</v>
      </c>
      <c r="B32" t="inlineStr">
        <is>
          <t>North</t>
        </is>
      </c>
      <c r="C32" t="inlineStr">
        <is>
          <t>Delhi</t>
        </is>
      </c>
      <c r="D32" t="inlineStr">
        <is>
          <t>New Delhi</t>
        </is>
      </c>
      <c r="E32" t="inlineStr">
        <is>
          <t>Stationery</t>
        </is>
      </c>
      <c r="F32" t="inlineStr">
        <is>
          <t>Karan Malhotra</t>
        </is>
      </c>
      <c r="G32" t="n">
        <v>203</v>
      </c>
      <c r="H32" s="7" t="n">
        <v>27000</v>
      </c>
    </row>
    <row r="33">
      <c r="A33" s="6" t="n">
        <v>45953</v>
      </c>
      <c r="B33" t="inlineStr">
        <is>
          <t>North</t>
        </is>
      </c>
      <c r="C33" t="inlineStr">
        <is>
          <t>Punjab</t>
        </is>
      </c>
      <c r="D33" t="inlineStr">
        <is>
          <t>Ludhiana</t>
        </is>
      </c>
      <c r="E33" t="inlineStr">
        <is>
          <t>Electronics</t>
        </is>
      </c>
      <c r="F33" t="inlineStr">
        <is>
          <t>Divya Menon</t>
        </is>
      </c>
      <c r="G33" t="n">
        <v>3</v>
      </c>
      <c r="H33" s="7" t="n">
        <v>127390</v>
      </c>
    </row>
    <row r="34">
      <c r="A34" s="6" t="n">
        <v>45960</v>
      </c>
      <c r="B34" t="inlineStr">
        <is>
          <t>South</t>
        </is>
      </c>
      <c r="C34" t="inlineStr">
        <is>
          <t>Tamil Nadu</t>
        </is>
      </c>
      <c r="D34" t="inlineStr">
        <is>
          <t>Chennai</t>
        </is>
      </c>
      <c r="E34" t="inlineStr">
        <is>
          <t>Electronics</t>
        </is>
      </c>
      <c r="F34" t="inlineStr">
        <is>
          <t>Sneha Kulkarni</t>
        </is>
      </c>
      <c r="G34" t="n">
        <v>11</v>
      </c>
      <c r="H34" s="7" t="n">
        <v>409960</v>
      </c>
    </row>
    <row r="35">
      <c r="A35" s="6" t="n">
        <v>45964</v>
      </c>
      <c r="B35" t="inlineStr">
        <is>
          <t>South</t>
        </is>
      </c>
      <c r="C35" t="inlineStr">
        <is>
          <t>Kerala</t>
        </is>
      </c>
      <c r="D35" t="inlineStr">
        <is>
          <t>Kochi</t>
        </is>
      </c>
      <c r="E35" t="inlineStr">
        <is>
          <t>Electronics</t>
        </is>
      </c>
      <c r="F35" t="inlineStr">
        <is>
          <t>Ananya Iyer</t>
        </is>
      </c>
      <c r="G35" t="n">
        <v>2</v>
      </c>
      <c r="H35" s="7" t="n">
        <v>59710</v>
      </c>
    </row>
    <row r="36">
      <c r="A36" s="6" t="n">
        <v>45975</v>
      </c>
      <c r="B36" t="inlineStr">
        <is>
          <t>South</t>
        </is>
      </c>
      <c r="C36" t="inlineStr">
        <is>
          <t>Tamil Nadu</t>
        </is>
      </c>
      <c r="D36" t="inlineStr">
        <is>
          <t>Chennai</t>
        </is>
      </c>
      <c r="E36" t="inlineStr">
        <is>
          <t>Electronics</t>
        </is>
      </c>
      <c r="F36" t="inlineStr">
        <is>
          <t>Karan Malhotra</t>
        </is>
      </c>
      <c r="G36" t="n">
        <v>10</v>
      </c>
      <c r="H36" s="7" t="n">
        <v>83510</v>
      </c>
    </row>
    <row r="37">
      <c r="A37" s="6" t="n">
        <v>45979</v>
      </c>
      <c r="B37" t="inlineStr">
        <is>
          <t>North</t>
        </is>
      </c>
      <c r="C37" t="inlineStr">
        <is>
          <t>Punjab</t>
        </is>
      </c>
      <c r="D37" t="inlineStr">
        <is>
          <t>Ludhiana</t>
        </is>
      </c>
      <c r="E37" t="inlineStr">
        <is>
          <t>Stationery</t>
        </is>
      </c>
      <c r="F37" t="inlineStr">
        <is>
          <t>Priya Sharma</t>
        </is>
      </c>
      <c r="G37" t="n">
        <v>250</v>
      </c>
      <c r="H37" s="7" t="n">
        <v>24000</v>
      </c>
    </row>
    <row r="38">
      <c r="A38" s="6" t="n">
        <v>45981</v>
      </c>
      <c r="B38" t="inlineStr">
        <is>
          <t>East</t>
        </is>
      </c>
      <c r="C38" t="inlineStr">
        <is>
          <t>Odisha</t>
        </is>
      </c>
      <c r="D38" t="inlineStr">
        <is>
          <t>Bhubaneswar</t>
        </is>
      </c>
      <c r="E38" t="inlineStr">
        <is>
          <t>Stationery</t>
        </is>
      </c>
      <c r="F38" t="inlineStr">
        <is>
          <t>Karan Malhotra</t>
        </is>
      </c>
      <c r="G38" t="n">
        <v>360</v>
      </c>
      <c r="H38" s="7" t="n">
        <v>65880</v>
      </c>
    </row>
    <row r="39">
      <c r="A39" s="6" t="n">
        <v>45984</v>
      </c>
      <c r="B39" t="inlineStr">
        <is>
          <t>North</t>
        </is>
      </c>
      <c r="C39" t="inlineStr">
        <is>
          <t>Uttar Pradesh</t>
        </is>
      </c>
      <c r="D39" t="inlineStr">
        <is>
          <t>Lucknow</t>
        </is>
      </c>
      <c r="E39" t="inlineStr">
        <is>
          <t>Appliances</t>
        </is>
      </c>
      <c r="F39" t="inlineStr">
        <is>
          <t>Divya Menon</t>
        </is>
      </c>
      <c r="G39" t="n">
        <v>6</v>
      </c>
      <c r="H39" s="7" t="n">
        <v>150050</v>
      </c>
    </row>
    <row r="40">
      <c r="A40" s="6" t="n">
        <v>45991</v>
      </c>
      <c r="B40" t="inlineStr">
        <is>
          <t>East</t>
        </is>
      </c>
      <c r="C40" t="inlineStr">
        <is>
          <t>Odisha</t>
        </is>
      </c>
      <c r="D40" t="inlineStr">
        <is>
          <t>Bhubaneswar</t>
        </is>
      </c>
      <c r="E40" t="inlineStr">
        <is>
          <t>Furniture</t>
        </is>
      </c>
      <c r="F40" t="inlineStr">
        <is>
          <t>Sneha Kulkarni</t>
        </is>
      </c>
      <c r="G40" t="n">
        <v>11</v>
      </c>
      <c r="H40" s="7" t="n">
        <v>200960</v>
      </c>
    </row>
    <row r="41">
      <c r="A41" s="6" t="n">
        <v>46012</v>
      </c>
      <c r="B41" t="inlineStr">
        <is>
          <t>South</t>
        </is>
      </c>
      <c r="C41" t="inlineStr">
        <is>
          <t>Kerala</t>
        </is>
      </c>
      <c r="D41" t="inlineStr">
        <is>
          <t>Kochi</t>
        </is>
      </c>
      <c r="E41" t="inlineStr">
        <is>
          <t>Appliances</t>
        </is>
      </c>
      <c r="F41" t="inlineStr">
        <is>
          <t>Karan Malhotra</t>
        </is>
      </c>
      <c r="G41" t="n">
        <v>11</v>
      </c>
      <c r="H41" s="7" t="n">
        <v>178120</v>
      </c>
    </row>
    <row r="42">
      <c r="A42" s="6" t="n">
        <v>46014</v>
      </c>
      <c r="B42" t="inlineStr">
        <is>
          <t>North</t>
        </is>
      </c>
      <c r="C42" t="inlineStr">
        <is>
          <t>Delhi</t>
        </is>
      </c>
      <c r="D42" t="inlineStr">
        <is>
          <t>New Delhi</t>
        </is>
      </c>
      <c r="E42" t="inlineStr">
        <is>
          <t>Stationery</t>
        </is>
      </c>
      <c r="F42" t="inlineStr">
        <is>
          <t>Karan Malhotra</t>
        </is>
      </c>
      <c r="G42" t="n">
        <v>299</v>
      </c>
      <c r="H42" s="7" t="n">
        <v>27210</v>
      </c>
    </row>
    <row r="43">
      <c r="A43" s="6" t="n">
        <v>46015</v>
      </c>
      <c r="B43" t="inlineStr">
        <is>
          <t>East</t>
        </is>
      </c>
      <c r="C43" t="inlineStr">
        <is>
          <t>West Bengal</t>
        </is>
      </c>
      <c r="D43" t="inlineStr">
        <is>
          <t>Kolkata</t>
        </is>
      </c>
      <c r="E43" t="inlineStr">
        <is>
          <t>Electronics</t>
        </is>
      </c>
      <c r="F43" t="inlineStr">
        <is>
          <t>Priya Sharma</t>
        </is>
      </c>
      <c r="G43" t="n">
        <v>5</v>
      </c>
      <c r="H43" s="7" t="n">
        <v>65350</v>
      </c>
    </row>
    <row r="44">
      <c r="A44" s="6" t="n">
        <v>46020</v>
      </c>
      <c r="B44" t="inlineStr">
        <is>
          <t>West</t>
        </is>
      </c>
      <c r="C44" t="inlineStr">
        <is>
          <t>Maharashtra</t>
        </is>
      </c>
      <c r="D44" t="inlineStr">
        <is>
          <t>Pune</t>
        </is>
      </c>
      <c r="E44" t="inlineStr">
        <is>
          <t>Electronics</t>
        </is>
      </c>
      <c r="F44" t="inlineStr">
        <is>
          <t>Vikram Rao</t>
        </is>
      </c>
      <c r="G44" t="n">
        <v>9</v>
      </c>
      <c r="H44" s="7" t="n">
        <v>211180</v>
      </c>
    </row>
    <row r="45">
      <c r="A45" s="6" t="n">
        <v>46025</v>
      </c>
      <c r="B45" t="inlineStr">
        <is>
          <t>West</t>
        </is>
      </c>
      <c r="C45" t="inlineStr">
        <is>
          <t>Maharashtra</t>
        </is>
      </c>
      <c r="D45" t="inlineStr">
        <is>
          <t>Pune</t>
        </is>
      </c>
      <c r="E45" t="inlineStr">
        <is>
          <t>Furniture</t>
        </is>
      </c>
      <c r="F45" t="inlineStr">
        <is>
          <t>Rohan Mehta</t>
        </is>
      </c>
      <c r="G45" t="n">
        <v>3</v>
      </c>
      <c r="H45" s="7" t="n">
        <v>24330</v>
      </c>
    </row>
    <row r="46">
      <c r="A46" s="6" t="n">
        <v>46035</v>
      </c>
      <c r="B46" t="inlineStr">
        <is>
          <t>North</t>
        </is>
      </c>
      <c r="C46" t="inlineStr">
        <is>
          <t>Punjab</t>
        </is>
      </c>
      <c r="D46" t="inlineStr">
        <is>
          <t>Ludhiana</t>
        </is>
      </c>
      <c r="E46" t="inlineStr">
        <is>
          <t>Stationery</t>
        </is>
      </c>
      <c r="F46" t="inlineStr">
        <is>
          <t>Sneha Kulkarni</t>
        </is>
      </c>
      <c r="G46" t="n">
        <v>53</v>
      </c>
      <c r="H46" s="7" t="n">
        <v>13460</v>
      </c>
    </row>
    <row r="47">
      <c r="A47" s="6" t="n">
        <v>46037</v>
      </c>
      <c r="B47" t="inlineStr">
        <is>
          <t>South</t>
        </is>
      </c>
      <c r="C47" t="inlineStr">
        <is>
          <t>Telangana</t>
        </is>
      </c>
      <c r="D47" t="inlineStr">
        <is>
          <t>Hyderabad</t>
        </is>
      </c>
      <c r="E47" t="inlineStr">
        <is>
          <t>Electronics</t>
        </is>
      </c>
      <c r="F47" t="inlineStr">
        <is>
          <t>Rohan Mehta</t>
        </is>
      </c>
      <c r="G47" t="n">
        <v>4</v>
      </c>
      <c r="H47" s="7" t="n">
        <v>156960</v>
      </c>
    </row>
    <row r="48">
      <c r="A48" s="6" t="n">
        <v>46037</v>
      </c>
      <c r="B48" t="inlineStr">
        <is>
          <t>South</t>
        </is>
      </c>
      <c r="C48" t="inlineStr">
        <is>
          <t>Karnataka</t>
        </is>
      </c>
      <c r="D48" t="inlineStr">
        <is>
          <t>Bengaluru</t>
        </is>
      </c>
      <c r="E48" t="inlineStr">
        <is>
          <t>Appliances</t>
        </is>
      </c>
      <c r="F48" t="inlineStr">
        <is>
          <t>Sneha Kulkarni</t>
        </is>
      </c>
      <c r="G48" t="n">
        <v>4</v>
      </c>
      <c r="H48" s="7" t="n">
        <v>140820</v>
      </c>
    </row>
    <row r="49">
      <c r="A49" s="6" t="n">
        <v>46042</v>
      </c>
      <c r="B49" t="inlineStr">
        <is>
          <t>East</t>
        </is>
      </c>
      <c r="C49" t="inlineStr">
        <is>
          <t>Odisha</t>
        </is>
      </c>
      <c r="D49" t="inlineStr">
        <is>
          <t>Bhubaneswar</t>
        </is>
      </c>
      <c r="E49" t="inlineStr">
        <is>
          <t>Furniture</t>
        </is>
      </c>
      <c r="F49" t="inlineStr">
        <is>
          <t>Ananya Iyer</t>
        </is>
      </c>
      <c r="G49" t="n">
        <v>1</v>
      </c>
      <c r="H49" s="7" t="n">
        <v>11270</v>
      </c>
    </row>
    <row r="50">
      <c r="A50" s="6" t="n">
        <v>46046</v>
      </c>
      <c r="B50" t="inlineStr">
        <is>
          <t>South</t>
        </is>
      </c>
      <c r="C50" t="inlineStr">
        <is>
          <t>Telangana</t>
        </is>
      </c>
      <c r="D50" t="inlineStr">
        <is>
          <t>Hyderabad</t>
        </is>
      </c>
      <c r="E50" t="inlineStr">
        <is>
          <t>Appliances</t>
        </is>
      </c>
      <c r="F50" t="inlineStr">
        <is>
          <t>Priya Sharma</t>
        </is>
      </c>
      <c r="G50" t="n">
        <v>12</v>
      </c>
      <c r="H50" s="7" t="n">
        <v>261200</v>
      </c>
    </row>
    <row r="51">
      <c r="A51" s="6" t="n">
        <v>46058</v>
      </c>
      <c r="B51" t="inlineStr">
        <is>
          <t>West</t>
        </is>
      </c>
      <c r="C51" t="inlineStr">
        <is>
          <t>Maharashtra</t>
        </is>
      </c>
      <c r="D51" t="inlineStr">
        <is>
          <t>Pune</t>
        </is>
      </c>
      <c r="E51" t="inlineStr">
        <is>
          <t>Stationery</t>
        </is>
      </c>
      <c r="F51" t="inlineStr">
        <is>
          <t>Arjun Nair</t>
        </is>
      </c>
      <c r="G51" t="n">
        <v>135</v>
      </c>
      <c r="H51" s="7" t="n">
        <v>14720</v>
      </c>
    </row>
    <row r="52">
      <c r="A52" s="6" t="n">
        <v>46060</v>
      </c>
      <c r="B52" t="inlineStr">
        <is>
          <t>West</t>
        </is>
      </c>
      <c r="C52" t="inlineStr">
        <is>
          <t>Maharashtra</t>
        </is>
      </c>
      <c r="D52" t="inlineStr">
        <is>
          <t>Pune</t>
        </is>
      </c>
      <c r="E52" t="inlineStr">
        <is>
          <t>Furniture</t>
        </is>
      </c>
      <c r="F52" t="inlineStr">
        <is>
          <t>Ananya Iyer</t>
        </is>
      </c>
      <c r="G52" t="n">
        <v>12</v>
      </c>
      <c r="H52" s="7" t="n">
        <v>277340</v>
      </c>
    </row>
    <row r="53">
      <c r="A53" s="6" t="n">
        <v>46064</v>
      </c>
      <c r="B53" t="inlineStr">
        <is>
          <t>North</t>
        </is>
      </c>
      <c r="C53" t="inlineStr">
        <is>
          <t>Delhi</t>
        </is>
      </c>
      <c r="D53" t="inlineStr">
        <is>
          <t>New Delhi</t>
        </is>
      </c>
      <c r="E53" t="inlineStr">
        <is>
          <t>Furniture</t>
        </is>
      </c>
      <c r="F53" t="inlineStr">
        <is>
          <t>Divya Menon</t>
        </is>
      </c>
      <c r="G53" t="n">
        <v>5</v>
      </c>
      <c r="H53" s="7" t="n">
        <v>33560</v>
      </c>
    </row>
    <row r="54">
      <c r="A54" s="6" t="n">
        <v>46065</v>
      </c>
      <c r="B54" t="inlineStr">
        <is>
          <t>North</t>
        </is>
      </c>
      <c r="C54" t="inlineStr">
        <is>
          <t>Punjab</t>
        </is>
      </c>
      <c r="D54" t="inlineStr">
        <is>
          <t>Ludhiana</t>
        </is>
      </c>
      <c r="E54" t="inlineStr">
        <is>
          <t>Furniture</t>
        </is>
      </c>
      <c r="F54" t="inlineStr">
        <is>
          <t>Arjun Nair</t>
        </is>
      </c>
      <c r="G54" t="n">
        <v>9</v>
      </c>
      <c r="H54" s="7" t="n">
        <v>184670</v>
      </c>
    </row>
    <row r="55">
      <c r="A55" s="6" t="n">
        <v>46065</v>
      </c>
      <c r="B55" t="inlineStr">
        <is>
          <t>South</t>
        </is>
      </c>
      <c r="C55" t="inlineStr">
        <is>
          <t>Telangana</t>
        </is>
      </c>
      <c r="D55" t="inlineStr">
        <is>
          <t>Hyderabad</t>
        </is>
      </c>
      <c r="E55" t="inlineStr">
        <is>
          <t>Furniture</t>
        </is>
      </c>
      <c r="F55" t="inlineStr">
        <is>
          <t>Rohan Mehta</t>
        </is>
      </c>
      <c r="G55" t="n">
        <v>12</v>
      </c>
      <c r="H55" s="7" t="n">
        <v>97680</v>
      </c>
    </row>
    <row r="56">
      <c r="A56" s="6" t="n">
        <v>46066</v>
      </c>
      <c r="B56" t="inlineStr">
        <is>
          <t>East</t>
        </is>
      </c>
      <c r="C56" t="inlineStr">
        <is>
          <t>West Bengal</t>
        </is>
      </c>
      <c r="D56" t="inlineStr">
        <is>
          <t>Kolkata</t>
        </is>
      </c>
      <c r="E56" t="inlineStr">
        <is>
          <t>Electronics</t>
        </is>
      </c>
      <c r="F56" t="inlineStr">
        <is>
          <t>Ananya Iyer</t>
        </is>
      </c>
      <c r="G56" t="n">
        <v>3</v>
      </c>
      <c r="H56" s="7" t="n">
        <v>131390</v>
      </c>
    </row>
    <row r="57">
      <c r="A57" s="6" t="n">
        <v>46067</v>
      </c>
      <c r="B57" t="inlineStr">
        <is>
          <t>South</t>
        </is>
      </c>
      <c r="C57" t="inlineStr">
        <is>
          <t>Kerala</t>
        </is>
      </c>
      <c r="D57" t="inlineStr">
        <is>
          <t>Kochi</t>
        </is>
      </c>
      <c r="E57" t="inlineStr">
        <is>
          <t>Furniture</t>
        </is>
      </c>
      <c r="F57" t="inlineStr">
        <is>
          <t>Rohan Mehta</t>
        </is>
      </c>
      <c r="G57" t="n">
        <v>6</v>
      </c>
      <c r="H57" s="7" t="n">
        <v>97420</v>
      </c>
    </row>
    <row r="58">
      <c r="A58" s="6" t="n">
        <v>46075</v>
      </c>
      <c r="B58" t="inlineStr">
        <is>
          <t>West</t>
        </is>
      </c>
      <c r="C58" t="inlineStr">
        <is>
          <t>Gujarat</t>
        </is>
      </c>
      <c r="D58" t="inlineStr">
        <is>
          <t>Ahmedabad</t>
        </is>
      </c>
      <c r="E58" t="inlineStr">
        <is>
          <t>Furniture</t>
        </is>
      </c>
      <c r="F58" t="inlineStr">
        <is>
          <t>Divya Menon</t>
        </is>
      </c>
      <c r="G58" t="n">
        <v>7</v>
      </c>
      <c r="H58" s="7" t="n">
        <v>64170</v>
      </c>
    </row>
    <row r="59">
      <c r="A59" s="6" t="n">
        <v>46082</v>
      </c>
      <c r="B59" t="inlineStr">
        <is>
          <t>West</t>
        </is>
      </c>
      <c r="C59" t="inlineStr">
        <is>
          <t>Rajasthan</t>
        </is>
      </c>
      <c r="D59" t="inlineStr">
        <is>
          <t>Jaipur</t>
        </is>
      </c>
      <c r="E59" t="inlineStr">
        <is>
          <t>Stationery</t>
        </is>
      </c>
      <c r="F59" t="inlineStr">
        <is>
          <t>Sneha Kulkarni</t>
        </is>
      </c>
      <c r="G59" t="n">
        <v>183</v>
      </c>
      <c r="H59" s="7" t="n">
        <v>69360</v>
      </c>
    </row>
    <row r="60">
      <c r="A60" s="6" t="n">
        <v>46089</v>
      </c>
      <c r="B60" t="inlineStr">
        <is>
          <t>South</t>
        </is>
      </c>
      <c r="C60" t="inlineStr">
        <is>
          <t>Telangana</t>
        </is>
      </c>
      <c r="D60" t="inlineStr">
        <is>
          <t>Hyderabad</t>
        </is>
      </c>
      <c r="E60" t="inlineStr">
        <is>
          <t>Electronics</t>
        </is>
      </c>
      <c r="F60" t="inlineStr">
        <is>
          <t>Ananya Iyer</t>
        </is>
      </c>
      <c r="G60" t="n">
        <v>12</v>
      </c>
      <c r="H60" s="7" t="n">
        <v>404280</v>
      </c>
    </row>
    <row r="61">
      <c r="A61" s="6" t="n">
        <v>46098</v>
      </c>
      <c r="B61" t="inlineStr">
        <is>
          <t>West</t>
        </is>
      </c>
      <c r="C61" t="inlineStr">
        <is>
          <t>Maharashtra</t>
        </is>
      </c>
      <c r="D61" t="inlineStr">
        <is>
          <t>Pune</t>
        </is>
      </c>
      <c r="E61" t="inlineStr">
        <is>
          <t>Appliances</t>
        </is>
      </c>
      <c r="F61" t="inlineStr">
        <is>
          <t>Karan Malhotra</t>
        </is>
      </c>
      <c r="G61" t="n">
        <v>8</v>
      </c>
      <c r="H61" s="7" t="n">
        <v>107390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5" customWidth="1" min="3" max="3"/>
    <col width="13" customWidth="1" min="4" max="4"/>
    <col width="12" customWidth="1" min="5" max="5"/>
    <col width="16" customWidth="1" min="6" max="6"/>
    <col width="7" customWidth="1" min="7" max="7"/>
    <col width="13" customWidth="1" min="8" max="8"/>
    <col width="26" customWidth="1" min="10" max="10"/>
    <col width="14" customWidth="1" min="11" max="11"/>
    <col width="14" customWidth="1" min="12" max="12"/>
  </cols>
  <sheetData>
    <row r="1">
      <c r="A1" s="3" t="inlineStr">
        <is>
          <t>Order date</t>
        </is>
      </c>
      <c r="B1" s="3" t="inlineStr">
        <is>
          <t>Region</t>
        </is>
      </c>
      <c r="C1" s="3" t="inlineStr">
        <is>
          <t>State</t>
        </is>
      </c>
      <c r="D1" s="3" t="inlineStr">
        <is>
          <t>City</t>
        </is>
      </c>
      <c r="E1" s="3" t="inlineStr">
        <is>
          <t>Category</t>
        </is>
      </c>
      <c r="F1" s="3" t="inlineStr">
        <is>
          <t>Salesperson</t>
        </is>
      </c>
      <c r="G1" s="3" t="inlineStr">
        <is>
          <t>Units</t>
        </is>
      </c>
      <c r="H1" s="3" t="inlineStr">
        <is>
          <t>Revenue</t>
        </is>
      </c>
      <c r="J1" s="4" t="inlineStr">
        <is>
          <t>Check: West revenue</t>
        </is>
      </c>
      <c r="K1" s="5">
        <f>SUMIFS(H2:H61,B2:B61,"West")</f>
        <v/>
      </c>
    </row>
    <row r="2">
      <c r="A2" s="6" t="n">
        <v>45749</v>
      </c>
      <c r="B2" t="inlineStr">
        <is>
          <t>East</t>
        </is>
      </c>
      <c r="C2" t="inlineStr">
        <is>
          <t>Odisha</t>
        </is>
      </c>
      <c r="D2" t="inlineStr">
        <is>
          <t>Bhubaneswar</t>
        </is>
      </c>
      <c r="E2" t="inlineStr">
        <is>
          <t>Furniture</t>
        </is>
      </c>
      <c r="F2" t="inlineStr">
        <is>
          <t>Sneha Kulkarni</t>
        </is>
      </c>
      <c r="G2" t="n">
        <v>9</v>
      </c>
      <c r="H2" s="7" t="n">
        <v>181490</v>
      </c>
    </row>
    <row r="3">
      <c r="A3" s="6" t="n">
        <v>45755</v>
      </c>
      <c r="B3" t="inlineStr">
        <is>
          <t>East</t>
        </is>
      </c>
      <c r="C3" t="inlineStr">
        <is>
          <t>West Bengal</t>
        </is>
      </c>
      <c r="D3" t="inlineStr">
        <is>
          <t>Kolkata</t>
        </is>
      </c>
      <c r="E3" t="inlineStr">
        <is>
          <t>Stationery</t>
        </is>
      </c>
      <c r="F3" t="inlineStr">
        <is>
          <t>Vikram Rao</t>
        </is>
      </c>
      <c r="G3" t="n">
        <v>160</v>
      </c>
      <c r="H3" s="7" t="n">
        <v>9600</v>
      </c>
    </row>
    <row r="4">
      <c r="A4" s="6" t="n">
        <v>45760</v>
      </c>
      <c r="B4" t="inlineStr">
        <is>
          <t>West</t>
        </is>
      </c>
      <c r="C4" t="inlineStr">
        <is>
          <t>Maharashtra</t>
        </is>
      </c>
      <c r="D4" t="inlineStr">
        <is>
          <t>Mumbai</t>
        </is>
      </c>
      <c r="E4" t="inlineStr">
        <is>
          <t>Furniture</t>
        </is>
      </c>
      <c r="F4" t="inlineStr">
        <is>
          <t>Vikram Rao</t>
        </is>
      </c>
      <c r="G4" t="n">
        <v>9</v>
      </c>
      <c r="H4" s="7" t="n">
        <v>118400</v>
      </c>
      <c r="J4" s="3" t="inlineStr">
        <is>
          <t>Region</t>
        </is>
      </c>
      <c r="K4" s="3" t="inlineStr">
        <is>
          <t>Revenue</t>
        </is>
      </c>
    </row>
    <row r="5">
      <c r="A5" s="6" t="n">
        <v>45766</v>
      </c>
      <c r="B5" t="inlineStr">
        <is>
          <t>East</t>
        </is>
      </c>
      <c r="C5" t="inlineStr">
        <is>
          <t>Bihar</t>
        </is>
      </c>
      <c r="D5" t="inlineStr">
        <is>
          <t>Patna</t>
        </is>
      </c>
      <c r="E5" t="inlineStr">
        <is>
          <t>Furniture</t>
        </is>
      </c>
      <c r="F5" t="inlineStr">
        <is>
          <t>Karan Malhotra</t>
        </is>
      </c>
      <c r="G5" t="n">
        <v>9</v>
      </c>
      <c r="H5" s="7" t="n">
        <v>124350</v>
      </c>
      <c r="J5" t="inlineStr">
        <is>
          <t>North</t>
        </is>
      </c>
      <c r="K5" s="7">
        <f>SUMIFS($H$2:$H$61,$B$2:$B$61,J5)</f>
        <v/>
      </c>
    </row>
    <row r="6">
      <c r="A6" s="6" t="n">
        <v>45774</v>
      </c>
      <c r="B6" t="inlineStr">
        <is>
          <t>North</t>
        </is>
      </c>
      <c r="C6" t="inlineStr">
        <is>
          <t>Delhi</t>
        </is>
      </c>
      <c r="D6" t="inlineStr">
        <is>
          <t>New Delhi</t>
        </is>
      </c>
      <c r="E6" t="inlineStr">
        <is>
          <t>Furniture</t>
        </is>
      </c>
      <c r="F6" t="inlineStr">
        <is>
          <t>Sneha Kulkarni</t>
        </is>
      </c>
      <c r="G6" t="n">
        <v>2</v>
      </c>
      <c r="H6" s="7" t="n">
        <v>16650</v>
      </c>
      <c r="J6" t="inlineStr">
        <is>
          <t>South</t>
        </is>
      </c>
      <c r="K6" s="7">
        <f>SUMIFS($H$2:$H$61,$B$2:$B$61,J6)</f>
        <v/>
      </c>
    </row>
    <row r="7">
      <c r="A7" s="6" t="n">
        <v>45775</v>
      </c>
      <c r="B7" t="inlineStr">
        <is>
          <t>South</t>
        </is>
      </c>
      <c r="C7" t="inlineStr">
        <is>
          <t>Kerala</t>
        </is>
      </c>
      <c r="D7" t="inlineStr">
        <is>
          <t>Kochi</t>
        </is>
      </c>
      <c r="E7" t="inlineStr">
        <is>
          <t>Appliances</t>
        </is>
      </c>
      <c r="F7" t="inlineStr">
        <is>
          <t>Ananya Iyer</t>
        </is>
      </c>
      <c r="G7" t="n">
        <v>5</v>
      </c>
      <c r="H7" s="7" t="n">
        <v>92450</v>
      </c>
      <c r="J7" t="inlineStr">
        <is>
          <t>East</t>
        </is>
      </c>
      <c r="K7" s="7">
        <f>SUMIFS($H$2:$H$61,$B$2:$B$61,J7)</f>
        <v/>
      </c>
    </row>
    <row r="8">
      <c r="A8" s="6" t="n">
        <v>45781</v>
      </c>
      <c r="B8" t="inlineStr">
        <is>
          <t>East</t>
        </is>
      </c>
      <c r="C8" t="inlineStr">
        <is>
          <t>Odisha</t>
        </is>
      </c>
      <c r="D8" t="inlineStr">
        <is>
          <t>Bhubaneswar</t>
        </is>
      </c>
      <c r="E8" t="inlineStr">
        <is>
          <t>Electronics</t>
        </is>
      </c>
      <c r="F8" t="inlineStr">
        <is>
          <t>Arjun Nair</t>
        </is>
      </c>
      <c r="G8" t="n">
        <v>10</v>
      </c>
      <c r="H8" s="7" t="n">
        <v>304190</v>
      </c>
      <c r="J8" t="inlineStr">
        <is>
          <t>West</t>
        </is>
      </c>
      <c r="K8" s="7">
        <f>SUMIFS($H$2:$H$61,$B$2:$B$61,J8)</f>
        <v/>
      </c>
    </row>
    <row r="9">
      <c r="A9" s="6" t="n">
        <v>45784</v>
      </c>
      <c r="B9" t="inlineStr">
        <is>
          <t>East</t>
        </is>
      </c>
      <c r="C9" t="inlineStr">
        <is>
          <t>Bihar</t>
        </is>
      </c>
      <c r="D9" t="inlineStr">
        <is>
          <t>Patna</t>
        </is>
      </c>
      <c r="E9" t="inlineStr">
        <is>
          <t>Furniture</t>
        </is>
      </c>
      <c r="F9" t="inlineStr">
        <is>
          <t>Karan Malhotra</t>
        </is>
      </c>
      <c r="G9" t="n">
        <v>11</v>
      </c>
      <c r="H9" s="7" t="n">
        <v>96420</v>
      </c>
    </row>
    <row r="10">
      <c r="A10" s="6" t="n">
        <v>45790</v>
      </c>
      <c r="B10" t="inlineStr">
        <is>
          <t>West</t>
        </is>
      </c>
      <c r="C10" t="inlineStr">
        <is>
          <t>Rajasthan</t>
        </is>
      </c>
      <c r="D10" t="inlineStr">
        <is>
          <t>Jaipur</t>
        </is>
      </c>
      <c r="E10" t="inlineStr">
        <is>
          <t>Electronics</t>
        </is>
      </c>
      <c r="F10" t="inlineStr">
        <is>
          <t>Vikram Rao</t>
        </is>
      </c>
      <c r="G10" t="n">
        <v>6</v>
      </c>
      <c r="H10" s="7" t="n">
        <v>110980</v>
      </c>
    </row>
    <row r="11">
      <c r="A11" s="6" t="n">
        <v>45797</v>
      </c>
      <c r="B11" t="inlineStr">
        <is>
          <t>West</t>
        </is>
      </c>
      <c r="C11" t="inlineStr">
        <is>
          <t>Rajasthan</t>
        </is>
      </c>
      <c r="D11" t="inlineStr">
        <is>
          <t>Jaipur</t>
        </is>
      </c>
      <c r="E11" t="inlineStr">
        <is>
          <t>Furniture</t>
        </is>
      </c>
      <c r="F11" t="inlineStr">
        <is>
          <t>Arjun Nair</t>
        </is>
      </c>
      <c r="G11" t="n">
        <v>11</v>
      </c>
      <c r="H11" s="7" t="n">
        <v>115000</v>
      </c>
    </row>
    <row r="12">
      <c r="A12" s="6" t="n">
        <v>45800</v>
      </c>
      <c r="B12" t="inlineStr">
        <is>
          <t>West</t>
        </is>
      </c>
      <c r="C12" t="inlineStr">
        <is>
          <t>Maharashtra</t>
        </is>
      </c>
      <c r="D12" t="inlineStr">
        <is>
          <t>Pune</t>
        </is>
      </c>
      <c r="E12" t="inlineStr">
        <is>
          <t>Electronics</t>
        </is>
      </c>
      <c r="F12" t="inlineStr">
        <is>
          <t>Priya Sharma</t>
        </is>
      </c>
      <c r="G12" t="n">
        <v>2</v>
      </c>
      <c r="H12" s="7" t="n">
        <v>23170</v>
      </c>
    </row>
    <row r="13">
      <c r="A13" s="6" t="n">
        <v>45802</v>
      </c>
      <c r="B13" t="inlineStr">
        <is>
          <t>South</t>
        </is>
      </c>
      <c r="C13" t="inlineStr">
        <is>
          <t>Tamil Nadu</t>
        </is>
      </c>
      <c r="D13" t="inlineStr">
        <is>
          <t>Chennai</t>
        </is>
      </c>
      <c r="E13" t="inlineStr">
        <is>
          <t>Appliances</t>
        </is>
      </c>
      <c r="F13" t="inlineStr">
        <is>
          <t>Ananya Iyer</t>
        </is>
      </c>
      <c r="G13" t="n">
        <v>12</v>
      </c>
      <c r="H13" s="7" t="n">
        <v>290580</v>
      </c>
    </row>
    <row r="14">
      <c r="A14" s="6" t="n">
        <v>45817</v>
      </c>
      <c r="B14" t="inlineStr">
        <is>
          <t>West</t>
        </is>
      </c>
      <c r="C14" t="inlineStr">
        <is>
          <t>Rajasthan</t>
        </is>
      </c>
      <c r="D14" t="inlineStr">
        <is>
          <t>Jaipur</t>
        </is>
      </c>
      <c r="E14" t="inlineStr">
        <is>
          <t>Stationery</t>
        </is>
      </c>
      <c r="F14" t="inlineStr">
        <is>
          <t>Divya Menon</t>
        </is>
      </c>
      <c r="G14" t="n">
        <v>284</v>
      </c>
      <c r="H14" s="7" t="n">
        <v>61910</v>
      </c>
    </row>
    <row r="15">
      <c r="A15" s="6" t="n">
        <v>45829</v>
      </c>
      <c r="B15" t="inlineStr">
        <is>
          <t>West</t>
        </is>
      </c>
      <c r="C15" t="inlineStr">
        <is>
          <t>Maharashtra</t>
        </is>
      </c>
      <c r="D15" t="inlineStr">
        <is>
          <t>Pune</t>
        </is>
      </c>
      <c r="E15" t="inlineStr">
        <is>
          <t>Electronics</t>
        </is>
      </c>
      <c r="F15" t="inlineStr">
        <is>
          <t>Divya Menon</t>
        </is>
      </c>
      <c r="G15" t="n">
        <v>10</v>
      </c>
      <c r="H15" s="7" t="n">
        <v>441660</v>
      </c>
    </row>
    <row r="16">
      <c r="A16" s="6" t="n">
        <v>45832</v>
      </c>
      <c r="B16" t="inlineStr">
        <is>
          <t>West</t>
        </is>
      </c>
      <c r="C16" t="inlineStr">
        <is>
          <t>Maharashtra</t>
        </is>
      </c>
      <c r="D16" t="inlineStr">
        <is>
          <t>Pune</t>
        </is>
      </c>
      <c r="E16" t="inlineStr">
        <is>
          <t>Furniture</t>
        </is>
      </c>
      <c r="F16" t="inlineStr">
        <is>
          <t>Rohan Mehta</t>
        </is>
      </c>
      <c r="G16" t="n">
        <v>1</v>
      </c>
      <c r="H16" s="7" t="n">
        <v>18860</v>
      </c>
    </row>
    <row r="17">
      <c r="A17" s="6" t="n">
        <v>45832</v>
      </c>
      <c r="B17" t="inlineStr">
        <is>
          <t>East</t>
        </is>
      </c>
      <c r="C17" t="inlineStr">
        <is>
          <t>West Bengal</t>
        </is>
      </c>
      <c r="D17" t="inlineStr">
        <is>
          <t>Kolkata</t>
        </is>
      </c>
      <c r="E17" t="inlineStr">
        <is>
          <t>Furniture</t>
        </is>
      </c>
      <c r="F17" t="inlineStr">
        <is>
          <t>Rohan Mehta</t>
        </is>
      </c>
      <c r="G17" t="n">
        <v>2</v>
      </c>
      <c r="H17" s="7" t="n">
        <v>35110</v>
      </c>
    </row>
    <row r="18">
      <c r="A18" s="6" t="n">
        <v>45842</v>
      </c>
      <c r="B18" t="inlineStr">
        <is>
          <t>North</t>
        </is>
      </c>
      <c r="C18" t="inlineStr">
        <is>
          <t>Uttar Pradesh</t>
        </is>
      </c>
      <c r="D18" t="inlineStr">
        <is>
          <t>Lucknow</t>
        </is>
      </c>
      <c r="E18" t="inlineStr">
        <is>
          <t>Electronics</t>
        </is>
      </c>
      <c r="F18" t="inlineStr">
        <is>
          <t>Rohan Mehta</t>
        </is>
      </c>
      <c r="G18" t="n">
        <v>11</v>
      </c>
      <c r="H18" s="7" t="n">
        <v>231380</v>
      </c>
    </row>
    <row r="19">
      <c r="A19" s="6" t="n">
        <v>45846</v>
      </c>
      <c r="B19" t="inlineStr">
        <is>
          <t>West</t>
        </is>
      </c>
      <c r="C19" t="inlineStr">
        <is>
          <t>Maharashtra</t>
        </is>
      </c>
      <c r="D19" t="inlineStr">
        <is>
          <t>Mumbai</t>
        </is>
      </c>
      <c r="E19" t="inlineStr">
        <is>
          <t>Electronics</t>
        </is>
      </c>
      <c r="F19" t="inlineStr">
        <is>
          <t>Ananya Iyer</t>
        </is>
      </c>
      <c r="G19" t="n">
        <v>8</v>
      </c>
      <c r="H19" s="7" t="n">
        <v>349560</v>
      </c>
    </row>
    <row r="20">
      <c r="A20" s="6" t="n">
        <v>45848</v>
      </c>
      <c r="B20" t="inlineStr">
        <is>
          <t>West</t>
        </is>
      </c>
      <c r="C20" t="inlineStr">
        <is>
          <t>Rajasthan</t>
        </is>
      </c>
      <c r="D20" t="inlineStr">
        <is>
          <t>Jaipur</t>
        </is>
      </c>
      <c r="E20" t="inlineStr">
        <is>
          <t>Electronics</t>
        </is>
      </c>
      <c r="F20" t="inlineStr">
        <is>
          <t>Divya Menon</t>
        </is>
      </c>
      <c r="G20" t="n">
        <v>11</v>
      </c>
      <c r="H20" s="7" t="n">
        <v>244980</v>
      </c>
    </row>
    <row r="21">
      <c r="A21" s="6" t="n">
        <v>45875</v>
      </c>
      <c r="B21" t="inlineStr">
        <is>
          <t>North</t>
        </is>
      </c>
      <c r="C21" t="inlineStr">
        <is>
          <t>Delhi</t>
        </is>
      </c>
      <c r="D21" t="inlineStr">
        <is>
          <t>New Delhi</t>
        </is>
      </c>
      <c r="E21" t="inlineStr">
        <is>
          <t>Appliances</t>
        </is>
      </c>
      <c r="F21" t="inlineStr">
        <is>
          <t>Ananya Iyer</t>
        </is>
      </c>
      <c r="G21" t="n">
        <v>3</v>
      </c>
      <c r="H21" s="7" t="n">
        <v>71900</v>
      </c>
    </row>
    <row r="22">
      <c r="A22" s="6" t="n">
        <v>45877</v>
      </c>
      <c r="B22" t="inlineStr">
        <is>
          <t>West</t>
        </is>
      </c>
      <c r="C22" t="inlineStr">
        <is>
          <t>Maharashtra</t>
        </is>
      </c>
      <c r="D22" t="inlineStr">
        <is>
          <t>Mumbai</t>
        </is>
      </c>
      <c r="E22" t="inlineStr">
        <is>
          <t>Electronics</t>
        </is>
      </c>
      <c r="F22" t="inlineStr">
        <is>
          <t>Arjun Nair</t>
        </is>
      </c>
      <c r="G22" t="n">
        <v>11</v>
      </c>
      <c r="H22" s="7" t="n">
        <v>467910</v>
      </c>
    </row>
    <row r="23">
      <c r="A23" s="6" t="n">
        <v>45878</v>
      </c>
      <c r="B23" t="inlineStr">
        <is>
          <t>South</t>
        </is>
      </c>
      <c r="C23" t="inlineStr">
        <is>
          <t>Kerala</t>
        </is>
      </c>
      <c r="D23" t="inlineStr">
        <is>
          <t>Kochi</t>
        </is>
      </c>
      <c r="E23" t="inlineStr">
        <is>
          <t>Furniture</t>
        </is>
      </c>
      <c r="F23" t="inlineStr">
        <is>
          <t>Karan Malhotra</t>
        </is>
      </c>
      <c r="G23" t="n">
        <v>11</v>
      </c>
      <c r="H23" s="7" t="n">
        <v>172490</v>
      </c>
    </row>
    <row r="24">
      <c r="A24" s="6" t="n">
        <v>45880</v>
      </c>
      <c r="B24" t="inlineStr">
        <is>
          <t>East</t>
        </is>
      </c>
      <c r="C24" t="inlineStr">
        <is>
          <t>Bihar</t>
        </is>
      </c>
      <c r="D24" t="inlineStr">
        <is>
          <t>Patna</t>
        </is>
      </c>
      <c r="E24" t="inlineStr">
        <is>
          <t>Furniture</t>
        </is>
      </c>
      <c r="F24" t="inlineStr">
        <is>
          <t>Rohan Mehta</t>
        </is>
      </c>
      <c r="G24" t="n">
        <v>10</v>
      </c>
      <c r="H24" s="7" t="n">
        <v>67150</v>
      </c>
    </row>
    <row r="25">
      <c r="A25" s="6" t="n">
        <v>45890</v>
      </c>
      <c r="B25" t="inlineStr">
        <is>
          <t>South</t>
        </is>
      </c>
      <c r="C25" t="inlineStr">
        <is>
          <t>Kerala</t>
        </is>
      </c>
      <c r="D25" t="inlineStr">
        <is>
          <t>Kochi</t>
        </is>
      </c>
      <c r="E25" t="inlineStr">
        <is>
          <t>Electronics</t>
        </is>
      </c>
      <c r="F25" t="inlineStr">
        <is>
          <t>Vikram Rao</t>
        </is>
      </c>
      <c r="G25" t="n">
        <v>2</v>
      </c>
      <c r="H25" s="7" t="n">
        <v>25980</v>
      </c>
    </row>
    <row r="26">
      <c r="A26" s="6" t="n">
        <v>45892</v>
      </c>
      <c r="B26" t="inlineStr">
        <is>
          <t>South</t>
        </is>
      </c>
      <c r="C26" t="inlineStr">
        <is>
          <t>Kerala</t>
        </is>
      </c>
      <c r="D26" t="inlineStr">
        <is>
          <t>Kochi</t>
        </is>
      </c>
      <c r="E26" t="inlineStr">
        <is>
          <t>Stationery</t>
        </is>
      </c>
      <c r="F26" t="inlineStr">
        <is>
          <t>Ananya Iyer</t>
        </is>
      </c>
      <c r="G26" t="n">
        <v>160</v>
      </c>
      <c r="H26" s="7" t="n">
        <v>31360</v>
      </c>
    </row>
    <row r="27">
      <c r="A27" s="6" t="n">
        <v>45910</v>
      </c>
      <c r="B27" t="inlineStr">
        <is>
          <t>South</t>
        </is>
      </c>
      <c r="C27" t="inlineStr">
        <is>
          <t>Telangana</t>
        </is>
      </c>
      <c r="D27" t="inlineStr">
        <is>
          <t>Hyderabad</t>
        </is>
      </c>
      <c r="E27" t="inlineStr">
        <is>
          <t>Furniture</t>
        </is>
      </c>
      <c r="F27" t="inlineStr">
        <is>
          <t>Priya Sharma</t>
        </is>
      </c>
      <c r="G27" t="n">
        <v>1</v>
      </c>
      <c r="H27" s="7" t="n">
        <v>11060</v>
      </c>
    </row>
    <row r="28">
      <c r="A28" s="6" t="n">
        <v>45929</v>
      </c>
      <c r="B28" t="inlineStr">
        <is>
          <t>West</t>
        </is>
      </c>
      <c r="C28" t="inlineStr">
        <is>
          <t>Maharashtra</t>
        </is>
      </c>
      <c r="D28" t="inlineStr">
        <is>
          <t>Mumbai</t>
        </is>
      </c>
      <c r="E28" t="inlineStr">
        <is>
          <t>Furniture</t>
        </is>
      </c>
      <c r="F28" t="inlineStr">
        <is>
          <t>Karan Malhotra</t>
        </is>
      </c>
      <c r="G28" t="n">
        <v>11</v>
      </c>
      <c r="H28" s="7" t="n">
        <v>92210</v>
      </c>
    </row>
    <row r="29">
      <c r="A29" s="6" t="n">
        <v>45941</v>
      </c>
      <c r="B29" t="inlineStr">
        <is>
          <t>North</t>
        </is>
      </c>
      <c r="C29" t="inlineStr">
        <is>
          <t>Delhi</t>
        </is>
      </c>
      <c r="D29" t="inlineStr">
        <is>
          <t>New Delhi</t>
        </is>
      </c>
      <c r="E29" t="inlineStr">
        <is>
          <t>Stationery</t>
        </is>
      </c>
      <c r="F29" t="inlineStr">
        <is>
          <t>Rohan Mehta</t>
        </is>
      </c>
      <c r="G29" t="n">
        <v>100</v>
      </c>
      <c r="H29" s="7" t="n">
        <v>38300</v>
      </c>
    </row>
    <row r="30">
      <c r="A30" s="6" t="n">
        <v>45941</v>
      </c>
      <c r="B30" t="inlineStr">
        <is>
          <t>West</t>
        </is>
      </c>
      <c r="C30" t="inlineStr">
        <is>
          <t>Maharashtra</t>
        </is>
      </c>
      <c r="D30" t="inlineStr">
        <is>
          <t>Pune</t>
        </is>
      </c>
      <c r="E30" t="inlineStr">
        <is>
          <t>Stationery</t>
        </is>
      </c>
      <c r="F30" t="inlineStr">
        <is>
          <t>Priya Sharma</t>
        </is>
      </c>
      <c r="G30" t="n">
        <v>208</v>
      </c>
      <c r="H30" s="7" t="n">
        <v>36190</v>
      </c>
    </row>
    <row r="31">
      <c r="A31" s="6" t="n">
        <v>45942</v>
      </c>
      <c r="B31" t="inlineStr">
        <is>
          <t>South</t>
        </is>
      </c>
      <c r="C31" t="inlineStr">
        <is>
          <t>Tamil Nadu</t>
        </is>
      </c>
      <c r="D31" t="inlineStr">
        <is>
          <t>Chennai</t>
        </is>
      </c>
      <c r="E31" t="inlineStr">
        <is>
          <t>Appliances</t>
        </is>
      </c>
      <c r="F31" t="inlineStr">
        <is>
          <t>Arjun Nair</t>
        </is>
      </c>
      <c r="G31" t="n">
        <v>11</v>
      </c>
      <c r="H31" s="7" t="n">
        <v>377730</v>
      </c>
    </row>
    <row r="32">
      <c r="A32" s="6" t="n">
        <v>45943</v>
      </c>
      <c r="B32" t="inlineStr">
        <is>
          <t>North</t>
        </is>
      </c>
      <c r="C32" t="inlineStr">
        <is>
          <t>Delhi</t>
        </is>
      </c>
      <c r="D32" t="inlineStr">
        <is>
          <t>New Delhi</t>
        </is>
      </c>
      <c r="E32" t="inlineStr">
        <is>
          <t>Stationery</t>
        </is>
      </c>
      <c r="F32" t="inlineStr">
        <is>
          <t>Karan Malhotra</t>
        </is>
      </c>
      <c r="G32" t="n">
        <v>203</v>
      </c>
      <c r="H32" s="7" t="n">
        <v>27000</v>
      </c>
    </row>
    <row r="33">
      <c r="A33" s="6" t="n">
        <v>45953</v>
      </c>
      <c r="B33" t="inlineStr">
        <is>
          <t>North</t>
        </is>
      </c>
      <c r="C33" t="inlineStr">
        <is>
          <t>Punjab</t>
        </is>
      </c>
      <c r="D33" t="inlineStr">
        <is>
          <t>Ludhiana</t>
        </is>
      </c>
      <c r="E33" t="inlineStr">
        <is>
          <t>Electronics</t>
        </is>
      </c>
      <c r="F33" t="inlineStr">
        <is>
          <t>Divya Menon</t>
        </is>
      </c>
      <c r="G33" t="n">
        <v>3</v>
      </c>
      <c r="H33" s="7" t="n">
        <v>127390</v>
      </c>
    </row>
    <row r="34">
      <c r="A34" s="6" t="n">
        <v>45960</v>
      </c>
      <c r="B34" t="inlineStr">
        <is>
          <t>South</t>
        </is>
      </c>
      <c r="C34" t="inlineStr">
        <is>
          <t>Tamil Nadu</t>
        </is>
      </c>
      <c r="D34" t="inlineStr">
        <is>
          <t>Chennai</t>
        </is>
      </c>
      <c r="E34" t="inlineStr">
        <is>
          <t>Electronics</t>
        </is>
      </c>
      <c r="F34" t="inlineStr">
        <is>
          <t>Sneha Kulkarni</t>
        </is>
      </c>
      <c r="G34" t="n">
        <v>11</v>
      </c>
      <c r="H34" s="7" t="n">
        <v>409960</v>
      </c>
    </row>
    <row r="35">
      <c r="A35" s="6" t="n">
        <v>45964</v>
      </c>
      <c r="B35" t="inlineStr">
        <is>
          <t>South</t>
        </is>
      </c>
      <c r="C35" t="inlineStr">
        <is>
          <t>Kerala</t>
        </is>
      </c>
      <c r="D35" t="inlineStr">
        <is>
          <t>Kochi</t>
        </is>
      </c>
      <c r="E35" t="inlineStr">
        <is>
          <t>Electronics</t>
        </is>
      </c>
      <c r="F35" t="inlineStr">
        <is>
          <t>Ananya Iyer</t>
        </is>
      </c>
      <c r="G35" t="n">
        <v>2</v>
      </c>
      <c r="H35" s="7" t="n">
        <v>59710</v>
      </c>
    </row>
    <row r="36">
      <c r="A36" s="6" t="n">
        <v>45975</v>
      </c>
      <c r="B36" t="inlineStr">
        <is>
          <t>South</t>
        </is>
      </c>
      <c r="C36" t="inlineStr">
        <is>
          <t>Tamil Nadu</t>
        </is>
      </c>
      <c r="D36" t="inlineStr">
        <is>
          <t>Chennai</t>
        </is>
      </c>
      <c r="E36" t="inlineStr">
        <is>
          <t>Electronics</t>
        </is>
      </c>
      <c r="F36" t="inlineStr">
        <is>
          <t>Karan Malhotra</t>
        </is>
      </c>
      <c r="G36" t="n">
        <v>10</v>
      </c>
      <c r="H36" s="7" t="n">
        <v>83510</v>
      </c>
    </row>
    <row r="37">
      <c r="A37" s="6" t="n">
        <v>45979</v>
      </c>
      <c r="B37" t="inlineStr">
        <is>
          <t>North</t>
        </is>
      </c>
      <c r="C37" t="inlineStr">
        <is>
          <t>Punjab</t>
        </is>
      </c>
      <c r="D37" t="inlineStr">
        <is>
          <t>Ludhiana</t>
        </is>
      </c>
      <c r="E37" t="inlineStr">
        <is>
          <t>Stationery</t>
        </is>
      </c>
      <c r="F37" t="inlineStr">
        <is>
          <t>Priya Sharma</t>
        </is>
      </c>
      <c r="G37" t="n">
        <v>250</v>
      </c>
      <c r="H37" s="7" t="n">
        <v>24000</v>
      </c>
    </row>
    <row r="38">
      <c r="A38" s="6" t="n">
        <v>45981</v>
      </c>
      <c r="B38" t="inlineStr">
        <is>
          <t>East</t>
        </is>
      </c>
      <c r="C38" t="inlineStr">
        <is>
          <t>Odisha</t>
        </is>
      </c>
      <c r="D38" t="inlineStr">
        <is>
          <t>Bhubaneswar</t>
        </is>
      </c>
      <c r="E38" t="inlineStr">
        <is>
          <t>Stationery</t>
        </is>
      </c>
      <c r="F38" t="inlineStr">
        <is>
          <t>Karan Malhotra</t>
        </is>
      </c>
      <c r="G38" t="n">
        <v>360</v>
      </c>
      <c r="H38" s="7" t="n">
        <v>65880</v>
      </c>
    </row>
    <row r="39">
      <c r="A39" s="6" t="n">
        <v>45984</v>
      </c>
      <c r="B39" t="inlineStr">
        <is>
          <t>North</t>
        </is>
      </c>
      <c r="C39" t="inlineStr">
        <is>
          <t>Uttar Pradesh</t>
        </is>
      </c>
      <c r="D39" t="inlineStr">
        <is>
          <t>Lucknow</t>
        </is>
      </c>
      <c r="E39" t="inlineStr">
        <is>
          <t>Appliances</t>
        </is>
      </c>
      <c r="F39" t="inlineStr">
        <is>
          <t>Divya Menon</t>
        </is>
      </c>
      <c r="G39" t="n">
        <v>6</v>
      </c>
      <c r="H39" s="7" t="n">
        <v>150050</v>
      </c>
    </row>
    <row r="40">
      <c r="A40" s="6" t="n">
        <v>45991</v>
      </c>
      <c r="B40" t="inlineStr">
        <is>
          <t>East</t>
        </is>
      </c>
      <c r="C40" t="inlineStr">
        <is>
          <t>Odisha</t>
        </is>
      </c>
      <c r="D40" t="inlineStr">
        <is>
          <t>Bhubaneswar</t>
        </is>
      </c>
      <c r="E40" t="inlineStr">
        <is>
          <t>Furniture</t>
        </is>
      </c>
      <c r="F40" t="inlineStr">
        <is>
          <t>Sneha Kulkarni</t>
        </is>
      </c>
      <c r="G40" t="n">
        <v>11</v>
      </c>
      <c r="H40" s="7" t="n">
        <v>200960</v>
      </c>
    </row>
    <row r="41">
      <c r="A41" s="6" t="n">
        <v>46012</v>
      </c>
      <c r="B41" t="inlineStr">
        <is>
          <t>South</t>
        </is>
      </c>
      <c r="C41" t="inlineStr">
        <is>
          <t>Kerala</t>
        </is>
      </c>
      <c r="D41" t="inlineStr">
        <is>
          <t>Kochi</t>
        </is>
      </c>
      <c r="E41" t="inlineStr">
        <is>
          <t>Appliances</t>
        </is>
      </c>
      <c r="F41" t="inlineStr">
        <is>
          <t>Karan Malhotra</t>
        </is>
      </c>
      <c r="G41" t="n">
        <v>11</v>
      </c>
      <c r="H41" s="7" t="n">
        <v>178120</v>
      </c>
    </row>
    <row r="42">
      <c r="A42" s="6" t="n">
        <v>46014</v>
      </c>
      <c r="B42" t="inlineStr">
        <is>
          <t>North</t>
        </is>
      </c>
      <c r="C42" t="inlineStr">
        <is>
          <t>Delhi</t>
        </is>
      </c>
      <c r="D42" t="inlineStr">
        <is>
          <t>New Delhi</t>
        </is>
      </c>
      <c r="E42" t="inlineStr">
        <is>
          <t>Stationery</t>
        </is>
      </c>
      <c r="F42" t="inlineStr">
        <is>
          <t>Karan Malhotra</t>
        </is>
      </c>
      <c r="G42" t="n">
        <v>299</v>
      </c>
      <c r="H42" s="7" t="n">
        <v>27210</v>
      </c>
    </row>
    <row r="43">
      <c r="A43" s="6" t="n">
        <v>46015</v>
      </c>
      <c r="B43" t="inlineStr">
        <is>
          <t>East</t>
        </is>
      </c>
      <c r="C43" t="inlineStr">
        <is>
          <t>West Bengal</t>
        </is>
      </c>
      <c r="D43" t="inlineStr">
        <is>
          <t>Kolkata</t>
        </is>
      </c>
      <c r="E43" t="inlineStr">
        <is>
          <t>Electronics</t>
        </is>
      </c>
      <c r="F43" t="inlineStr">
        <is>
          <t>Priya Sharma</t>
        </is>
      </c>
      <c r="G43" t="n">
        <v>5</v>
      </c>
      <c r="H43" s="7" t="n">
        <v>65350</v>
      </c>
    </row>
    <row r="44">
      <c r="A44" s="6" t="n">
        <v>46020</v>
      </c>
      <c r="B44" t="inlineStr">
        <is>
          <t>West</t>
        </is>
      </c>
      <c r="C44" t="inlineStr">
        <is>
          <t>Maharashtra</t>
        </is>
      </c>
      <c r="D44" t="inlineStr">
        <is>
          <t>Pune</t>
        </is>
      </c>
      <c r="E44" t="inlineStr">
        <is>
          <t>Electronics</t>
        </is>
      </c>
      <c r="F44" t="inlineStr">
        <is>
          <t>Vikram Rao</t>
        </is>
      </c>
      <c r="G44" t="n">
        <v>9</v>
      </c>
      <c r="H44" s="7" t="n">
        <v>211180</v>
      </c>
    </row>
    <row r="45">
      <c r="A45" s="6" t="n">
        <v>46025</v>
      </c>
      <c r="B45" t="inlineStr">
        <is>
          <t>West</t>
        </is>
      </c>
      <c r="C45" t="inlineStr">
        <is>
          <t>Maharashtra</t>
        </is>
      </c>
      <c r="D45" t="inlineStr">
        <is>
          <t>Pune</t>
        </is>
      </c>
      <c r="E45" t="inlineStr">
        <is>
          <t>Furniture</t>
        </is>
      </c>
      <c r="F45" t="inlineStr">
        <is>
          <t>Rohan Mehta</t>
        </is>
      </c>
      <c r="G45" t="n">
        <v>3</v>
      </c>
      <c r="H45" s="7" t="n">
        <v>24330</v>
      </c>
    </row>
    <row r="46">
      <c r="A46" s="6" t="n">
        <v>46035</v>
      </c>
      <c r="B46" t="inlineStr">
        <is>
          <t>North</t>
        </is>
      </c>
      <c r="C46" t="inlineStr">
        <is>
          <t>Punjab</t>
        </is>
      </c>
      <c r="D46" t="inlineStr">
        <is>
          <t>Ludhiana</t>
        </is>
      </c>
      <c r="E46" t="inlineStr">
        <is>
          <t>Stationery</t>
        </is>
      </c>
      <c r="F46" t="inlineStr">
        <is>
          <t>Sneha Kulkarni</t>
        </is>
      </c>
      <c r="G46" t="n">
        <v>53</v>
      </c>
      <c r="H46" s="7" t="n">
        <v>13460</v>
      </c>
    </row>
    <row r="47">
      <c r="A47" s="6" t="n">
        <v>46037</v>
      </c>
      <c r="B47" t="inlineStr">
        <is>
          <t>South</t>
        </is>
      </c>
      <c r="C47" t="inlineStr">
        <is>
          <t>Telangana</t>
        </is>
      </c>
      <c r="D47" t="inlineStr">
        <is>
          <t>Hyderabad</t>
        </is>
      </c>
      <c r="E47" t="inlineStr">
        <is>
          <t>Electronics</t>
        </is>
      </c>
      <c r="F47" t="inlineStr">
        <is>
          <t>Rohan Mehta</t>
        </is>
      </c>
      <c r="G47" t="n">
        <v>4</v>
      </c>
      <c r="H47" s="7" t="n">
        <v>156960</v>
      </c>
    </row>
    <row r="48">
      <c r="A48" s="6" t="n">
        <v>46037</v>
      </c>
      <c r="B48" t="inlineStr">
        <is>
          <t>South</t>
        </is>
      </c>
      <c r="C48" t="inlineStr">
        <is>
          <t>Karnataka</t>
        </is>
      </c>
      <c r="D48" t="inlineStr">
        <is>
          <t>Bengaluru</t>
        </is>
      </c>
      <c r="E48" t="inlineStr">
        <is>
          <t>Appliances</t>
        </is>
      </c>
      <c r="F48" t="inlineStr">
        <is>
          <t>Sneha Kulkarni</t>
        </is>
      </c>
      <c r="G48" t="n">
        <v>4</v>
      </c>
      <c r="H48" s="7" t="n">
        <v>140820</v>
      </c>
    </row>
    <row r="49">
      <c r="A49" s="6" t="n">
        <v>46042</v>
      </c>
      <c r="B49" t="inlineStr">
        <is>
          <t>East</t>
        </is>
      </c>
      <c r="C49" t="inlineStr">
        <is>
          <t>Odisha</t>
        </is>
      </c>
      <c r="D49" t="inlineStr">
        <is>
          <t>Bhubaneswar</t>
        </is>
      </c>
      <c r="E49" t="inlineStr">
        <is>
          <t>Furniture</t>
        </is>
      </c>
      <c r="F49" t="inlineStr">
        <is>
          <t>Ananya Iyer</t>
        </is>
      </c>
      <c r="G49" t="n">
        <v>1</v>
      </c>
      <c r="H49" s="7" t="n">
        <v>11270</v>
      </c>
    </row>
    <row r="50">
      <c r="A50" s="6" t="n">
        <v>46046</v>
      </c>
      <c r="B50" t="inlineStr">
        <is>
          <t>South</t>
        </is>
      </c>
      <c r="C50" t="inlineStr">
        <is>
          <t>Telangana</t>
        </is>
      </c>
      <c r="D50" t="inlineStr">
        <is>
          <t>Hyderabad</t>
        </is>
      </c>
      <c r="E50" t="inlineStr">
        <is>
          <t>Appliances</t>
        </is>
      </c>
      <c r="F50" t="inlineStr">
        <is>
          <t>Priya Sharma</t>
        </is>
      </c>
      <c r="G50" t="n">
        <v>12</v>
      </c>
      <c r="H50" s="7" t="n">
        <v>261200</v>
      </c>
    </row>
    <row r="51">
      <c r="A51" s="6" t="n">
        <v>46058</v>
      </c>
      <c r="B51" t="inlineStr">
        <is>
          <t>West</t>
        </is>
      </c>
      <c r="C51" t="inlineStr">
        <is>
          <t>Maharashtra</t>
        </is>
      </c>
      <c r="D51" t="inlineStr">
        <is>
          <t>Pune</t>
        </is>
      </c>
      <c r="E51" t="inlineStr">
        <is>
          <t>Stationery</t>
        </is>
      </c>
      <c r="F51" t="inlineStr">
        <is>
          <t>Arjun Nair</t>
        </is>
      </c>
      <c r="G51" t="n">
        <v>135</v>
      </c>
      <c r="H51" s="7" t="n">
        <v>14720</v>
      </c>
    </row>
    <row r="52">
      <c r="A52" s="6" t="n">
        <v>46060</v>
      </c>
      <c r="B52" t="inlineStr">
        <is>
          <t>West</t>
        </is>
      </c>
      <c r="C52" t="inlineStr">
        <is>
          <t>Maharashtra</t>
        </is>
      </c>
      <c r="D52" t="inlineStr">
        <is>
          <t>Pune</t>
        </is>
      </c>
      <c r="E52" t="inlineStr">
        <is>
          <t>Furniture</t>
        </is>
      </c>
      <c r="F52" t="inlineStr">
        <is>
          <t>Ananya Iyer</t>
        </is>
      </c>
      <c r="G52" t="n">
        <v>12</v>
      </c>
      <c r="H52" s="7" t="n">
        <v>277340</v>
      </c>
    </row>
    <row r="53">
      <c r="A53" s="6" t="n">
        <v>46064</v>
      </c>
      <c r="B53" t="inlineStr">
        <is>
          <t>North</t>
        </is>
      </c>
      <c r="C53" t="inlineStr">
        <is>
          <t>Delhi</t>
        </is>
      </c>
      <c r="D53" t="inlineStr">
        <is>
          <t>New Delhi</t>
        </is>
      </c>
      <c r="E53" t="inlineStr">
        <is>
          <t>Furniture</t>
        </is>
      </c>
      <c r="F53" t="inlineStr">
        <is>
          <t>Divya Menon</t>
        </is>
      </c>
      <c r="G53" t="n">
        <v>5</v>
      </c>
      <c r="H53" s="7" t="n">
        <v>33560</v>
      </c>
    </row>
    <row r="54">
      <c r="A54" s="6" t="n">
        <v>46065</v>
      </c>
      <c r="B54" t="inlineStr">
        <is>
          <t>North</t>
        </is>
      </c>
      <c r="C54" t="inlineStr">
        <is>
          <t>Punjab</t>
        </is>
      </c>
      <c r="D54" t="inlineStr">
        <is>
          <t>Ludhiana</t>
        </is>
      </c>
      <c r="E54" t="inlineStr">
        <is>
          <t>Furniture</t>
        </is>
      </c>
      <c r="F54" t="inlineStr">
        <is>
          <t>Arjun Nair</t>
        </is>
      </c>
      <c r="G54" t="n">
        <v>9</v>
      </c>
      <c r="H54" s="7" t="n">
        <v>184670</v>
      </c>
    </row>
    <row r="55">
      <c r="A55" s="6" t="n">
        <v>46065</v>
      </c>
      <c r="B55" t="inlineStr">
        <is>
          <t>South</t>
        </is>
      </c>
      <c r="C55" t="inlineStr">
        <is>
          <t>Telangana</t>
        </is>
      </c>
      <c r="D55" t="inlineStr">
        <is>
          <t>Hyderabad</t>
        </is>
      </c>
      <c r="E55" t="inlineStr">
        <is>
          <t>Furniture</t>
        </is>
      </c>
      <c r="F55" t="inlineStr">
        <is>
          <t>Rohan Mehta</t>
        </is>
      </c>
      <c r="G55" t="n">
        <v>12</v>
      </c>
      <c r="H55" s="7" t="n">
        <v>97680</v>
      </c>
    </row>
    <row r="56">
      <c r="A56" s="6" t="n">
        <v>46066</v>
      </c>
      <c r="B56" t="inlineStr">
        <is>
          <t>East</t>
        </is>
      </c>
      <c r="C56" t="inlineStr">
        <is>
          <t>West Bengal</t>
        </is>
      </c>
      <c r="D56" t="inlineStr">
        <is>
          <t>Kolkata</t>
        </is>
      </c>
      <c r="E56" t="inlineStr">
        <is>
          <t>Electronics</t>
        </is>
      </c>
      <c r="F56" t="inlineStr">
        <is>
          <t>Ananya Iyer</t>
        </is>
      </c>
      <c r="G56" t="n">
        <v>3</v>
      </c>
      <c r="H56" s="7" t="n">
        <v>131390</v>
      </c>
    </row>
    <row r="57">
      <c r="A57" s="6" t="n">
        <v>46067</v>
      </c>
      <c r="B57" t="inlineStr">
        <is>
          <t>South</t>
        </is>
      </c>
      <c r="C57" t="inlineStr">
        <is>
          <t>Kerala</t>
        </is>
      </c>
      <c r="D57" t="inlineStr">
        <is>
          <t>Kochi</t>
        </is>
      </c>
      <c r="E57" t="inlineStr">
        <is>
          <t>Furniture</t>
        </is>
      </c>
      <c r="F57" t="inlineStr">
        <is>
          <t>Rohan Mehta</t>
        </is>
      </c>
      <c r="G57" t="n">
        <v>6</v>
      </c>
      <c r="H57" s="7" t="n">
        <v>97420</v>
      </c>
    </row>
    <row r="58">
      <c r="A58" s="6" t="n">
        <v>46075</v>
      </c>
      <c r="B58" t="inlineStr">
        <is>
          <t>West</t>
        </is>
      </c>
      <c r="C58" t="inlineStr">
        <is>
          <t>Gujarat</t>
        </is>
      </c>
      <c r="D58" t="inlineStr">
        <is>
          <t>Ahmedabad</t>
        </is>
      </c>
      <c r="E58" t="inlineStr">
        <is>
          <t>Furniture</t>
        </is>
      </c>
      <c r="F58" t="inlineStr">
        <is>
          <t>Divya Menon</t>
        </is>
      </c>
      <c r="G58" t="n">
        <v>7</v>
      </c>
      <c r="H58" s="7" t="n">
        <v>64170</v>
      </c>
    </row>
    <row r="59">
      <c r="A59" s="6" t="n">
        <v>46082</v>
      </c>
      <c r="B59" t="inlineStr">
        <is>
          <t>West</t>
        </is>
      </c>
      <c r="C59" t="inlineStr">
        <is>
          <t>Rajasthan</t>
        </is>
      </c>
      <c r="D59" t="inlineStr">
        <is>
          <t>Jaipur</t>
        </is>
      </c>
      <c r="E59" t="inlineStr">
        <is>
          <t>Stationery</t>
        </is>
      </c>
      <c r="F59" t="inlineStr">
        <is>
          <t>Sneha Kulkarni</t>
        </is>
      </c>
      <c r="G59" t="n">
        <v>183</v>
      </c>
      <c r="H59" s="7" t="n">
        <v>69360</v>
      </c>
    </row>
    <row r="60">
      <c r="A60" s="6" t="n">
        <v>46089</v>
      </c>
      <c r="B60" t="inlineStr">
        <is>
          <t>South</t>
        </is>
      </c>
      <c r="C60" t="inlineStr">
        <is>
          <t>Telangana</t>
        </is>
      </c>
      <c r="D60" t="inlineStr">
        <is>
          <t>Hyderabad</t>
        </is>
      </c>
      <c r="E60" t="inlineStr">
        <is>
          <t>Electronics</t>
        </is>
      </c>
      <c r="F60" t="inlineStr">
        <is>
          <t>Ananya Iyer</t>
        </is>
      </c>
      <c r="G60" t="n">
        <v>12</v>
      </c>
      <c r="H60" s="7" t="n">
        <v>404280</v>
      </c>
    </row>
    <row r="61">
      <c r="A61" s="6" t="n">
        <v>46098</v>
      </c>
      <c r="B61" t="inlineStr">
        <is>
          <t>West</t>
        </is>
      </c>
      <c r="C61" t="inlineStr">
        <is>
          <t>Maharashtra</t>
        </is>
      </c>
      <c r="D61" t="inlineStr">
        <is>
          <t>Pune</t>
        </is>
      </c>
      <c r="E61" t="inlineStr">
        <is>
          <t>Appliances</t>
        </is>
      </c>
      <c r="F61" t="inlineStr">
        <is>
          <t>Karan Malhotra</t>
        </is>
      </c>
      <c r="G61" t="n">
        <v>8</v>
      </c>
      <c r="H61" s="7" t="n">
        <v>107390</v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3" customWidth="1" min="3" max="3"/>
    <col width="18" customWidth="1" min="4" max="4"/>
    <col width="11" customWidth="1" min="5" max="5"/>
    <col width="60" customWidth="1" min="7" max="7"/>
  </cols>
  <sheetData>
    <row r="1">
      <c r="A1" s="3" t="inlineStr">
        <is>
          <t>Date</t>
        </is>
      </c>
      <c r="B1" s="3" t="inlineStr">
        <is>
          <t>Employee</t>
        </is>
      </c>
      <c r="C1" s="3" t="inlineStr">
        <is>
          <t>Department</t>
        </is>
      </c>
      <c r="D1" s="3" t="inlineStr">
        <is>
          <t>Expense head</t>
        </is>
      </c>
      <c r="E1" s="3" t="inlineStr">
        <is>
          <t>Amount</t>
        </is>
      </c>
      <c r="G1" s="4" t="inlineStr">
        <is>
          <t>Copilot checklist (Mac)</t>
        </is>
      </c>
    </row>
    <row r="2">
      <c r="A2" s="6" t="n">
        <v>46114</v>
      </c>
      <c r="B2" t="inlineStr">
        <is>
          <t>Rahul Verma</t>
        </is>
      </c>
      <c r="C2" t="inlineStr">
        <is>
          <t>Sales</t>
        </is>
      </c>
      <c r="D2" t="inlineStr">
        <is>
          <t>Hotel</t>
        </is>
      </c>
      <c r="E2" s="7" t="n">
        <v>2400</v>
      </c>
      <c r="G2" t="inlineStr">
        <is>
          <t>1. Licence: Microsoft 365 Copilot, or Personal / Family / Premium with Copilot</t>
        </is>
      </c>
    </row>
    <row r="3">
      <c r="A3" s="6" t="n">
        <v>46123</v>
      </c>
      <c r="B3" t="inlineStr">
        <is>
          <t>Rahul Verma</t>
        </is>
      </c>
      <c r="C3" t="inlineStr">
        <is>
          <t>Sales</t>
        </is>
      </c>
      <c r="D3" t="inlineStr">
        <is>
          <t>Hotel</t>
        </is>
      </c>
      <c r="E3" s="7" t="n">
        <v>12500</v>
      </c>
      <c r="G3" t="inlineStr">
        <is>
          <t>2. Signed in to Excel with the same account that has the licence</t>
        </is>
      </c>
    </row>
    <row r="4">
      <c r="A4" s="6" t="n">
        <v>46128</v>
      </c>
      <c r="B4" t="inlineStr">
        <is>
          <t>Rahul Verma</t>
        </is>
      </c>
      <c r="C4" t="inlineStr">
        <is>
          <t>Sales</t>
        </is>
      </c>
      <c r="D4" t="inlineStr">
        <is>
          <t>Local conveyance</t>
        </is>
      </c>
      <c r="E4" s="7" t="n">
        <v>5200</v>
      </c>
      <c r="G4" t="inlineStr">
        <is>
          <t>3. File saved in OneDrive or SharePoint, AutoSave switched on</t>
        </is>
      </c>
    </row>
    <row r="5">
      <c r="A5" s="6" t="n">
        <v>46129</v>
      </c>
      <c r="B5" t="inlineStr">
        <is>
          <t>Siddharth Bose</t>
        </is>
      </c>
      <c r="C5" t="inlineStr">
        <is>
          <t>Finance</t>
        </is>
      </c>
      <c r="D5" t="inlineStr">
        <is>
          <t>Travel</t>
        </is>
      </c>
      <c r="E5" s="7" t="n">
        <v>640</v>
      </c>
      <c r="G5" t="inlineStr">
        <is>
          <t>4. Data in a clean block with one header row, ideally an Excel Table (Command T)</t>
        </is>
      </c>
    </row>
    <row r="6">
      <c r="A6" s="6" t="n">
        <v>46130</v>
      </c>
      <c r="B6" t="inlineStr">
        <is>
          <t>Tanvi Desai</t>
        </is>
      </c>
      <c r="C6" t="inlineStr">
        <is>
          <t>HR</t>
        </is>
      </c>
      <c r="D6" t="inlineStr">
        <is>
          <t>Office supplies</t>
        </is>
      </c>
      <c r="E6" s="7" t="n">
        <v>12500</v>
      </c>
      <c r="G6" t="inlineStr">
        <is>
          <t>5. Excel for Mac updated (Help &gt; Check for Updates); restart after a licence change</t>
        </is>
      </c>
    </row>
    <row r="7">
      <c r="A7" s="6" t="n">
        <v>46138</v>
      </c>
      <c r="B7" t="inlineStr">
        <is>
          <t>Divya Menon</t>
        </is>
      </c>
      <c r="C7" t="inlineStr">
        <is>
          <t>Finance</t>
        </is>
      </c>
      <c r="D7" t="inlineStr">
        <is>
          <t>Office supplies</t>
        </is>
      </c>
      <c r="E7" s="7" t="n">
        <v>5200</v>
      </c>
    </row>
    <row r="8">
      <c r="A8" s="6" t="n">
        <v>46141</v>
      </c>
      <c r="B8" t="inlineStr">
        <is>
          <t>Tanvi Desai</t>
        </is>
      </c>
      <c r="C8" t="inlineStr">
        <is>
          <t>Sales</t>
        </is>
      </c>
      <c r="D8" t="inlineStr">
        <is>
          <t>Meals</t>
        </is>
      </c>
      <c r="E8" s="7" t="n">
        <v>8900</v>
      </c>
      <c r="G8" s="4" t="inlineStr">
        <is>
          <t>Check: total Amount (type a SUM in G9)</t>
        </is>
      </c>
    </row>
    <row r="9">
      <c r="A9" s="6" t="n">
        <v>46165</v>
      </c>
      <c r="B9" t="inlineStr">
        <is>
          <t>Aditya Joshi</t>
        </is>
      </c>
      <c r="C9" t="inlineStr">
        <is>
          <t>HR</t>
        </is>
      </c>
      <c r="D9" t="inlineStr">
        <is>
          <t>Office supplies</t>
        </is>
      </c>
      <c r="E9" s="7" t="n">
        <v>12500</v>
      </c>
      <c r="G9" s="8" t="n"/>
    </row>
    <row r="10">
      <c r="A10" s="6" t="n">
        <v>46168</v>
      </c>
      <c r="B10" t="inlineStr">
        <is>
          <t>Siddharth Bose</t>
        </is>
      </c>
      <c r="C10" t="inlineStr">
        <is>
          <t>Finance</t>
        </is>
      </c>
      <c r="D10" t="inlineStr">
        <is>
          <t>Local conveyance</t>
        </is>
      </c>
      <c r="E10" s="7" t="n">
        <v>3600</v>
      </c>
    </row>
    <row r="11">
      <c r="A11" s="6" t="n">
        <v>46171</v>
      </c>
      <c r="B11" t="inlineStr">
        <is>
          <t>Sneha Kulkarni</t>
        </is>
      </c>
      <c r="C11" t="inlineStr">
        <is>
          <t>Operations</t>
        </is>
      </c>
      <c r="D11" t="inlineStr">
        <is>
          <t>Travel</t>
        </is>
      </c>
      <c r="E11" s="7" t="n">
        <v>1890</v>
      </c>
    </row>
    <row r="12">
      <c r="A12" s="6" t="n">
        <v>46176</v>
      </c>
      <c r="B12" t="inlineStr">
        <is>
          <t>Priya Sharma</t>
        </is>
      </c>
      <c r="C12" t="inlineStr">
        <is>
          <t>Sales</t>
        </is>
      </c>
      <c r="D12" t="inlineStr">
        <is>
          <t>Hotel</t>
        </is>
      </c>
      <c r="E12" s="7" t="n">
        <v>450</v>
      </c>
    </row>
    <row r="13">
      <c r="A13" s="6" t="n">
        <v>46181</v>
      </c>
      <c r="B13" t="inlineStr">
        <is>
          <t>Rohan Mehta</t>
        </is>
      </c>
      <c r="C13" t="inlineStr">
        <is>
          <t>Finance</t>
        </is>
      </c>
      <c r="D13" t="inlineStr">
        <is>
          <t>Hotel</t>
        </is>
      </c>
      <c r="E13" s="7" t="n">
        <v>2400</v>
      </c>
    </row>
    <row r="14">
      <c r="A14" s="6" t="n">
        <v>46190</v>
      </c>
      <c r="B14" t="inlineStr">
        <is>
          <t>Karan Malhotra</t>
        </is>
      </c>
      <c r="C14" t="inlineStr">
        <is>
          <t>HR</t>
        </is>
      </c>
      <c r="D14" t="inlineStr">
        <is>
          <t>Local conveyance</t>
        </is>
      </c>
      <c r="E14" s="7" t="n">
        <v>640</v>
      </c>
    </row>
    <row r="15">
      <c r="A15" s="6" t="n">
        <v>46191</v>
      </c>
      <c r="B15" t="inlineStr">
        <is>
          <t>Arjun Nair</t>
        </is>
      </c>
      <c r="C15" t="inlineStr">
        <is>
          <t>Operations</t>
        </is>
      </c>
      <c r="D15" t="inlineStr">
        <is>
          <t>Office supplies</t>
        </is>
      </c>
      <c r="E15" s="7" t="n">
        <v>1250</v>
      </c>
    </row>
    <row r="16">
      <c r="A16" s="6" t="n">
        <v>46229</v>
      </c>
      <c r="B16" t="inlineStr">
        <is>
          <t>Priya Sharma</t>
        </is>
      </c>
      <c r="C16" t="inlineStr">
        <is>
          <t>Sales</t>
        </is>
      </c>
      <c r="D16" t="inlineStr">
        <is>
          <t>Meals</t>
        </is>
      </c>
      <c r="E16" s="7" t="n">
        <v>8900</v>
      </c>
    </row>
    <row r="17">
      <c r="A17" s="6" t="n">
        <v>46245</v>
      </c>
      <c r="B17" t="inlineStr">
        <is>
          <t>Neha Gupta</t>
        </is>
      </c>
      <c r="C17" t="inlineStr">
        <is>
          <t>Operations</t>
        </is>
      </c>
      <c r="D17" t="inlineStr">
        <is>
          <t>Travel</t>
        </is>
      </c>
      <c r="E17" s="7" t="n">
        <v>1250</v>
      </c>
    </row>
    <row r="18">
      <c r="A18" s="6" t="n">
        <v>46252</v>
      </c>
      <c r="B18" t="inlineStr">
        <is>
          <t>Vikram Rao</t>
        </is>
      </c>
      <c r="C18" t="inlineStr">
        <is>
          <t>Finance</t>
        </is>
      </c>
      <c r="D18" t="inlineStr">
        <is>
          <t>Meals</t>
        </is>
      </c>
      <c r="E18" s="7" t="n">
        <v>1250</v>
      </c>
    </row>
    <row r="19">
      <c r="A19" s="6" t="n">
        <v>46281</v>
      </c>
      <c r="B19" t="inlineStr">
        <is>
          <t>Aditya Joshi</t>
        </is>
      </c>
      <c r="C19" t="inlineStr">
        <is>
          <t>Finance</t>
        </is>
      </c>
      <c r="D19" t="inlineStr">
        <is>
          <t>Software</t>
        </is>
      </c>
      <c r="E19" s="7" t="n">
        <v>1890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3" customWidth="1" min="3" max="3"/>
    <col width="18" customWidth="1" min="4" max="4"/>
    <col width="11" customWidth="1" min="5" max="5"/>
    <col width="60" customWidth="1" min="7" max="7"/>
  </cols>
  <sheetData>
    <row r="1">
      <c r="A1" s="3" t="inlineStr">
        <is>
          <t>Date</t>
        </is>
      </c>
      <c r="B1" s="3" t="inlineStr">
        <is>
          <t>Employee</t>
        </is>
      </c>
      <c r="C1" s="3" t="inlineStr">
        <is>
          <t>Department</t>
        </is>
      </c>
      <c r="D1" s="3" t="inlineStr">
        <is>
          <t>Expense head</t>
        </is>
      </c>
      <c r="E1" s="3" t="inlineStr">
        <is>
          <t>Amount</t>
        </is>
      </c>
      <c r="G1" s="4" t="inlineStr">
        <is>
          <t>Copilot checklist (Mac)</t>
        </is>
      </c>
    </row>
    <row r="2">
      <c r="A2" s="6" t="n">
        <v>46114</v>
      </c>
      <c r="B2" t="inlineStr">
        <is>
          <t>Rahul Verma</t>
        </is>
      </c>
      <c r="C2" t="inlineStr">
        <is>
          <t>Sales</t>
        </is>
      </c>
      <c r="D2" t="inlineStr">
        <is>
          <t>Hotel</t>
        </is>
      </c>
      <c r="E2" s="7" t="n">
        <v>2400</v>
      </c>
      <c r="G2" t="inlineStr">
        <is>
          <t>1. Licence: Microsoft 365 Copilot, or Personal / Family / Premium with Copilot</t>
        </is>
      </c>
    </row>
    <row r="3">
      <c r="A3" s="6" t="n">
        <v>46123</v>
      </c>
      <c r="B3" t="inlineStr">
        <is>
          <t>Rahul Verma</t>
        </is>
      </c>
      <c r="C3" t="inlineStr">
        <is>
          <t>Sales</t>
        </is>
      </c>
      <c r="D3" t="inlineStr">
        <is>
          <t>Hotel</t>
        </is>
      </c>
      <c r="E3" s="7" t="n">
        <v>12500</v>
      </c>
      <c r="G3" t="inlineStr">
        <is>
          <t>2. Signed in to Excel with the same account that has the licence</t>
        </is>
      </c>
    </row>
    <row r="4">
      <c r="A4" s="6" t="n">
        <v>46128</v>
      </c>
      <c r="B4" t="inlineStr">
        <is>
          <t>Rahul Verma</t>
        </is>
      </c>
      <c r="C4" t="inlineStr">
        <is>
          <t>Sales</t>
        </is>
      </c>
      <c r="D4" t="inlineStr">
        <is>
          <t>Local conveyance</t>
        </is>
      </c>
      <c r="E4" s="7" t="n">
        <v>5200</v>
      </c>
      <c r="G4" t="inlineStr">
        <is>
          <t>3. File saved in OneDrive or SharePoint, AutoSave switched on</t>
        </is>
      </c>
    </row>
    <row r="5">
      <c r="A5" s="6" t="n">
        <v>46129</v>
      </c>
      <c r="B5" t="inlineStr">
        <is>
          <t>Siddharth Bose</t>
        </is>
      </c>
      <c r="C5" t="inlineStr">
        <is>
          <t>Finance</t>
        </is>
      </c>
      <c r="D5" t="inlineStr">
        <is>
          <t>Travel</t>
        </is>
      </c>
      <c r="E5" s="7" t="n">
        <v>640</v>
      </c>
      <c r="G5" t="inlineStr">
        <is>
          <t>4. Data in a clean block with one header row, ideally an Excel Table (Command T)</t>
        </is>
      </c>
    </row>
    <row r="6">
      <c r="A6" s="6" t="n">
        <v>46130</v>
      </c>
      <c r="B6" t="inlineStr">
        <is>
          <t>Tanvi Desai</t>
        </is>
      </c>
      <c r="C6" t="inlineStr">
        <is>
          <t>HR</t>
        </is>
      </c>
      <c r="D6" t="inlineStr">
        <is>
          <t>Office supplies</t>
        </is>
      </c>
      <c r="E6" s="7" t="n">
        <v>12500</v>
      </c>
      <c r="G6" t="inlineStr">
        <is>
          <t>5. Excel for Mac updated (Help &gt; Check for Updates); restart after a licence change</t>
        </is>
      </c>
    </row>
    <row r="7">
      <c r="A7" s="6" t="n">
        <v>46138</v>
      </c>
      <c r="B7" t="inlineStr">
        <is>
          <t>Divya Menon</t>
        </is>
      </c>
      <c r="C7" t="inlineStr">
        <is>
          <t>Finance</t>
        </is>
      </c>
      <c r="D7" t="inlineStr">
        <is>
          <t>Office supplies</t>
        </is>
      </c>
      <c r="E7" s="7" t="n">
        <v>5200</v>
      </c>
    </row>
    <row r="8">
      <c r="A8" s="6" t="n">
        <v>46141</v>
      </c>
      <c r="B8" t="inlineStr">
        <is>
          <t>Tanvi Desai</t>
        </is>
      </c>
      <c r="C8" t="inlineStr">
        <is>
          <t>Sales</t>
        </is>
      </c>
      <c r="D8" t="inlineStr">
        <is>
          <t>Meals</t>
        </is>
      </c>
      <c r="E8" s="7" t="n">
        <v>8900</v>
      </c>
      <c r="G8" s="4" t="inlineStr">
        <is>
          <t>Check: total Amount (type a SUM in G9)</t>
        </is>
      </c>
    </row>
    <row r="9">
      <c r="A9" s="6" t="n">
        <v>46165</v>
      </c>
      <c r="B9" t="inlineStr">
        <is>
          <t>Aditya Joshi</t>
        </is>
      </c>
      <c r="C9" t="inlineStr">
        <is>
          <t>HR</t>
        </is>
      </c>
      <c r="D9" t="inlineStr">
        <is>
          <t>Office supplies</t>
        </is>
      </c>
      <c r="E9" s="7" t="n">
        <v>12500</v>
      </c>
      <c r="G9" s="8">
        <f>SUM(E2:E19)</f>
        <v/>
      </c>
    </row>
    <row r="10">
      <c r="A10" s="6" t="n">
        <v>46168</v>
      </c>
      <c r="B10" t="inlineStr">
        <is>
          <t>Siddharth Bose</t>
        </is>
      </c>
      <c r="C10" t="inlineStr">
        <is>
          <t>Finance</t>
        </is>
      </c>
      <c r="D10" t="inlineStr">
        <is>
          <t>Local conveyance</t>
        </is>
      </c>
      <c r="E10" s="7" t="n">
        <v>3600</v>
      </c>
    </row>
    <row r="11">
      <c r="A11" s="6" t="n">
        <v>46171</v>
      </c>
      <c r="B11" t="inlineStr">
        <is>
          <t>Sneha Kulkarni</t>
        </is>
      </c>
      <c r="C11" t="inlineStr">
        <is>
          <t>Operations</t>
        </is>
      </c>
      <c r="D11" t="inlineStr">
        <is>
          <t>Travel</t>
        </is>
      </c>
      <c r="E11" s="7" t="n">
        <v>1890</v>
      </c>
      <c r="G11" s="2" t="inlineStr">
        <is>
          <t>Copilot's department totals should add up to this figure.</t>
        </is>
      </c>
    </row>
    <row r="12">
      <c r="A12" s="6" t="n">
        <v>46176</v>
      </c>
      <c r="B12" t="inlineStr">
        <is>
          <t>Priya Sharma</t>
        </is>
      </c>
      <c r="C12" t="inlineStr">
        <is>
          <t>Sales</t>
        </is>
      </c>
      <c r="D12" t="inlineStr">
        <is>
          <t>Hotel</t>
        </is>
      </c>
      <c r="E12" s="7" t="n">
        <v>450</v>
      </c>
    </row>
    <row r="13">
      <c r="A13" s="6" t="n">
        <v>46181</v>
      </c>
      <c r="B13" t="inlineStr">
        <is>
          <t>Rohan Mehta</t>
        </is>
      </c>
      <c r="C13" t="inlineStr">
        <is>
          <t>Finance</t>
        </is>
      </c>
      <c r="D13" t="inlineStr">
        <is>
          <t>Hotel</t>
        </is>
      </c>
      <c r="E13" s="7" t="n">
        <v>2400</v>
      </c>
    </row>
    <row r="14">
      <c r="A14" s="6" t="n">
        <v>46190</v>
      </c>
      <c r="B14" t="inlineStr">
        <is>
          <t>Karan Malhotra</t>
        </is>
      </c>
      <c r="C14" t="inlineStr">
        <is>
          <t>HR</t>
        </is>
      </c>
      <c r="D14" t="inlineStr">
        <is>
          <t>Local conveyance</t>
        </is>
      </c>
      <c r="E14" s="7" t="n">
        <v>640</v>
      </c>
    </row>
    <row r="15">
      <c r="A15" s="6" t="n">
        <v>46191</v>
      </c>
      <c r="B15" t="inlineStr">
        <is>
          <t>Arjun Nair</t>
        </is>
      </c>
      <c r="C15" t="inlineStr">
        <is>
          <t>Operations</t>
        </is>
      </c>
      <c r="D15" t="inlineStr">
        <is>
          <t>Office supplies</t>
        </is>
      </c>
      <c r="E15" s="7" t="n">
        <v>1250</v>
      </c>
    </row>
    <row r="16">
      <c r="A16" s="6" t="n">
        <v>46229</v>
      </c>
      <c r="B16" t="inlineStr">
        <is>
          <t>Priya Sharma</t>
        </is>
      </c>
      <c r="C16" t="inlineStr">
        <is>
          <t>Sales</t>
        </is>
      </c>
      <c r="D16" t="inlineStr">
        <is>
          <t>Meals</t>
        </is>
      </c>
      <c r="E16" s="7" t="n">
        <v>8900</v>
      </c>
    </row>
    <row r="17">
      <c r="A17" s="6" t="n">
        <v>46245</v>
      </c>
      <c r="B17" t="inlineStr">
        <is>
          <t>Neha Gupta</t>
        </is>
      </c>
      <c r="C17" t="inlineStr">
        <is>
          <t>Operations</t>
        </is>
      </c>
      <c r="D17" t="inlineStr">
        <is>
          <t>Travel</t>
        </is>
      </c>
      <c r="E17" s="7" t="n">
        <v>1250</v>
      </c>
    </row>
    <row r="18">
      <c r="A18" s="6" t="n">
        <v>46252</v>
      </c>
      <c r="B18" t="inlineStr">
        <is>
          <t>Vikram Rao</t>
        </is>
      </c>
      <c r="C18" t="inlineStr">
        <is>
          <t>Finance</t>
        </is>
      </c>
      <c r="D18" t="inlineStr">
        <is>
          <t>Meals</t>
        </is>
      </c>
      <c r="E18" s="7" t="n">
        <v>1250</v>
      </c>
    </row>
    <row r="19">
      <c r="A19" s="6" t="n">
        <v>46281</v>
      </c>
      <c r="B19" t="inlineStr">
        <is>
          <t>Aditya Joshi</t>
        </is>
      </c>
      <c r="C19" t="inlineStr">
        <is>
          <t>Finance</t>
        </is>
      </c>
      <c r="D19" t="inlineStr">
        <is>
          <t>Software</t>
        </is>
      </c>
      <c r="E19" s="7" t="n">
        <v>1890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9" customWidth="1" min="4" max="4"/>
    <col width="9" customWidth="1" min="5" max="5"/>
    <col width="28" customWidth="1" min="7" max="7"/>
    <col width="15" customWidth="1" min="8" max="8"/>
  </cols>
  <sheetData>
    <row r="1">
      <c r="A1" s="3" t="inlineStr">
        <is>
          <t>Month</t>
        </is>
      </c>
      <c r="B1" s="3" t="inlineStr">
        <is>
          <t>Branch</t>
        </is>
      </c>
      <c r="C1" s="3" t="inlineStr">
        <is>
          <t>Revenue</t>
        </is>
      </c>
      <c r="D1" s="3" t="inlineStr">
        <is>
          <t>Orders</t>
        </is>
      </c>
      <c r="E1" s="3" t="inlineStr">
        <is>
          <t>Returns</t>
        </is>
      </c>
      <c r="G1" s="4" t="inlineStr">
        <is>
          <t>Check: Pune FY revenue</t>
        </is>
      </c>
      <c r="H1" s="5" t="n"/>
    </row>
    <row r="2">
      <c r="A2" s="9" t="n">
        <v>45748</v>
      </c>
      <c r="B2" t="inlineStr">
        <is>
          <t>Mumbai</t>
        </is>
      </c>
      <c r="C2" s="7" t="n">
        <v>4245000</v>
      </c>
      <c r="D2" t="n">
        <v>1615</v>
      </c>
      <c r="E2" t="n">
        <v>38</v>
      </c>
      <c r="G2" s="4" t="inlineStr">
        <is>
          <t>Check: Chennai Nov returns</t>
        </is>
      </c>
      <c r="H2" s="10" t="n"/>
    </row>
    <row r="3">
      <c r="A3" s="9" t="n">
        <v>45748</v>
      </c>
      <c r="B3" t="inlineStr">
        <is>
          <t>Pune</t>
        </is>
      </c>
      <c r="C3" s="7" t="n">
        <v>2366000</v>
      </c>
      <c r="D3" t="n">
        <v>921</v>
      </c>
      <c r="E3" t="n">
        <v>20</v>
      </c>
    </row>
    <row r="4">
      <c r="A4" s="9" t="n">
        <v>45748</v>
      </c>
      <c r="B4" t="inlineStr">
        <is>
          <t>Bengaluru</t>
        </is>
      </c>
      <c r="C4" s="7" t="n">
        <v>3595000</v>
      </c>
      <c r="D4" t="n">
        <v>1511</v>
      </c>
      <c r="E4" t="n">
        <v>46</v>
      </c>
    </row>
    <row r="5">
      <c r="A5" s="9" t="n">
        <v>45748</v>
      </c>
      <c r="B5" t="inlineStr">
        <is>
          <t>Chennai</t>
        </is>
      </c>
      <c r="C5" s="7" t="n">
        <v>2844000</v>
      </c>
      <c r="D5" t="n">
        <v>1159</v>
      </c>
      <c r="E5" t="n">
        <v>35</v>
      </c>
    </row>
    <row r="6">
      <c r="A6" s="9" t="n">
        <v>45778</v>
      </c>
      <c r="B6" t="inlineStr">
        <is>
          <t>Mumbai</t>
        </is>
      </c>
      <c r="C6" s="7" t="n">
        <v>4118000</v>
      </c>
      <c r="D6" t="n">
        <v>1644</v>
      </c>
      <c r="E6" t="n">
        <v>54</v>
      </c>
    </row>
    <row r="7">
      <c r="A7" s="9" t="n">
        <v>45778</v>
      </c>
      <c r="B7" t="inlineStr">
        <is>
          <t>Pune</t>
        </is>
      </c>
      <c r="C7" s="7" t="n">
        <v>2328000</v>
      </c>
      <c r="D7" t="n">
        <v>993</v>
      </c>
      <c r="E7" t="n">
        <v>21</v>
      </c>
    </row>
    <row r="8">
      <c r="A8" s="9" t="n">
        <v>45778</v>
      </c>
      <c r="B8" t="inlineStr">
        <is>
          <t>Bengaluru</t>
        </is>
      </c>
      <c r="C8" s="7" t="n">
        <v>3796000</v>
      </c>
      <c r="D8" t="n">
        <v>1605</v>
      </c>
      <c r="E8" t="n">
        <v>36</v>
      </c>
    </row>
    <row r="9">
      <c r="A9" s="9" t="n">
        <v>45778</v>
      </c>
      <c r="B9" t="inlineStr">
        <is>
          <t>Chennai</t>
        </is>
      </c>
      <c r="C9" s="7" t="n">
        <v>2871000</v>
      </c>
      <c r="D9" t="n">
        <v>1216</v>
      </c>
      <c r="E9" t="n">
        <v>26</v>
      </c>
    </row>
    <row r="10">
      <c r="A10" s="9" t="n">
        <v>45809</v>
      </c>
      <c r="B10" t="inlineStr">
        <is>
          <t>Mumbai</t>
        </is>
      </c>
      <c r="C10" s="7" t="n">
        <v>4464000</v>
      </c>
      <c r="D10" t="n">
        <v>1815</v>
      </c>
      <c r="E10" t="n">
        <v>60</v>
      </c>
    </row>
    <row r="11">
      <c r="A11" s="9" t="n">
        <v>45809</v>
      </c>
      <c r="B11" t="inlineStr">
        <is>
          <t>Pune</t>
        </is>
      </c>
      <c r="C11" s="7" t="n">
        <v>2538000</v>
      </c>
      <c r="D11" t="n">
        <v>995</v>
      </c>
      <c r="E11" t="n">
        <v>19</v>
      </c>
    </row>
    <row r="12">
      <c r="A12" s="9" t="n">
        <v>45809</v>
      </c>
      <c r="B12" t="inlineStr">
        <is>
          <t>Bengaluru</t>
        </is>
      </c>
      <c r="C12" s="7" t="n">
        <v>3773000</v>
      </c>
      <c r="D12" t="n">
        <v>1476</v>
      </c>
      <c r="E12" t="n">
        <v>46</v>
      </c>
    </row>
    <row r="13">
      <c r="A13" s="9" t="n">
        <v>45809</v>
      </c>
      <c r="B13" t="inlineStr">
        <is>
          <t>Chennai</t>
        </is>
      </c>
      <c r="C13" s="7" t="n">
        <v>2954000</v>
      </c>
      <c r="D13" t="n">
        <v>1210</v>
      </c>
      <c r="E13" t="n">
        <v>29</v>
      </c>
    </row>
    <row r="14">
      <c r="A14" s="9" t="n">
        <v>45839</v>
      </c>
      <c r="B14" t="inlineStr">
        <is>
          <t>Mumbai</t>
        </is>
      </c>
      <c r="C14" s="7" t="n">
        <v>4260000</v>
      </c>
      <c r="D14" t="n">
        <v>1764</v>
      </c>
      <c r="E14" t="n">
        <v>53</v>
      </c>
    </row>
    <row r="15">
      <c r="A15" s="9" t="n">
        <v>45839</v>
      </c>
      <c r="B15" t="inlineStr">
        <is>
          <t>Pune</t>
        </is>
      </c>
      <c r="C15" s="7" t="n">
        <v>2672000</v>
      </c>
      <c r="D15" t="n">
        <v>999</v>
      </c>
      <c r="E15" t="n">
        <v>27</v>
      </c>
    </row>
    <row r="16">
      <c r="A16" s="9" t="n">
        <v>45839</v>
      </c>
      <c r="B16" t="inlineStr">
        <is>
          <t>Bengaluru</t>
        </is>
      </c>
      <c r="C16" s="7" t="n">
        <v>3797000</v>
      </c>
      <c r="D16" t="n">
        <v>1586</v>
      </c>
      <c r="E16" t="n">
        <v>34</v>
      </c>
    </row>
    <row r="17">
      <c r="A17" s="9" t="n">
        <v>45839</v>
      </c>
      <c r="B17" t="inlineStr">
        <is>
          <t>Chennai</t>
        </is>
      </c>
      <c r="C17" s="7" t="n">
        <v>2882000</v>
      </c>
      <c r="D17" t="n">
        <v>1200</v>
      </c>
      <c r="E17" t="n">
        <v>26</v>
      </c>
    </row>
    <row r="18">
      <c r="A18" s="9" t="n">
        <v>45870</v>
      </c>
      <c r="B18" t="inlineStr">
        <is>
          <t>Mumbai</t>
        </is>
      </c>
      <c r="C18" s="7" t="n">
        <v>4563000</v>
      </c>
      <c r="D18" t="n">
        <v>1791</v>
      </c>
      <c r="E18" t="n">
        <v>37</v>
      </c>
    </row>
    <row r="19">
      <c r="A19" s="9" t="n">
        <v>45870</v>
      </c>
      <c r="B19" t="inlineStr">
        <is>
          <t>Pune</t>
        </is>
      </c>
      <c r="C19" s="7" t="n">
        <v>2718000</v>
      </c>
      <c r="D19" t="n">
        <v>1033</v>
      </c>
      <c r="E19" t="n">
        <v>24</v>
      </c>
    </row>
    <row r="20">
      <c r="A20" s="9" t="n">
        <v>45870</v>
      </c>
      <c r="B20" t="inlineStr">
        <is>
          <t>Bengaluru</t>
        </is>
      </c>
      <c r="C20" s="7" t="n">
        <v>4071000</v>
      </c>
      <c r="D20" t="n">
        <v>1511</v>
      </c>
      <c r="E20" t="n">
        <v>51</v>
      </c>
    </row>
    <row r="21">
      <c r="A21" s="9" t="n">
        <v>45870</v>
      </c>
      <c r="B21" t="inlineStr">
        <is>
          <t>Chennai</t>
        </is>
      </c>
      <c r="C21" s="7" t="n">
        <v>2867000</v>
      </c>
      <c r="D21" t="n">
        <v>1215</v>
      </c>
      <c r="E21" t="n">
        <v>32</v>
      </c>
    </row>
    <row r="22">
      <c r="A22" s="9" t="n">
        <v>45901</v>
      </c>
      <c r="B22" t="inlineStr">
        <is>
          <t>Mumbai</t>
        </is>
      </c>
      <c r="C22" s="7" t="n">
        <v>4505000</v>
      </c>
      <c r="D22" t="n">
        <v>1714</v>
      </c>
      <c r="E22" t="n">
        <v>43</v>
      </c>
    </row>
    <row r="23">
      <c r="A23" s="9" t="n">
        <v>45901</v>
      </c>
      <c r="B23" t="inlineStr">
        <is>
          <t>Pune</t>
        </is>
      </c>
      <c r="C23" s="7" t="n">
        <v>2913000</v>
      </c>
      <c r="D23" t="n">
        <v>1203</v>
      </c>
      <c r="E23" t="n">
        <v>28</v>
      </c>
    </row>
    <row r="24">
      <c r="A24" s="9" t="n">
        <v>45901</v>
      </c>
      <c r="B24" t="inlineStr">
        <is>
          <t>Bengaluru</t>
        </is>
      </c>
      <c r="C24" s="7" t="n">
        <v>4123000</v>
      </c>
      <c r="D24" t="n">
        <v>1646</v>
      </c>
      <c r="E24" t="n">
        <v>40</v>
      </c>
    </row>
    <row r="25">
      <c r="A25" s="9" t="n">
        <v>45901</v>
      </c>
      <c r="B25" t="inlineStr">
        <is>
          <t>Chennai</t>
        </is>
      </c>
      <c r="C25" s="7" t="n">
        <v>2894000</v>
      </c>
      <c r="D25" t="n">
        <v>1165</v>
      </c>
      <c r="E25" t="n">
        <v>39</v>
      </c>
    </row>
    <row r="26">
      <c r="A26" s="9" t="n">
        <v>45931</v>
      </c>
      <c r="B26" t="inlineStr">
        <is>
          <t>Mumbai</t>
        </is>
      </c>
      <c r="C26" s="7" t="n">
        <v>5255000</v>
      </c>
      <c r="D26" t="n">
        <v>1995</v>
      </c>
      <c r="E26" t="n">
        <v>49</v>
      </c>
    </row>
    <row r="27">
      <c r="A27" s="9" t="n">
        <v>45931</v>
      </c>
      <c r="B27" t="inlineStr">
        <is>
          <t>Pune</t>
        </is>
      </c>
      <c r="C27" s="7" t="n">
        <v>3483000</v>
      </c>
      <c r="D27" t="n">
        <v>1376</v>
      </c>
      <c r="E27" t="n">
        <v>28</v>
      </c>
    </row>
    <row r="28">
      <c r="A28" s="9" t="n">
        <v>45931</v>
      </c>
      <c r="B28" t="inlineStr">
        <is>
          <t>Bengaluru</t>
        </is>
      </c>
      <c r="C28" s="7" t="n">
        <v>4662000</v>
      </c>
      <c r="D28" t="n">
        <v>1764</v>
      </c>
      <c r="E28" t="n">
        <v>45</v>
      </c>
    </row>
    <row r="29">
      <c r="A29" s="9" t="n">
        <v>45931</v>
      </c>
      <c r="B29" t="inlineStr">
        <is>
          <t>Chennai</t>
        </is>
      </c>
      <c r="C29" s="7" t="n">
        <v>3236000</v>
      </c>
      <c r="D29" t="n">
        <v>1280</v>
      </c>
      <c r="E29" t="n">
        <v>35</v>
      </c>
    </row>
    <row r="30">
      <c r="A30" s="9" t="n">
        <v>45962</v>
      </c>
      <c r="B30" t="inlineStr">
        <is>
          <t>Mumbai</t>
        </is>
      </c>
      <c r="C30" s="7" t="n">
        <v>5180000</v>
      </c>
      <c r="D30" t="n">
        <v>2085</v>
      </c>
      <c r="E30" t="n">
        <v>52</v>
      </c>
    </row>
    <row r="31">
      <c r="A31" s="9" t="n">
        <v>45962</v>
      </c>
      <c r="B31" t="inlineStr">
        <is>
          <t>Pune</t>
        </is>
      </c>
      <c r="C31" s="7" t="n">
        <v>3627000</v>
      </c>
      <c r="D31" t="n">
        <v>1343</v>
      </c>
      <c r="E31" t="n">
        <v>32</v>
      </c>
    </row>
    <row r="32">
      <c r="A32" s="9" t="n">
        <v>45962</v>
      </c>
      <c r="B32" t="inlineStr">
        <is>
          <t>Bengaluru</t>
        </is>
      </c>
      <c r="C32" s="7" t="n">
        <v>4820000</v>
      </c>
      <c r="D32" t="n">
        <v>1932</v>
      </c>
      <c r="E32" t="n">
        <v>63</v>
      </c>
    </row>
    <row r="33">
      <c r="A33" s="9" t="n">
        <v>45962</v>
      </c>
      <c r="B33" t="inlineStr">
        <is>
          <t>Chennai</t>
        </is>
      </c>
      <c r="C33" s="7" t="n">
        <v>3446000</v>
      </c>
      <c r="D33" t="n">
        <v>1319</v>
      </c>
      <c r="E33" t="n">
        <v>145</v>
      </c>
    </row>
    <row r="34">
      <c r="A34" s="9" t="n">
        <v>45992</v>
      </c>
      <c r="B34" t="inlineStr">
        <is>
          <t>Mumbai</t>
        </is>
      </c>
      <c r="C34" s="7" t="n">
        <v>4604000</v>
      </c>
      <c r="D34" t="n">
        <v>1843</v>
      </c>
      <c r="E34" t="n">
        <v>53</v>
      </c>
    </row>
    <row r="35">
      <c r="A35" s="9" t="n">
        <v>45992</v>
      </c>
      <c r="B35" t="inlineStr">
        <is>
          <t>Pune</t>
        </is>
      </c>
      <c r="C35" s="7" t="n">
        <v>3263000</v>
      </c>
      <c r="D35" t="n">
        <v>1309</v>
      </c>
      <c r="E35" t="n">
        <v>32</v>
      </c>
    </row>
    <row r="36">
      <c r="A36" s="9" t="n">
        <v>45992</v>
      </c>
      <c r="B36" t="inlineStr">
        <is>
          <t>Bengaluru</t>
        </is>
      </c>
      <c r="C36" s="7" t="n">
        <v>4174000</v>
      </c>
      <c r="D36" t="n">
        <v>1640</v>
      </c>
      <c r="E36" t="n">
        <v>42</v>
      </c>
    </row>
    <row r="37">
      <c r="A37" s="9" t="n">
        <v>45992</v>
      </c>
      <c r="B37" t="inlineStr">
        <is>
          <t>Chennai</t>
        </is>
      </c>
      <c r="C37" s="7" t="n">
        <v>2911000</v>
      </c>
      <c r="D37" t="n">
        <v>1135</v>
      </c>
      <c r="E37" t="n">
        <v>23</v>
      </c>
    </row>
    <row r="38">
      <c r="A38" s="9" t="n">
        <v>46023</v>
      </c>
      <c r="B38" t="inlineStr">
        <is>
          <t>Mumbai</t>
        </is>
      </c>
      <c r="C38" s="7" t="n">
        <v>4530000</v>
      </c>
      <c r="D38" t="n">
        <v>1826</v>
      </c>
      <c r="E38" t="n">
        <v>52</v>
      </c>
    </row>
    <row r="39">
      <c r="A39" s="9" t="n">
        <v>46023</v>
      </c>
      <c r="B39" t="inlineStr">
        <is>
          <t>Pune</t>
        </is>
      </c>
      <c r="C39" s="7" t="n">
        <v>3336000</v>
      </c>
      <c r="D39" t="n">
        <v>1271</v>
      </c>
      <c r="E39" t="n">
        <v>43</v>
      </c>
    </row>
    <row r="40">
      <c r="A40" s="9" t="n">
        <v>46023</v>
      </c>
      <c r="B40" t="inlineStr">
        <is>
          <t>Bengaluru</t>
        </is>
      </c>
      <c r="C40" s="7" t="n">
        <v>4283000</v>
      </c>
      <c r="D40" t="n">
        <v>1770</v>
      </c>
      <c r="E40" t="n">
        <v>51</v>
      </c>
    </row>
    <row r="41">
      <c r="A41" s="9" t="n">
        <v>46023</v>
      </c>
      <c r="B41" t="inlineStr">
        <is>
          <t>Chennai</t>
        </is>
      </c>
      <c r="C41" s="7" t="n">
        <v>2892000</v>
      </c>
      <c r="D41" t="n">
        <v>1083</v>
      </c>
      <c r="E41" t="n">
        <v>33</v>
      </c>
    </row>
    <row r="42">
      <c r="A42" s="9" t="n">
        <v>46054</v>
      </c>
      <c r="B42" t="inlineStr">
        <is>
          <t>Mumbai</t>
        </is>
      </c>
      <c r="C42" s="7" t="n">
        <v>4694000</v>
      </c>
      <c r="D42" t="n">
        <v>2032</v>
      </c>
      <c r="E42" t="n">
        <v>39</v>
      </c>
    </row>
    <row r="43">
      <c r="A43" s="9" t="n">
        <v>46054</v>
      </c>
      <c r="B43" t="inlineStr">
        <is>
          <t>Pune</t>
        </is>
      </c>
      <c r="C43" s="7" t="n">
        <v>3454000</v>
      </c>
      <c r="D43" t="n">
        <v>1396</v>
      </c>
      <c r="E43" t="n">
        <v>46</v>
      </c>
    </row>
    <row r="44">
      <c r="A44" s="9" t="n">
        <v>46054</v>
      </c>
      <c r="B44" t="inlineStr">
        <is>
          <t>Bengaluru</t>
        </is>
      </c>
      <c r="C44" s="7" t="n">
        <v>4643000</v>
      </c>
      <c r="D44" t="n">
        <v>1923</v>
      </c>
      <c r="E44" t="n">
        <v>47</v>
      </c>
    </row>
    <row r="45">
      <c r="A45" s="9" t="n">
        <v>46054</v>
      </c>
      <c r="B45" t="inlineStr">
        <is>
          <t>Chennai</t>
        </is>
      </c>
      <c r="C45" s="7" t="n">
        <v>2912000</v>
      </c>
      <c r="D45" t="n">
        <v>1084</v>
      </c>
      <c r="E45" t="n">
        <v>22</v>
      </c>
    </row>
    <row r="46">
      <c r="A46" s="9" t="n">
        <v>46082</v>
      </c>
      <c r="B46" t="inlineStr">
        <is>
          <t>Mumbai</t>
        </is>
      </c>
      <c r="C46" s="7" t="n">
        <v>4604000</v>
      </c>
      <c r="D46" t="n">
        <v>1962</v>
      </c>
      <c r="E46" t="n">
        <v>44</v>
      </c>
    </row>
    <row r="47">
      <c r="A47" s="9" t="n">
        <v>46082</v>
      </c>
      <c r="B47" t="inlineStr">
        <is>
          <t>Pune</t>
        </is>
      </c>
      <c r="C47" s="7" t="n">
        <v>3765000</v>
      </c>
      <c r="D47" t="n">
        <v>1579</v>
      </c>
      <c r="E47" t="n">
        <v>37</v>
      </c>
    </row>
    <row r="48">
      <c r="A48" s="9" t="n">
        <v>46082</v>
      </c>
      <c r="B48" t="inlineStr">
        <is>
          <t>Bengaluru</t>
        </is>
      </c>
      <c r="C48" s="7" t="n">
        <v>4590000</v>
      </c>
      <c r="D48" t="n">
        <v>1980</v>
      </c>
      <c r="E48" t="n">
        <v>48</v>
      </c>
    </row>
    <row r="49">
      <c r="A49" s="9" t="n">
        <v>46082</v>
      </c>
      <c r="B49" t="inlineStr">
        <is>
          <t>Chennai</t>
        </is>
      </c>
      <c r="C49" s="7" t="n">
        <v>3061000</v>
      </c>
      <c r="D49" t="n">
        <v>1239</v>
      </c>
      <c r="E49" t="n">
        <v>22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9" customWidth="1" min="4" max="4"/>
    <col width="9" customWidth="1" min="5" max="5"/>
    <col width="28" customWidth="1" min="7" max="7"/>
    <col width="15" customWidth="1" min="8" max="8"/>
    <col width="16" customWidth="1" min="9" max="9"/>
    <col width="15" customWidth="1" min="10" max="10"/>
  </cols>
  <sheetData>
    <row r="1">
      <c r="A1" s="3" t="inlineStr">
        <is>
          <t>Month</t>
        </is>
      </c>
      <c r="B1" s="3" t="inlineStr">
        <is>
          <t>Branch</t>
        </is>
      </c>
      <c r="C1" s="3" t="inlineStr">
        <is>
          <t>Revenue</t>
        </is>
      </c>
      <c r="D1" s="3" t="inlineStr">
        <is>
          <t>Orders</t>
        </is>
      </c>
      <c r="E1" s="3" t="inlineStr">
        <is>
          <t>Returns</t>
        </is>
      </c>
      <c r="G1" s="4" t="inlineStr">
        <is>
          <t>Check: Pune FY revenue</t>
        </is>
      </c>
      <c r="H1" s="5">
        <f>SUMIFS(C2:C49,B2:B49,"Pune")</f>
        <v/>
      </c>
    </row>
    <row r="2">
      <c r="A2" s="9" t="n">
        <v>45748</v>
      </c>
      <c r="B2" t="inlineStr">
        <is>
          <t>Mumbai</t>
        </is>
      </c>
      <c r="C2" s="7" t="n">
        <v>4245000</v>
      </c>
      <c r="D2" t="n">
        <v>1615</v>
      </c>
      <c r="E2" t="n">
        <v>38</v>
      </c>
      <c r="G2" s="4" t="inlineStr">
        <is>
          <t>Check: Chennai Nov returns</t>
        </is>
      </c>
      <c r="H2" s="10">
        <f>SUMIFS(E2:E49,B2:B49,"Chennai",A2:A49,DATE(2025,11,1))</f>
        <v/>
      </c>
    </row>
    <row r="3">
      <c r="A3" s="9" t="n">
        <v>45748</v>
      </c>
      <c r="B3" t="inlineStr">
        <is>
          <t>Pune</t>
        </is>
      </c>
      <c r="C3" s="7" t="n">
        <v>2366000</v>
      </c>
      <c r="D3" t="n">
        <v>921</v>
      </c>
      <c r="E3" t="n">
        <v>20</v>
      </c>
    </row>
    <row r="4">
      <c r="A4" s="9" t="n">
        <v>45748</v>
      </c>
      <c r="B4" t="inlineStr">
        <is>
          <t>Bengaluru</t>
        </is>
      </c>
      <c r="C4" s="7" t="n">
        <v>3595000</v>
      </c>
      <c r="D4" t="n">
        <v>1511</v>
      </c>
      <c r="E4" t="n">
        <v>46</v>
      </c>
      <c r="G4" s="3" t="inlineStr">
        <is>
          <t>Branch</t>
        </is>
      </c>
      <c r="H4" s="3" t="inlineStr">
        <is>
          <t>FY revenue</t>
        </is>
      </c>
      <c r="I4" s="3" t="inlineStr">
        <is>
          <t>Apr to Mar growth</t>
        </is>
      </c>
      <c r="J4" s="3" t="inlineStr">
        <is>
          <t>Avg order value</t>
        </is>
      </c>
    </row>
    <row r="5">
      <c r="A5" s="9" t="n">
        <v>45748</v>
      </c>
      <c r="B5" t="inlineStr">
        <is>
          <t>Chennai</t>
        </is>
      </c>
      <c r="C5" s="7" t="n">
        <v>2844000</v>
      </c>
      <c r="D5" t="n">
        <v>1159</v>
      </c>
      <c r="E5" t="n">
        <v>35</v>
      </c>
      <c r="G5" t="inlineStr">
        <is>
          <t>Mumbai</t>
        </is>
      </c>
      <c r="H5" s="7">
        <f>SUMIFS($C$2:$C$49,$B$2:$B$49,G5)</f>
        <v/>
      </c>
      <c r="I5" s="11">
        <f>SUMIFS($C$2:$C$49,$B$2:$B$49,G5,$A$2:$A$49,DATE(2026,3,1))/SUMIFS($C$2:$C$49,$B$2:$B$49,G5,$A$2:$A$49,DATE(2025,4,1))-1</f>
        <v/>
      </c>
      <c r="J5" s="7">
        <f>SUMIFS($C$2:$C$49,$B$2:$B$49,G5)/SUMIFS($D$2:$D$49,$B$2:$B$49,G5)</f>
        <v/>
      </c>
    </row>
    <row r="6">
      <c r="A6" s="9" t="n">
        <v>45778</v>
      </c>
      <c r="B6" t="inlineStr">
        <is>
          <t>Mumbai</t>
        </is>
      </c>
      <c r="C6" s="7" t="n">
        <v>4118000</v>
      </c>
      <c r="D6" t="n">
        <v>1644</v>
      </c>
      <c r="E6" t="n">
        <v>54</v>
      </c>
      <c r="G6" t="inlineStr">
        <is>
          <t>Pune</t>
        </is>
      </c>
      <c r="H6" s="7">
        <f>SUMIFS($C$2:$C$49,$B$2:$B$49,G6)</f>
        <v/>
      </c>
      <c r="I6" s="11">
        <f>SUMIFS($C$2:$C$49,$B$2:$B$49,G6,$A$2:$A$49,DATE(2026,3,1))/SUMIFS($C$2:$C$49,$B$2:$B$49,G6,$A$2:$A$49,DATE(2025,4,1))-1</f>
        <v/>
      </c>
      <c r="J6" s="7">
        <f>SUMIFS($C$2:$C$49,$B$2:$B$49,G6)/SUMIFS($D$2:$D$49,$B$2:$B$49,G6)</f>
        <v/>
      </c>
    </row>
    <row r="7">
      <c r="A7" s="9" t="n">
        <v>45778</v>
      </c>
      <c r="B7" t="inlineStr">
        <is>
          <t>Pune</t>
        </is>
      </c>
      <c r="C7" s="7" t="n">
        <v>2328000</v>
      </c>
      <c r="D7" t="n">
        <v>993</v>
      </c>
      <c r="E7" t="n">
        <v>21</v>
      </c>
      <c r="G7" t="inlineStr">
        <is>
          <t>Bengaluru</t>
        </is>
      </c>
      <c r="H7" s="7">
        <f>SUMIFS($C$2:$C$49,$B$2:$B$49,G7)</f>
        <v/>
      </c>
      <c r="I7" s="11">
        <f>SUMIFS($C$2:$C$49,$B$2:$B$49,G7,$A$2:$A$49,DATE(2026,3,1))/SUMIFS($C$2:$C$49,$B$2:$B$49,G7,$A$2:$A$49,DATE(2025,4,1))-1</f>
        <v/>
      </c>
      <c r="J7" s="7">
        <f>SUMIFS($C$2:$C$49,$B$2:$B$49,G7)/SUMIFS($D$2:$D$49,$B$2:$B$49,G7)</f>
        <v/>
      </c>
    </row>
    <row r="8">
      <c r="A8" s="9" t="n">
        <v>45778</v>
      </c>
      <c r="B8" t="inlineStr">
        <is>
          <t>Bengaluru</t>
        </is>
      </c>
      <c r="C8" s="7" t="n">
        <v>3796000</v>
      </c>
      <c r="D8" t="n">
        <v>1605</v>
      </c>
      <c r="E8" t="n">
        <v>36</v>
      </c>
      <c r="G8" t="inlineStr">
        <is>
          <t>Chennai</t>
        </is>
      </c>
      <c r="H8" s="7">
        <f>SUMIFS($C$2:$C$49,$B$2:$B$49,G8)</f>
        <v/>
      </c>
      <c r="I8" s="11">
        <f>SUMIFS($C$2:$C$49,$B$2:$B$49,G8,$A$2:$A$49,DATE(2026,3,1))/SUMIFS($C$2:$C$49,$B$2:$B$49,G8,$A$2:$A$49,DATE(2025,4,1))-1</f>
        <v/>
      </c>
      <c r="J8" s="7">
        <f>SUMIFS($C$2:$C$49,$B$2:$B$49,G8)/SUMIFS($D$2:$D$49,$B$2:$B$49,G8)</f>
        <v/>
      </c>
    </row>
    <row r="9">
      <c r="A9" s="9" t="n">
        <v>45778</v>
      </c>
      <c r="B9" t="inlineStr">
        <is>
          <t>Chennai</t>
        </is>
      </c>
      <c r="C9" s="7" t="n">
        <v>2871000</v>
      </c>
      <c r="D9" t="n">
        <v>1216</v>
      </c>
      <c r="E9" t="n">
        <v>26</v>
      </c>
    </row>
    <row r="10">
      <c r="A10" s="9" t="n">
        <v>45809</v>
      </c>
      <c r="B10" t="inlineStr">
        <is>
          <t>Mumbai</t>
        </is>
      </c>
      <c r="C10" s="7" t="n">
        <v>4464000</v>
      </c>
      <c r="D10" t="n">
        <v>1815</v>
      </c>
      <c r="E10" t="n">
        <v>60</v>
      </c>
      <c r="G10" s="2" t="inlineStr">
        <is>
          <t>Insight: Pune grew fastest; Chennai returns spiked in Nov-25 (about 11% of orders).</t>
        </is>
      </c>
    </row>
    <row r="11">
      <c r="A11" s="9" t="n">
        <v>45809</v>
      </c>
      <c r="B11" t="inlineStr">
        <is>
          <t>Pune</t>
        </is>
      </c>
      <c r="C11" s="7" t="n">
        <v>2538000</v>
      </c>
      <c r="D11" t="n">
        <v>995</v>
      </c>
      <c r="E11" t="n">
        <v>19</v>
      </c>
    </row>
    <row r="12">
      <c r="A12" s="9" t="n">
        <v>45809</v>
      </c>
      <c r="B12" t="inlineStr">
        <is>
          <t>Bengaluru</t>
        </is>
      </c>
      <c r="C12" s="7" t="n">
        <v>3773000</v>
      </c>
      <c r="D12" t="n">
        <v>1476</v>
      </c>
      <c r="E12" t="n">
        <v>46</v>
      </c>
    </row>
    <row r="13">
      <c r="A13" s="9" t="n">
        <v>45809</v>
      </c>
      <c r="B13" t="inlineStr">
        <is>
          <t>Chennai</t>
        </is>
      </c>
      <c r="C13" s="7" t="n">
        <v>2954000</v>
      </c>
      <c r="D13" t="n">
        <v>1210</v>
      </c>
      <c r="E13" t="n">
        <v>29</v>
      </c>
    </row>
    <row r="14">
      <c r="A14" s="9" t="n">
        <v>45839</v>
      </c>
      <c r="B14" t="inlineStr">
        <is>
          <t>Mumbai</t>
        </is>
      </c>
      <c r="C14" s="7" t="n">
        <v>4260000</v>
      </c>
      <c r="D14" t="n">
        <v>1764</v>
      </c>
      <c r="E14" t="n">
        <v>53</v>
      </c>
    </row>
    <row r="15">
      <c r="A15" s="9" t="n">
        <v>45839</v>
      </c>
      <c r="B15" t="inlineStr">
        <is>
          <t>Pune</t>
        </is>
      </c>
      <c r="C15" s="7" t="n">
        <v>2672000</v>
      </c>
      <c r="D15" t="n">
        <v>999</v>
      </c>
      <c r="E15" t="n">
        <v>27</v>
      </c>
    </row>
    <row r="16">
      <c r="A16" s="9" t="n">
        <v>45839</v>
      </c>
      <c r="B16" t="inlineStr">
        <is>
          <t>Bengaluru</t>
        </is>
      </c>
      <c r="C16" s="7" t="n">
        <v>3797000</v>
      </c>
      <c r="D16" t="n">
        <v>1586</v>
      </c>
      <c r="E16" t="n">
        <v>34</v>
      </c>
    </row>
    <row r="17">
      <c r="A17" s="9" t="n">
        <v>45839</v>
      </c>
      <c r="B17" t="inlineStr">
        <is>
          <t>Chennai</t>
        </is>
      </c>
      <c r="C17" s="7" t="n">
        <v>2882000</v>
      </c>
      <c r="D17" t="n">
        <v>1200</v>
      </c>
      <c r="E17" t="n">
        <v>26</v>
      </c>
    </row>
    <row r="18">
      <c r="A18" s="9" t="n">
        <v>45870</v>
      </c>
      <c r="B18" t="inlineStr">
        <is>
          <t>Mumbai</t>
        </is>
      </c>
      <c r="C18" s="7" t="n">
        <v>4563000</v>
      </c>
      <c r="D18" t="n">
        <v>1791</v>
      </c>
      <c r="E18" t="n">
        <v>37</v>
      </c>
    </row>
    <row r="19">
      <c r="A19" s="9" t="n">
        <v>45870</v>
      </c>
      <c r="B19" t="inlineStr">
        <is>
          <t>Pune</t>
        </is>
      </c>
      <c r="C19" s="7" t="n">
        <v>2718000</v>
      </c>
      <c r="D19" t="n">
        <v>1033</v>
      </c>
      <c r="E19" t="n">
        <v>24</v>
      </c>
    </row>
    <row r="20">
      <c r="A20" s="9" t="n">
        <v>45870</v>
      </c>
      <c r="B20" t="inlineStr">
        <is>
          <t>Bengaluru</t>
        </is>
      </c>
      <c r="C20" s="7" t="n">
        <v>4071000</v>
      </c>
      <c r="D20" t="n">
        <v>1511</v>
      </c>
      <c r="E20" t="n">
        <v>51</v>
      </c>
    </row>
    <row r="21">
      <c r="A21" s="9" t="n">
        <v>45870</v>
      </c>
      <c r="B21" t="inlineStr">
        <is>
          <t>Chennai</t>
        </is>
      </c>
      <c r="C21" s="7" t="n">
        <v>2867000</v>
      </c>
      <c r="D21" t="n">
        <v>1215</v>
      </c>
      <c r="E21" t="n">
        <v>32</v>
      </c>
    </row>
    <row r="22">
      <c r="A22" s="9" t="n">
        <v>45901</v>
      </c>
      <c r="B22" t="inlineStr">
        <is>
          <t>Mumbai</t>
        </is>
      </c>
      <c r="C22" s="7" t="n">
        <v>4505000</v>
      </c>
      <c r="D22" t="n">
        <v>1714</v>
      </c>
      <c r="E22" t="n">
        <v>43</v>
      </c>
    </row>
    <row r="23">
      <c r="A23" s="9" t="n">
        <v>45901</v>
      </c>
      <c r="B23" t="inlineStr">
        <is>
          <t>Pune</t>
        </is>
      </c>
      <c r="C23" s="7" t="n">
        <v>2913000</v>
      </c>
      <c r="D23" t="n">
        <v>1203</v>
      </c>
      <c r="E23" t="n">
        <v>28</v>
      </c>
    </row>
    <row r="24">
      <c r="A24" s="9" t="n">
        <v>45901</v>
      </c>
      <c r="B24" t="inlineStr">
        <is>
          <t>Bengaluru</t>
        </is>
      </c>
      <c r="C24" s="7" t="n">
        <v>4123000</v>
      </c>
      <c r="D24" t="n">
        <v>1646</v>
      </c>
      <c r="E24" t="n">
        <v>40</v>
      </c>
    </row>
    <row r="25">
      <c r="A25" s="9" t="n">
        <v>45901</v>
      </c>
      <c r="B25" t="inlineStr">
        <is>
          <t>Chennai</t>
        </is>
      </c>
      <c r="C25" s="7" t="n">
        <v>2894000</v>
      </c>
      <c r="D25" t="n">
        <v>1165</v>
      </c>
      <c r="E25" t="n">
        <v>39</v>
      </c>
    </row>
    <row r="26">
      <c r="A26" s="9" t="n">
        <v>45931</v>
      </c>
      <c r="B26" t="inlineStr">
        <is>
          <t>Mumbai</t>
        </is>
      </c>
      <c r="C26" s="7" t="n">
        <v>5255000</v>
      </c>
      <c r="D26" t="n">
        <v>1995</v>
      </c>
      <c r="E26" t="n">
        <v>49</v>
      </c>
    </row>
    <row r="27">
      <c r="A27" s="9" t="n">
        <v>45931</v>
      </c>
      <c r="B27" t="inlineStr">
        <is>
          <t>Pune</t>
        </is>
      </c>
      <c r="C27" s="7" t="n">
        <v>3483000</v>
      </c>
      <c r="D27" t="n">
        <v>1376</v>
      </c>
      <c r="E27" t="n">
        <v>28</v>
      </c>
    </row>
    <row r="28">
      <c r="A28" s="9" t="n">
        <v>45931</v>
      </c>
      <c r="B28" t="inlineStr">
        <is>
          <t>Bengaluru</t>
        </is>
      </c>
      <c r="C28" s="7" t="n">
        <v>4662000</v>
      </c>
      <c r="D28" t="n">
        <v>1764</v>
      </c>
      <c r="E28" t="n">
        <v>45</v>
      </c>
    </row>
    <row r="29">
      <c r="A29" s="9" t="n">
        <v>45931</v>
      </c>
      <c r="B29" t="inlineStr">
        <is>
          <t>Chennai</t>
        </is>
      </c>
      <c r="C29" s="7" t="n">
        <v>3236000</v>
      </c>
      <c r="D29" t="n">
        <v>1280</v>
      </c>
      <c r="E29" t="n">
        <v>35</v>
      </c>
    </row>
    <row r="30">
      <c r="A30" s="9" t="n">
        <v>45962</v>
      </c>
      <c r="B30" t="inlineStr">
        <is>
          <t>Mumbai</t>
        </is>
      </c>
      <c r="C30" s="7" t="n">
        <v>5180000</v>
      </c>
      <c r="D30" t="n">
        <v>2085</v>
      </c>
      <c r="E30" t="n">
        <v>52</v>
      </c>
    </row>
    <row r="31">
      <c r="A31" s="9" t="n">
        <v>45962</v>
      </c>
      <c r="B31" t="inlineStr">
        <is>
          <t>Pune</t>
        </is>
      </c>
      <c r="C31" s="7" t="n">
        <v>3627000</v>
      </c>
      <c r="D31" t="n">
        <v>1343</v>
      </c>
      <c r="E31" t="n">
        <v>32</v>
      </c>
    </row>
    <row r="32">
      <c r="A32" s="9" t="n">
        <v>45962</v>
      </c>
      <c r="B32" t="inlineStr">
        <is>
          <t>Bengaluru</t>
        </is>
      </c>
      <c r="C32" s="7" t="n">
        <v>4820000</v>
      </c>
      <c r="D32" t="n">
        <v>1932</v>
      </c>
      <c r="E32" t="n">
        <v>63</v>
      </c>
    </row>
    <row r="33">
      <c r="A33" s="9" t="n">
        <v>45962</v>
      </c>
      <c r="B33" t="inlineStr">
        <is>
          <t>Chennai</t>
        </is>
      </c>
      <c r="C33" s="7" t="n">
        <v>3446000</v>
      </c>
      <c r="D33" t="n">
        <v>1319</v>
      </c>
      <c r="E33" t="n">
        <v>145</v>
      </c>
    </row>
    <row r="34">
      <c r="A34" s="9" t="n">
        <v>45992</v>
      </c>
      <c r="B34" t="inlineStr">
        <is>
          <t>Mumbai</t>
        </is>
      </c>
      <c r="C34" s="7" t="n">
        <v>4604000</v>
      </c>
      <c r="D34" t="n">
        <v>1843</v>
      </c>
      <c r="E34" t="n">
        <v>53</v>
      </c>
    </row>
    <row r="35">
      <c r="A35" s="9" t="n">
        <v>45992</v>
      </c>
      <c r="B35" t="inlineStr">
        <is>
          <t>Pune</t>
        </is>
      </c>
      <c r="C35" s="7" t="n">
        <v>3263000</v>
      </c>
      <c r="D35" t="n">
        <v>1309</v>
      </c>
      <c r="E35" t="n">
        <v>32</v>
      </c>
    </row>
    <row r="36">
      <c r="A36" s="9" t="n">
        <v>45992</v>
      </c>
      <c r="B36" t="inlineStr">
        <is>
          <t>Bengaluru</t>
        </is>
      </c>
      <c r="C36" s="7" t="n">
        <v>4174000</v>
      </c>
      <c r="D36" t="n">
        <v>1640</v>
      </c>
      <c r="E36" t="n">
        <v>42</v>
      </c>
    </row>
    <row r="37">
      <c r="A37" s="9" t="n">
        <v>45992</v>
      </c>
      <c r="B37" t="inlineStr">
        <is>
          <t>Chennai</t>
        </is>
      </c>
      <c r="C37" s="7" t="n">
        <v>2911000</v>
      </c>
      <c r="D37" t="n">
        <v>1135</v>
      </c>
      <c r="E37" t="n">
        <v>23</v>
      </c>
    </row>
    <row r="38">
      <c r="A38" s="9" t="n">
        <v>46023</v>
      </c>
      <c r="B38" t="inlineStr">
        <is>
          <t>Mumbai</t>
        </is>
      </c>
      <c r="C38" s="7" t="n">
        <v>4530000</v>
      </c>
      <c r="D38" t="n">
        <v>1826</v>
      </c>
      <c r="E38" t="n">
        <v>52</v>
      </c>
    </row>
    <row r="39">
      <c r="A39" s="9" t="n">
        <v>46023</v>
      </c>
      <c r="B39" t="inlineStr">
        <is>
          <t>Pune</t>
        </is>
      </c>
      <c r="C39" s="7" t="n">
        <v>3336000</v>
      </c>
      <c r="D39" t="n">
        <v>1271</v>
      </c>
      <c r="E39" t="n">
        <v>43</v>
      </c>
    </row>
    <row r="40">
      <c r="A40" s="9" t="n">
        <v>46023</v>
      </c>
      <c r="B40" t="inlineStr">
        <is>
          <t>Bengaluru</t>
        </is>
      </c>
      <c r="C40" s="7" t="n">
        <v>4283000</v>
      </c>
      <c r="D40" t="n">
        <v>1770</v>
      </c>
      <c r="E40" t="n">
        <v>51</v>
      </c>
    </row>
    <row r="41">
      <c r="A41" s="9" t="n">
        <v>46023</v>
      </c>
      <c r="B41" t="inlineStr">
        <is>
          <t>Chennai</t>
        </is>
      </c>
      <c r="C41" s="7" t="n">
        <v>2892000</v>
      </c>
      <c r="D41" t="n">
        <v>1083</v>
      </c>
      <c r="E41" t="n">
        <v>33</v>
      </c>
    </row>
    <row r="42">
      <c r="A42" s="9" t="n">
        <v>46054</v>
      </c>
      <c r="B42" t="inlineStr">
        <is>
          <t>Mumbai</t>
        </is>
      </c>
      <c r="C42" s="7" t="n">
        <v>4694000</v>
      </c>
      <c r="D42" t="n">
        <v>2032</v>
      </c>
      <c r="E42" t="n">
        <v>39</v>
      </c>
    </row>
    <row r="43">
      <c r="A43" s="9" t="n">
        <v>46054</v>
      </c>
      <c r="B43" t="inlineStr">
        <is>
          <t>Pune</t>
        </is>
      </c>
      <c r="C43" s="7" t="n">
        <v>3454000</v>
      </c>
      <c r="D43" t="n">
        <v>1396</v>
      </c>
      <c r="E43" t="n">
        <v>46</v>
      </c>
    </row>
    <row r="44">
      <c r="A44" s="9" t="n">
        <v>46054</v>
      </c>
      <c r="B44" t="inlineStr">
        <is>
          <t>Bengaluru</t>
        </is>
      </c>
      <c r="C44" s="7" t="n">
        <v>4643000</v>
      </c>
      <c r="D44" t="n">
        <v>1923</v>
      </c>
      <c r="E44" t="n">
        <v>47</v>
      </c>
    </row>
    <row r="45">
      <c r="A45" s="9" t="n">
        <v>46054</v>
      </c>
      <c r="B45" t="inlineStr">
        <is>
          <t>Chennai</t>
        </is>
      </c>
      <c r="C45" s="7" t="n">
        <v>2912000</v>
      </c>
      <c r="D45" t="n">
        <v>1084</v>
      </c>
      <c r="E45" t="n">
        <v>22</v>
      </c>
    </row>
    <row r="46">
      <c r="A46" s="9" t="n">
        <v>46082</v>
      </c>
      <c r="B46" t="inlineStr">
        <is>
          <t>Mumbai</t>
        </is>
      </c>
      <c r="C46" s="7" t="n">
        <v>4604000</v>
      </c>
      <c r="D46" t="n">
        <v>1962</v>
      </c>
      <c r="E46" t="n">
        <v>44</v>
      </c>
    </row>
    <row r="47">
      <c r="A47" s="9" t="n">
        <v>46082</v>
      </c>
      <c r="B47" t="inlineStr">
        <is>
          <t>Pune</t>
        </is>
      </c>
      <c r="C47" s="7" t="n">
        <v>3765000</v>
      </c>
      <c r="D47" t="n">
        <v>1579</v>
      </c>
      <c r="E47" t="n">
        <v>37</v>
      </c>
    </row>
    <row r="48">
      <c r="A48" s="9" t="n">
        <v>46082</v>
      </c>
      <c r="B48" t="inlineStr">
        <is>
          <t>Bengaluru</t>
        </is>
      </c>
      <c r="C48" s="7" t="n">
        <v>4590000</v>
      </c>
      <c r="D48" t="n">
        <v>1980</v>
      </c>
      <c r="E48" t="n">
        <v>48</v>
      </c>
    </row>
    <row r="49">
      <c r="A49" s="9" t="n">
        <v>46082</v>
      </c>
      <c r="B49" t="inlineStr">
        <is>
          <t>Chennai</t>
        </is>
      </c>
      <c r="C49" s="7" t="n">
        <v>3061000</v>
      </c>
      <c r="D49" t="n">
        <v>1239</v>
      </c>
      <c r="E49" t="n">
        <v>22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22" customWidth="1" min="3" max="3"/>
    <col width="13" customWidth="1" min="4" max="4"/>
    <col width="14" customWidth="1" min="5" max="5"/>
    <col width="6" customWidth="1" min="6" max="6"/>
    <col width="11" customWidth="1" min="7" max="7"/>
    <col width="12" customWidth="1" min="8" max="8"/>
    <col width="11" customWidth="1" min="9" max="9"/>
    <col width="16" customWidth="1" min="12" max="12"/>
    <col width="14" customWidth="1" min="13" max="13"/>
  </cols>
  <sheetData>
    <row r="1">
      <c r="A1" s="3" t="inlineStr">
        <is>
          <t>Order ID</t>
        </is>
      </c>
      <c r="B1" s="3" t="inlineStr">
        <is>
          <t>Order date</t>
        </is>
      </c>
      <c r="C1" s="3" t="inlineStr">
        <is>
          <t>Customer</t>
        </is>
      </c>
      <c r="D1" s="3" t="inlineStr">
        <is>
          <t>State</t>
        </is>
      </c>
      <c r="E1" s="3" t="inlineStr">
        <is>
          <t>Category</t>
        </is>
      </c>
      <c r="F1" s="3" t="inlineStr">
        <is>
          <t>Qty</t>
        </is>
      </c>
      <c r="G1" s="3" t="inlineStr">
        <is>
          <t>Unit price</t>
        </is>
      </c>
      <c r="L1" s="3" t="inlineStr">
        <is>
          <t>Category</t>
        </is>
      </c>
      <c r="M1" s="3" t="inlineStr">
        <is>
          <t>GST rate</t>
        </is>
      </c>
    </row>
    <row r="2">
      <c r="A2" t="inlineStr">
        <is>
          <t>SO-2501</t>
        </is>
      </c>
      <c r="B2" s="6" t="n">
        <v>46212</v>
      </c>
      <c r="C2" t="inlineStr">
        <is>
          <t>Royal Book House</t>
        </is>
      </c>
      <c r="D2" t="inlineStr">
        <is>
          <t>Telangana</t>
        </is>
      </c>
      <c r="E2" t="inlineStr">
        <is>
          <t>Electronics</t>
        </is>
      </c>
      <c r="F2" t="n">
        <v>2</v>
      </c>
      <c r="G2" s="7" t="n">
        <v>5446</v>
      </c>
      <c r="L2" t="inlineStr">
        <is>
          <t>Books</t>
        </is>
      </c>
      <c r="M2" s="12" t="n">
        <v>0</v>
      </c>
    </row>
    <row r="3">
      <c r="A3" t="inlineStr">
        <is>
          <t>SO-2502</t>
        </is>
      </c>
      <c r="B3" s="6" t="n">
        <v>46212</v>
      </c>
      <c r="C3" t="inlineStr">
        <is>
          <t>Shree Balaji Stores</t>
        </is>
      </c>
      <c r="D3" t="inlineStr">
        <is>
          <t>Maharashtra</t>
        </is>
      </c>
      <c r="E3" t="inlineStr">
        <is>
          <t>Furniture</t>
        </is>
      </c>
      <c r="F3" t="n">
        <v>8</v>
      </c>
      <c r="G3" s="7" t="n">
        <v>2950</v>
      </c>
      <c r="L3" t="inlineStr">
        <is>
          <t>Packaged food</t>
        </is>
      </c>
      <c r="M3" s="12" t="n">
        <v>0.05</v>
      </c>
    </row>
    <row r="4">
      <c r="A4" t="inlineStr">
        <is>
          <t>SO-2503</t>
        </is>
      </c>
      <c r="B4" s="6" t="n">
        <v>46218</v>
      </c>
      <c r="C4" t="inlineStr">
        <is>
          <t>Sai Enterprises</t>
        </is>
      </c>
      <c r="D4" t="inlineStr">
        <is>
          <t>Gujarat</t>
        </is>
      </c>
      <c r="E4" t="inlineStr">
        <is>
          <t>Furniture</t>
        </is>
      </c>
      <c r="F4" t="n">
        <v>5</v>
      </c>
      <c r="G4" s="7" t="n">
        <v>11795</v>
      </c>
      <c r="L4" t="inlineStr">
        <is>
          <t>Stationery</t>
        </is>
      </c>
      <c r="M4" s="12" t="n">
        <v>0.05</v>
      </c>
    </row>
    <row r="5">
      <c r="A5" t="inlineStr">
        <is>
          <t>SO-2504</t>
        </is>
      </c>
      <c r="B5" s="6" t="n">
        <v>46221</v>
      </c>
      <c r="C5" t="inlineStr">
        <is>
          <t>Lakshmi Agencies</t>
        </is>
      </c>
      <c r="D5" t="inlineStr">
        <is>
          <t>Maharashtra</t>
        </is>
      </c>
      <c r="E5" t="inlineStr">
        <is>
          <t>Electronics</t>
        </is>
      </c>
      <c r="F5" t="n">
        <v>5</v>
      </c>
      <c r="G5" s="7" t="n">
        <v>23385</v>
      </c>
      <c r="L5" t="inlineStr">
        <is>
          <t>Electronics</t>
        </is>
      </c>
      <c r="M5" s="12" t="n">
        <v>0.18</v>
      </c>
    </row>
    <row r="6">
      <c r="A6" t="inlineStr">
        <is>
          <t>SO-2505</t>
        </is>
      </c>
      <c r="B6" s="6" t="n">
        <v>46222</v>
      </c>
      <c r="C6" t="inlineStr">
        <is>
          <t>Om Sai Distributors</t>
        </is>
      </c>
      <c r="D6" t="inlineStr">
        <is>
          <t>Maharashtra</t>
        </is>
      </c>
      <c r="E6" t="inlineStr">
        <is>
          <t>Stationery</t>
        </is>
      </c>
      <c r="F6" t="n">
        <v>36</v>
      </c>
      <c r="G6" s="7" t="n">
        <v>258</v>
      </c>
      <c r="L6" t="inlineStr">
        <is>
          <t>Furniture</t>
        </is>
      </c>
      <c r="M6" s="12" t="n">
        <v>0.18</v>
      </c>
    </row>
    <row r="7">
      <c r="A7" t="inlineStr">
        <is>
          <t>SO-2506</t>
        </is>
      </c>
      <c r="B7" s="6" t="n">
        <v>46224</v>
      </c>
      <c r="C7" t="inlineStr">
        <is>
          <t>Navkar Supplies</t>
        </is>
      </c>
      <c r="D7" t="inlineStr">
        <is>
          <t>Karnataka</t>
        </is>
      </c>
      <c r="E7" t="inlineStr">
        <is>
          <t>Electronics</t>
        </is>
      </c>
      <c r="F7" t="n">
        <v>3</v>
      </c>
      <c r="G7" s="7" t="n">
        <v>17920</v>
      </c>
    </row>
    <row r="8">
      <c r="A8" t="inlineStr">
        <is>
          <t>SO-2507</t>
        </is>
      </c>
      <c r="B8" s="6" t="n">
        <v>46229</v>
      </c>
      <c r="C8" t="inlineStr">
        <is>
          <t>Royal Book House</t>
        </is>
      </c>
      <c r="D8" t="inlineStr">
        <is>
          <t>Maharashtra</t>
        </is>
      </c>
      <c r="E8" t="inlineStr">
        <is>
          <t>Books</t>
        </is>
      </c>
      <c r="F8" t="n">
        <v>38</v>
      </c>
      <c r="G8" s="7" t="n">
        <v>640</v>
      </c>
    </row>
    <row r="9">
      <c r="A9" t="inlineStr">
        <is>
          <t>SO-2508</t>
        </is>
      </c>
      <c r="B9" s="6" t="n">
        <v>46230</v>
      </c>
      <c r="C9" t="inlineStr">
        <is>
          <t>Sri Venkateswara Traders</t>
        </is>
      </c>
      <c r="D9" t="inlineStr">
        <is>
          <t>Telangana</t>
        </is>
      </c>
      <c r="E9" t="inlineStr">
        <is>
          <t>Furniture</t>
        </is>
      </c>
      <c r="F9" t="n">
        <v>7</v>
      </c>
      <c r="G9" s="7" t="n">
        <v>7090</v>
      </c>
      <c r="L9" s="4" t="inlineStr">
        <is>
          <t>Formula inherited from last year's file:</t>
        </is>
      </c>
    </row>
    <row r="10">
      <c r="A10" t="inlineStr">
        <is>
          <t>SO-2509</t>
        </is>
      </c>
      <c r="B10" s="6" t="n">
        <v>46234</v>
      </c>
      <c r="C10" t="inlineStr">
        <is>
          <t>Sai Enterprises</t>
        </is>
      </c>
      <c r="D10" t="inlineStr">
        <is>
          <t>Maharashtra</t>
        </is>
      </c>
      <c r="E10" t="inlineStr">
        <is>
          <t>Books</t>
        </is>
      </c>
      <c r="F10" t="n">
        <v>14</v>
      </c>
      <c r="G10" s="7" t="n">
        <v>286</v>
      </c>
      <c r="L10" s="7">
        <f>SUMPRODUCT((E2:E21="Electronics")*(D2:D21="Maharashtra")*F2:F21*G2:G21)</f>
        <v/>
      </c>
    </row>
    <row r="11">
      <c r="A11" t="inlineStr">
        <is>
          <t>SO-2510</t>
        </is>
      </c>
      <c r="B11" s="6" t="n">
        <v>46234</v>
      </c>
      <c r="C11" t="inlineStr">
        <is>
          <t>Ganga Retail</t>
        </is>
      </c>
      <c r="D11" t="inlineStr">
        <is>
          <t>Telangana</t>
        </is>
      </c>
      <c r="E11" t="inlineStr">
        <is>
          <t>Electronics</t>
        </is>
      </c>
      <c r="F11" t="n">
        <v>6</v>
      </c>
      <c r="G11" s="7" t="n">
        <v>10933</v>
      </c>
    </row>
    <row r="12">
      <c r="A12" t="inlineStr">
        <is>
          <t>SO-2511</t>
        </is>
      </c>
      <c r="B12" s="6" t="n">
        <v>46236</v>
      </c>
      <c r="C12" t="inlineStr">
        <is>
          <t>Kaveri Traders</t>
        </is>
      </c>
      <c r="D12" t="inlineStr">
        <is>
          <t>Karnataka</t>
        </is>
      </c>
      <c r="E12" t="inlineStr">
        <is>
          <t>Books</t>
        </is>
      </c>
      <c r="F12" t="n">
        <v>8</v>
      </c>
      <c r="G12" s="7" t="n">
        <v>218</v>
      </c>
      <c r="L12" s="4" t="inlineStr">
        <is>
          <t>Hand check: first order amount (Qty x Unit price)</t>
        </is>
      </c>
    </row>
    <row r="13">
      <c r="A13" t="inlineStr">
        <is>
          <t>SO-2512</t>
        </is>
      </c>
      <c r="B13" s="6" t="n">
        <v>46252</v>
      </c>
      <c r="C13" t="inlineStr">
        <is>
          <t>Mahalaxmi Mart</t>
        </is>
      </c>
      <c r="D13" t="inlineStr">
        <is>
          <t>Maharashtra</t>
        </is>
      </c>
      <c r="E13" t="inlineStr">
        <is>
          <t>Electronics</t>
        </is>
      </c>
      <c r="F13" t="n">
        <v>5</v>
      </c>
      <c r="G13" s="7" t="n">
        <v>12908</v>
      </c>
      <c r="L13" t="inlineStr">
        <is>
          <t>Your formula:</t>
        </is>
      </c>
      <c r="M13" s="5" t="n"/>
    </row>
    <row r="14">
      <c r="A14" t="inlineStr">
        <is>
          <t>SO-2513</t>
        </is>
      </c>
      <c r="B14" s="6" t="n">
        <v>46254</v>
      </c>
      <c r="C14" t="inlineStr">
        <is>
          <t>Om Sai Distributors</t>
        </is>
      </c>
      <c r="D14" t="inlineStr">
        <is>
          <t>Tamil Nadu</t>
        </is>
      </c>
      <c r="E14" t="inlineStr">
        <is>
          <t>Stationery</t>
        </is>
      </c>
      <c r="F14" t="n">
        <v>39</v>
      </c>
      <c r="G14" s="7" t="n">
        <v>26</v>
      </c>
    </row>
    <row r="15">
      <c r="A15" t="inlineStr">
        <is>
          <t>SO-2514</t>
        </is>
      </c>
      <c r="B15" s="6" t="n">
        <v>46255</v>
      </c>
      <c r="C15" t="inlineStr">
        <is>
          <t>Lakshmi Agencies</t>
        </is>
      </c>
      <c r="D15" t="inlineStr">
        <is>
          <t>Maharashtra</t>
        </is>
      </c>
      <c r="E15" t="inlineStr">
        <is>
          <t>Furniture</t>
        </is>
      </c>
      <c r="F15" t="n">
        <v>3</v>
      </c>
      <c r="G15" s="7" t="n">
        <v>7471</v>
      </c>
    </row>
    <row r="16">
      <c r="A16" t="inlineStr">
        <is>
          <t>SO-2515</t>
        </is>
      </c>
      <c r="B16" s="6" t="n">
        <v>46261</v>
      </c>
      <c r="C16" t="inlineStr">
        <is>
          <t>Lakshmi Agencies</t>
        </is>
      </c>
      <c r="D16" t="inlineStr">
        <is>
          <t>Maharashtra</t>
        </is>
      </c>
      <c r="E16" t="inlineStr">
        <is>
          <t>Stationery</t>
        </is>
      </c>
      <c r="F16" t="n">
        <v>24</v>
      </c>
      <c r="G16" s="7" t="n">
        <v>114</v>
      </c>
    </row>
    <row r="17">
      <c r="A17" t="inlineStr">
        <is>
          <t>SO-2516</t>
        </is>
      </c>
      <c r="B17" s="6" t="n">
        <v>46267</v>
      </c>
      <c r="C17" t="inlineStr">
        <is>
          <t>Shree Balaji Stores</t>
        </is>
      </c>
      <c r="D17" t="inlineStr">
        <is>
          <t>Telangana</t>
        </is>
      </c>
      <c r="E17" t="inlineStr">
        <is>
          <t>Stationery</t>
        </is>
      </c>
      <c r="F17" t="n">
        <v>32</v>
      </c>
      <c r="G17" s="7" t="n">
        <v>57</v>
      </c>
    </row>
    <row r="18">
      <c r="A18" t="inlineStr">
        <is>
          <t>SO-2517</t>
        </is>
      </c>
      <c r="B18" s="6" t="n">
        <v>46268</v>
      </c>
      <c r="C18" t="inlineStr">
        <is>
          <t>Royal Book House</t>
        </is>
      </c>
      <c r="D18" t="inlineStr">
        <is>
          <t>Maharashtra</t>
        </is>
      </c>
      <c r="E18" t="inlineStr">
        <is>
          <t>Electronics</t>
        </is>
      </c>
      <c r="F18" t="n">
        <v>3</v>
      </c>
      <c r="G18" s="7" t="n">
        <v>5879</v>
      </c>
    </row>
    <row r="19">
      <c r="A19" t="inlineStr">
        <is>
          <t>SO-2518</t>
        </is>
      </c>
      <c r="B19" s="6" t="n">
        <v>46275</v>
      </c>
      <c r="C19" t="inlineStr">
        <is>
          <t>Kaveri Traders</t>
        </is>
      </c>
      <c r="D19" t="inlineStr">
        <is>
          <t>Gujarat</t>
        </is>
      </c>
      <c r="E19" t="inlineStr">
        <is>
          <t>Electronics</t>
        </is>
      </c>
      <c r="F19" t="n">
        <v>8</v>
      </c>
      <c r="G19" s="7" t="n">
        <v>10253</v>
      </c>
    </row>
    <row r="20">
      <c r="A20" t="inlineStr">
        <is>
          <t>SO-2519</t>
        </is>
      </c>
      <c r="B20" s="6" t="n">
        <v>46277</v>
      </c>
      <c r="C20" t="inlineStr">
        <is>
          <t>Om Sai Distributors</t>
        </is>
      </c>
      <c r="D20" t="inlineStr">
        <is>
          <t>Telangana</t>
        </is>
      </c>
      <c r="E20" t="inlineStr">
        <is>
          <t>Stationery</t>
        </is>
      </c>
      <c r="F20" t="n">
        <v>31</v>
      </c>
      <c r="G20" s="7" t="n">
        <v>378</v>
      </c>
    </row>
    <row r="21">
      <c r="A21" t="inlineStr">
        <is>
          <t>SO-2520</t>
        </is>
      </c>
      <c r="B21" s="6" t="n">
        <v>46292</v>
      </c>
      <c r="C21" t="inlineStr">
        <is>
          <t>Shree Balaji Stores</t>
        </is>
      </c>
      <c r="D21" t="inlineStr">
        <is>
          <t>Gujarat</t>
        </is>
      </c>
      <c r="E21" t="inlineStr">
        <is>
          <t>Books</t>
        </is>
      </c>
      <c r="F21" t="n">
        <v>16</v>
      </c>
      <c r="G21" s="7" t="n">
        <v>343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22" customWidth="1" min="3" max="3"/>
    <col width="13" customWidth="1" min="4" max="4"/>
    <col width="14" customWidth="1" min="5" max="5"/>
    <col width="6" customWidth="1" min="6" max="6"/>
    <col width="11" customWidth="1" min="7" max="7"/>
    <col width="12" customWidth="1" min="8" max="8"/>
    <col width="11" customWidth="1" min="9" max="9"/>
    <col width="16" customWidth="1" min="12" max="12"/>
    <col width="14" customWidth="1" min="13" max="13"/>
  </cols>
  <sheetData>
    <row r="1">
      <c r="A1" s="3" t="inlineStr">
        <is>
          <t>Order ID</t>
        </is>
      </c>
      <c r="B1" s="3" t="inlineStr">
        <is>
          <t>Order date</t>
        </is>
      </c>
      <c r="C1" s="3" t="inlineStr">
        <is>
          <t>Customer</t>
        </is>
      </c>
      <c r="D1" s="3" t="inlineStr">
        <is>
          <t>State</t>
        </is>
      </c>
      <c r="E1" s="3" t="inlineStr">
        <is>
          <t>Category</t>
        </is>
      </c>
      <c r="F1" s="3" t="inlineStr">
        <is>
          <t>Qty</t>
        </is>
      </c>
      <c r="G1" s="3" t="inlineStr">
        <is>
          <t>Unit price</t>
        </is>
      </c>
      <c r="H1" s="3" t="inlineStr">
        <is>
          <t>Amount</t>
        </is>
      </c>
      <c r="I1" s="3" t="inlineStr">
        <is>
          <t>GST</t>
        </is>
      </c>
      <c r="J1" s="3" t="inlineStr">
        <is>
          <t>Total with GST</t>
        </is>
      </c>
      <c r="L1" s="3" t="inlineStr">
        <is>
          <t>Category</t>
        </is>
      </c>
      <c r="M1" s="3" t="inlineStr">
        <is>
          <t>GST rate</t>
        </is>
      </c>
    </row>
    <row r="2">
      <c r="A2" t="inlineStr">
        <is>
          <t>SO-2501</t>
        </is>
      </c>
      <c r="B2" s="6" t="n">
        <v>46212</v>
      </c>
      <c r="C2" t="inlineStr">
        <is>
          <t>Royal Book House</t>
        </is>
      </c>
      <c r="D2" t="inlineStr">
        <is>
          <t>Telangana</t>
        </is>
      </c>
      <c r="E2" t="inlineStr">
        <is>
          <t>Electronics</t>
        </is>
      </c>
      <c r="F2" t="n">
        <v>2</v>
      </c>
      <c r="G2" s="7" t="n">
        <v>5446</v>
      </c>
      <c r="H2" s="7">
        <f>F2*G2</f>
        <v/>
      </c>
      <c r="I2" s="7">
        <f>XLOOKUP(E2,$L$2:$L$6,$M$2:$M$6)*H2</f>
        <v/>
      </c>
      <c r="J2" s="7">
        <f>H2+I2</f>
        <v/>
      </c>
      <c r="L2" t="inlineStr">
        <is>
          <t>Books</t>
        </is>
      </c>
      <c r="M2" s="12" t="n">
        <v>0</v>
      </c>
    </row>
    <row r="3">
      <c r="A3" t="inlineStr">
        <is>
          <t>SO-2502</t>
        </is>
      </c>
      <c r="B3" s="6" t="n">
        <v>46212</v>
      </c>
      <c r="C3" t="inlineStr">
        <is>
          <t>Shree Balaji Stores</t>
        </is>
      </c>
      <c r="D3" t="inlineStr">
        <is>
          <t>Maharashtra</t>
        </is>
      </c>
      <c r="E3" t="inlineStr">
        <is>
          <t>Furniture</t>
        </is>
      </c>
      <c r="F3" t="n">
        <v>8</v>
      </c>
      <c r="G3" s="7" t="n">
        <v>2950</v>
      </c>
      <c r="H3" s="7">
        <f>F3*G3</f>
        <v/>
      </c>
      <c r="I3" s="7">
        <f>XLOOKUP(E3,$L$2:$L$6,$M$2:$M$6)*H3</f>
        <v/>
      </c>
      <c r="J3" s="7">
        <f>H3+I3</f>
        <v/>
      </c>
      <c r="L3" t="inlineStr">
        <is>
          <t>Packaged food</t>
        </is>
      </c>
      <c r="M3" s="12" t="n">
        <v>0.05</v>
      </c>
    </row>
    <row r="4">
      <c r="A4" t="inlineStr">
        <is>
          <t>SO-2503</t>
        </is>
      </c>
      <c r="B4" s="6" t="n">
        <v>46218</v>
      </c>
      <c r="C4" t="inlineStr">
        <is>
          <t>Sai Enterprises</t>
        </is>
      </c>
      <c r="D4" t="inlineStr">
        <is>
          <t>Gujarat</t>
        </is>
      </c>
      <c r="E4" t="inlineStr">
        <is>
          <t>Furniture</t>
        </is>
      </c>
      <c r="F4" t="n">
        <v>5</v>
      </c>
      <c r="G4" s="7" t="n">
        <v>11795</v>
      </c>
      <c r="H4" s="7">
        <f>F4*G4</f>
        <v/>
      </c>
      <c r="I4" s="7">
        <f>XLOOKUP(E4,$L$2:$L$6,$M$2:$M$6)*H4</f>
        <v/>
      </c>
      <c r="J4" s="7">
        <f>H4+I4</f>
        <v/>
      </c>
      <c r="L4" t="inlineStr">
        <is>
          <t>Stationery</t>
        </is>
      </c>
      <c r="M4" s="12" t="n">
        <v>0.05</v>
      </c>
    </row>
    <row r="5">
      <c r="A5" t="inlineStr">
        <is>
          <t>SO-2504</t>
        </is>
      </c>
      <c r="B5" s="6" t="n">
        <v>46221</v>
      </c>
      <c r="C5" t="inlineStr">
        <is>
          <t>Lakshmi Agencies</t>
        </is>
      </c>
      <c r="D5" t="inlineStr">
        <is>
          <t>Maharashtra</t>
        </is>
      </c>
      <c r="E5" t="inlineStr">
        <is>
          <t>Electronics</t>
        </is>
      </c>
      <c r="F5" t="n">
        <v>5</v>
      </c>
      <c r="G5" s="7" t="n">
        <v>23385</v>
      </c>
      <c r="H5" s="7">
        <f>F5*G5</f>
        <v/>
      </c>
      <c r="I5" s="7">
        <f>XLOOKUP(E5,$L$2:$L$6,$M$2:$M$6)*H5</f>
        <v/>
      </c>
      <c r="J5" s="7">
        <f>H5+I5</f>
        <v/>
      </c>
      <c r="L5" t="inlineStr">
        <is>
          <t>Electronics</t>
        </is>
      </c>
      <c r="M5" s="12" t="n">
        <v>0.18</v>
      </c>
    </row>
    <row r="6">
      <c r="A6" t="inlineStr">
        <is>
          <t>SO-2505</t>
        </is>
      </c>
      <c r="B6" s="6" t="n">
        <v>46222</v>
      </c>
      <c r="C6" t="inlineStr">
        <is>
          <t>Om Sai Distributors</t>
        </is>
      </c>
      <c r="D6" t="inlineStr">
        <is>
          <t>Maharashtra</t>
        </is>
      </c>
      <c r="E6" t="inlineStr">
        <is>
          <t>Stationery</t>
        </is>
      </c>
      <c r="F6" t="n">
        <v>36</v>
      </c>
      <c r="G6" s="7" t="n">
        <v>258</v>
      </c>
      <c r="H6" s="7">
        <f>F6*G6</f>
        <v/>
      </c>
      <c r="I6" s="7">
        <f>XLOOKUP(E6,$L$2:$L$6,$M$2:$M$6)*H6</f>
        <v/>
      </c>
      <c r="J6" s="7">
        <f>H6+I6</f>
        <v/>
      </c>
      <c r="L6" t="inlineStr">
        <is>
          <t>Furniture</t>
        </is>
      </c>
      <c r="M6" s="12" t="n">
        <v>0.18</v>
      </c>
    </row>
    <row r="7">
      <c r="A7" t="inlineStr">
        <is>
          <t>SO-2506</t>
        </is>
      </c>
      <c r="B7" s="6" t="n">
        <v>46224</v>
      </c>
      <c r="C7" t="inlineStr">
        <is>
          <t>Navkar Supplies</t>
        </is>
      </c>
      <c r="D7" t="inlineStr">
        <is>
          <t>Karnataka</t>
        </is>
      </c>
      <c r="E7" t="inlineStr">
        <is>
          <t>Electronics</t>
        </is>
      </c>
      <c r="F7" t="n">
        <v>3</v>
      </c>
      <c r="G7" s="7" t="n">
        <v>17920</v>
      </c>
      <c r="H7" s="7">
        <f>F7*G7</f>
        <v/>
      </c>
      <c r="I7" s="7">
        <f>XLOOKUP(E7,$L$2:$L$6,$M$2:$M$6)*H7</f>
        <v/>
      </c>
      <c r="J7" s="7">
        <f>H7+I7</f>
        <v/>
      </c>
    </row>
    <row r="8">
      <c r="A8" t="inlineStr">
        <is>
          <t>SO-2507</t>
        </is>
      </c>
      <c r="B8" s="6" t="n">
        <v>46229</v>
      </c>
      <c r="C8" t="inlineStr">
        <is>
          <t>Royal Book House</t>
        </is>
      </c>
      <c r="D8" t="inlineStr">
        <is>
          <t>Maharashtra</t>
        </is>
      </c>
      <c r="E8" t="inlineStr">
        <is>
          <t>Books</t>
        </is>
      </c>
      <c r="F8" t="n">
        <v>38</v>
      </c>
      <c r="G8" s="7" t="n">
        <v>640</v>
      </c>
      <c r="H8" s="7">
        <f>F8*G8</f>
        <v/>
      </c>
      <c r="I8" s="7">
        <f>XLOOKUP(E8,$L$2:$L$6,$M$2:$M$6)*H8</f>
        <v/>
      </c>
      <c r="J8" s="7">
        <f>H8+I8</f>
        <v/>
      </c>
    </row>
    <row r="9">
      <c r="A9" t="inlineStr">
        <is>
          <t>SO-2508</t>
        </is>
      </c>
      <c r="B9" s="6" t="n">
        <v>46230</v>
      </c>
      <c r="C9" t="inlineStr">
        <is>
          <t>Sri Venkateswara Traders</t>
        </is>
      </c>
      <c r="D9" t="inlineStr">
        <is>
          <t>Telangana</t>
        </is>
      </c>
      <c r="E9" t="inlineStr">
        <is>
          <t>Furniture</t>
        </is>
      </c>
      <c r="F9" t="n">
        <v>7</v>
      </c>
      <c r="G9" s="7" t="n">
        <v>7090</v>
      </c>
      <c r="H9" s="7">
        <f>F9*G9</f>
        <v/>
      </c>
      <c r="I9" s="7">
        <f>XLOOKUP(E9,$L$2:$L$6,$M$2:$M$6)*H9</f>
        <v/>
      </c>
      <c r="J9" s="7">
        <f>H9+I9</f>
        <v/>
      </c>
      <c r="L9" s="4" t="inlineStr">
        <is>
          <t>Formula inherited from last year's file:</t>
        </is>
      </c>
    </row>
    <row r="10">
      <c r="A10" t="inlineStr">
        <is>
          <t>SO-2509</t>
        </is>
      </c>
      <c r="B10" s="6" t="n">
        <v>46234</v>
      </c>
      <c r="C10" t="inlineStr">
        <is>
          <t>Sai Enterprises</t>
        </is>
      </c>
      <c r="D10" t="inlineStr">
        <is>
          <t>Maharashtra</t>
        </is>
      </c>
      <c r="E10" t="inlineStr">
        <is>
          <t>Books</t>
        </is>
      </c>
      <c r="F10" t="n">
        <v>14</v>
      </c>
      <c r="G10" s="7" t="n">
        <v>286</v>
      </c>
      <c r="H10" s="7">
        <f>F10*G10</f>
        <v/>
      </c>
      <c r="I10" s="7">
        <f>XLOOKUP(E10,$L$2:$L$6,$M$2:$M$6)*H10</f>
        <v/>
      </c>
      <c r="J10" s="7">
        <f>H10+I10</f>
        <v/>
      </c>
      <c r="L10" s="7">
        <f>SUMPRODUCT((E2:E21="Electronics")*(D2:D21="Maharashtra")*F2:F21*G2:G21)</f>
        <v/>
      </c>
    </row>
    <row r="11">
      <c r="A11" t="inlineStr">
        <is>
          <t>SO-2510</t>
        </is>
      </c>
      <c r="B11" s="6" t="n">
        <v>46234</v>
      </c>
      <c r="C11" t="inlineStr">
        <is>
          <t>Ganga Retail</t>
        </is>
      </c>
      <c r="D11" t="inlineStr">
        <is>
          <t>Telangana</t>
        </is>
      </c>
      <c r="E11" t="inlineStr">
        <is>
          <t>Electronics</t>
        </is>
      </c>
      <c r="F11" t="n">
        <v>6</v>
      </c>
      <c r="G11" s="7" t="n">
        <v>10933</v>
      </c>
      <c r="H11" s="7">
        <f>F11*G11</f>
        <v/>
      </c>
      <c r="I11" s="7">
        <f>XLOOKUP(E11,$L$2:$L$6,$M$2:$M$6)*H11</f>
        <v/>
      </c>
      <c r="J11" s="7">
        <f>H11+I11</f>
        <v/>
      </c>
    </row>
    <row r="12">
      <c r="A12" t="inlineStr">
        <is>
          <t>SO-2511</t>
        </is>
      </c>
      <c r="B12" s="6" t="n">
        <v>46236</v>
      </c>
      <c r="C12" t="inlineStr">
        <is>
          <t>Kaveri Traders</t>
        </is>
      </c>
      <c r="D12" t="inlineStr">
        <is>
          <t>Karnataka</t>
        </is>
      </c>
      <c r="E12" t="inlineStr">
        <is>
          <t>Books</t>
        </is>
      </c>
      <c r="F12" t="n">
        <v>8</v>
      </c>
      <c r="G12" s="7" t="n">
        <v>218</v>
      </c>
      <c r="H12" s="7">
        <f>F12*G12</f>
        <v/>
      </c>
      <c r="I12" s="7">
        <f>XLOOKUP(E12,$L$2:$L$6,$M$2:$M$6)*H12</f>
        <v/>
      </c>
      <c r="J12" s="7">
        <f>H12+I12</f>
        <v/>
      </c>
      <c r="L12" s="4" t="inlineStr">
        <is>
          <t>Hand check: first order amount (Qty x Unit price)</t>
        </is>
      </c>
    </row>
    <row r="13">
      <c r="A13" t="inlineStr">
        <is>
          <t>SO-2512</t>
        </is>
      </c>
      <c r="B13" s="6" t="n">
        <v>46252</v>
      </c>
      <c r="C13" t="inlineStr">
        <is>
          <t>Mahalaxmi Mart</t>
        </is>
      </c>
      <c r="D13" t="inlineStr">
        <is>
          <t>Maharashtra</t>
        </is>
      </c>
      <c r="E13" t="inlineStr">
        <is>
          <t>Electronics</t>
        </is>
      </c>
      <c r="F13" t="n">
        <v>5</v>
      </c>
      <c r="G13" s="7" t="n">
        <v>12908</v>
      </c>
      <c r="H13" s="7">
        <f>F13*G13</f>
        <v/>
      </c>
      <c r="I13" s="7">
        <f>XLOOKUP(E13,$L$2:$L$6,$M$2:$M$6)*H13</f>
        <v/>
      </c>
      <c r="J13" s="7">
        <f>H13+I13</f>
        <v/>
      </c>
      <c r="L13" t="inlineStr">
        <is>
          <t>Your formula:</t>
        </is>
      </c>
      <c r="M13" s="5">
        <f>F2*G2</f>
        <v/>
      </c>
    </row>
    <row r="14">
      <c r="A14" t="inlineStr">
        <is>
          <t>SO-2513</t>
        </is>
      </c>
      <c r="B14" s="6" t="n">
        <v>46254</v>
      </c>
      <c r="C14" t="inlineStr">
        <is>
          <t>Om Sai Distributors</t>
        </is>
      </c>
      <c r="D14" t="inlineStr">
        <is>
          <t>Tamil Nadu</t>
        </is>
      </c>
      <c r="E14" t="inlineStr">
        <is>
          <t>Stationery</t>
        </is>
      </c>
      <c r="F14" t="n">
        <v>39</v>
      </c>
      <c r="G14" s="7" t="n">
        <v>26</v>
      </c>
      <c r="H14" s="7">
        <f>F14*G14</f>
        <v/>
      </c>
      <c r="I14" s="7">
        <f>XLOOKUP(E14,$L$2:$L$6,$M$2:$M$6)*H14</f>
        <v/>
      </c>
      <c r="J14" s="7">
        <f>H14+I14</f>
        <v/>
      </c>
    </row>
    <row r="15">
      <c r="A15" t="inlineStr">
        <is>
          <t>SO-2514</t>
        </is>
      </c>
      <c r="B15" s="6" t="n">
        <v>46255</v>
      </c>
      <c r="C15" t="inlineStr">
        <is>
          <t>Lakshmi Agencies</t>
        </is>
      </c>
      <c r="D15" t="inlineStr">
        <is>
          <t>Maharashtra</t>
        </is>
      </c>
      <c r="E15" t="inlineStr">
        <is>
          <t>Furniture</t>
        </is>
      </c>
      <c r="F15" t="n">
        <v>3</v>
      </c>
      <c r="G15" s="7" t="n">
        <v>7471</v>
      </c>
      <c r="H15" s="7">
        <f>F15*G15</f>
        <v/>
      </c>
      <c r="I15" s="7">
        <f>XLOOKUP(E15,$L$2:$L$6,$M$2:$M$6)*H15</f>
        <v/>
      </c>
      <c r="J15" s="7">
        <f>H15+I15</f>
        <v/>
      </c>
      <c r="L15" s="2" t="inlineStr">
        <is>
          <t>L10 adds Qty x Unit price only for rows that are Electronics AND Maharashtra.</t>
        </is>
      </c>
    </row>
    <row r="16">
      <c r="A16" t="inlineStr">
        <is>
          <t>SO-2515</t>
        </is>
      </c>
      <c r="B16" s="6" t="n">
        <v>46261</v>
      </c>
      <c r="C16" t="inlineStr">
        <is>
          <t>Lakshmi Agencies</t>
        </is>
      </c>
      <c r="D16" t="inlineStr">
        <is>
          <t>Maharashtra</t>
        </is>
      </c>
      <c r="E16" t="inlineStr">
        <is>
          <t>Stationery</t>
        </is>
      </c>
      <c r="F16" t="n">
        <v>24</v>
      </c>
      <c r="G16" s="7" t="n">
        <v>114</v>
      </c>
      <c r="H16" s="7">
        <f>F16*G16</f>
        <v/>
      </c>
      <c r="I16" s="7">
        <f>XLOOKUP(E16,$L$2:$L$6,$M$2:$M$6)*H16</f>
        <v/>
      </c>
      <c r="J16" s="7">
        <f>H16+I16</f>
        <v/>
      </c>
    </row>
    <row r="17">
      <c r="A17" t="inlineStr">
        <is>
          <t>SO-2516</t>
        </is>
      </c>
      <c r="B17" s="6" t="n">
        <v>46267</v>
      </c>
      <c r="C17" t="inlineStr">
        <is>
          <t>Shree Balaji Stores</t>
        </is>
      </c>
      <c r="D17" t="inlineStr">
        <is>
          <t>Telangana</t>
        </is>
      </c>
      <c r="E17" t="inlineStr">
        <is>
          <t>Stationery</t>
        </is>
      </c>
      <c r="F17" t="n">
        <v>32</v>
      </c>
      <c r="G17" s="7" t="n">
        <v>57</v>
      </c>
      <c r="H17" s="7">
        <f>F17*G17</f>
        <v/>
      </c>
      <c r="I17" s="7">
        <f>XLOOKUP(E17,$L$2:$L$6,$M$2:$M$6)*H17</f>
        <v/>
      </c>
      <c r="J17" s="7">
        <f>H17+I17</f>
        <v/>
      </c>
    </row>
    <row r="18">
      <c r="A18" t="inlineStr">
        <is>
          <t>SO-2517</t>
        </is>
      </c>
      <c r="B18" s="6" t="n">
        <v>46268</v>
      </c>
      <c r="C18" t="inlineStr">
        <is>
          <t>Royal Book House</t>
        </is>
      </c>
      <c r="D18" t="inlineStr">
        <is>
          <t>Maharashtra</t>
        </is>
      </c>
      <c r="E18" t="inlineStr">
        <is>
          <t>Electronics</t>
        </is>
      </c>
      <c r="F18" t="n">
        <v>3</v>
      </c>
      <c r="G18" s="7" t="n">
        <v>5879</v>
      </c>
      <c r="H18" s="7">
        <f>F18*G18</f>
        <v/>
      </c>
      <c r="I18" s="7">
        <f>XLOOKUP(E18,$L$2:$L$6,$M$2:$M$6)*H18</f>
        <v/>
      </c>
      <c r="J18" s="7">
        <f>H18+I18</f>
        <v/>
      </c>
    </row>
    <row r="19">
      <c r="A19" t="inlineStr">
        <is>
          <t>SO-2518</t>
        </is>
      </c>
      <c r="B19" s="6" t="n">
        <v>46275</v>
      </c>
      <c r="C19" t="inlineStr">
        <is>
          <t>Kaveri Traders</t>
        </is>
      </c>
      <c r="D19" t="inlineStr">
        <is>
          <t>Gujarat</t>
        </is>
      </c>
      <c r="E19" t="inlineStr">
        <is>
          <t>Electronics</t>
        </is>
      </c>
      <c r="F19" t="n">
        <v>8</v>
      </c>
      <c r="G19" s="7" t="n">
        <v>10253</v>
      </c>
      <c r="H19" s="7">
        <f>F19*G19</f>
        <v/>
      </c>
      <c r="I19" s="7">
        <f>XLOOKUP(E19,$L$2:$L$6,$M$2:$M$6)*H19</f>
        <v/>
      </c>
      <c r="J19" s="7">
        <f>H19+I19</f>
        <v/>
      </c>
    </row>
    <row r="20">
      <c r="A20" t="inlineStr">
        <is>
          <t>SO-2519</t>
        </is>
      </c>
      <c r="B20" s="6" t="n">
        <v>46277</v>
      </c>
      <c r="C20" t="inlineStr">
        <is>
          <t>Om Sai Distributors</t>
        </is>
      </c>
      <c r="D20" t="inlineStr">
        <is>
          <t>Telangana</t>
        </is>
      </c>
      <c r="E20" t="inlineStr">
        <is>
          <t>Stationery</t>
        </is>
      </c>
      <c r="F20" t="n">
        <v>31</v>
      </c>
      <c r="G20" s="7" t="n">
        <v>378</v>
      </c>
      <c r="H20" s="7">
        <f>F20*G20</f>
        <v/>
      </c>
      <c r="I20" s="7">
        <f>XLOOKUP(E20,$L$2:$L$6,$M$2:$M$6)*H20</f>
        <v/>
      </c>
      <c r="J20" s="7">
        <f>H20+I20</f>
        <v/>
      </c>
    </row>
    <row r="21">
      <c r="A21" t="inlineStr">
        <is>
          <t>SO-2520</t>
        </is>
      </c>
      <c r="B21" s="6" t="n">
        <v>46292</v>
      </c>
      <c r="C21" t="inlineStr">
        <is>
          <t>Shree Balaji Stores</t>
        </is>
      </c>
      <c r="D21" t="inlineStr">
        <is>
          <t>Gujarat</t>
        </is>
      </c>
      <c r="E21" t="inlineStr">
        <is>
          <t>Books</t>
        </is>
      </c>
      <c r="F21" t="n">
        <v>16</v>
      </c>
      <c r="G21" s="7" t="n">
        <v>343</v>
      </c>
      <c r="H21" s="7">
        <f>F21*G21</f>
        <v/>
      </c>
      <c r="I21" s="7">
        <f>XLOOKUP(E21,$L$2:$L$6,$M$2:$M$6)*H21</f>
        <v/>
      </c>
      <c r="J21" s="7">
        <f>H21+I21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8" customWidth="1" min="1" max="1"/>
    <col width="9" customWidth="1" min="2" max="2"/>
    <col width="13" customWidth="1" min="3" max="3"/>
    <col width="13" customWidth="1" min="4" max="4"/>
    <col width="14" customWidth="1" min="5" max="5"/>
    <col width="24" customWidth="1" min="7" max="7"/>
    <col width="8" customWidth="1" min="8" max="8"/>
  </cols>
  <sheetData>
    <row r="1">
      <c r="A1" s="3" t="inlineStr">
        <is>
          <t>Sales rep</t>
        </is>
      </c>
      <c r="B1" s="3" t="inlineStr">
        <is>
          <t>Region</t>
        </is>
      </c>
      <c r="C1" s="3" t="inlineStr">
        <is>
          <t>Target</t>
        </is>
      </c>
      <c r="D1" s="3" t="inlineStr">
        <is>
          <t>Achieved</t>
        </is>
      </c>
      <c r="E1" s="3" t="inlineStr">
        <is>
          <t>Achievement %</t>
        </is>
      </c>
      <c r="G1" s="4" t="inlineStr">
        <is>
          <t>Check: reps below target</t>
        </is>
      </c>
      <c r="H1" s="10" t="n"/>
    </row>
    <row r="2">
      <c r="A2" t="inlineStr">
        <is>
          <t>Rohan Mehta</t>
        </is>
      </c>
      <c r="B2" t="inlineStr">
        <is>
          <t>North</t>
        </is>
      </c>
      <c r="C2" s="7" t="n">
        <v>1800000</v>
      </c>
      <c r="D2" s="7" t="n">
        <v>1809000</v>
      </c>
      <c r="E2" s="11">
        <f>D2/C2</f>
        <v/>
      </c>
    </row>
    <row r="3">
      <c r="A3" t="inlineStr">
        <is>
          <t>Priya Sharma</t>
        </is>
      </c>
      <c r="B3" t="inlineStr">
        <is>
          <t>South</t>
        </is>
      </c>
      <c r="C3" s="7" t="n">
        <v>2400000</v>
      </c>
      <c r="D3" s="7" t="n">
        <v>2088000</v>
      </c>
      <c r="E3" s="11">
        <f>D3/C3</f>
        <v/>
      </c>
    </row>
    <row r="4">
      <c r="A4" t="inlineStr">
        <is>
          <t>Arjun Nair</t>
        </is>
      </c>
      <c r="B4" t="inlineStr">
        <is>
          <t>East</t>
        </is>
      </c>
      <c r="C4" s="7" t="n">
        <v>3500000</v>
      </c>
      <c r="D4" s="7" t="n">
        <v>3751000</v>
      </c>
      <c r="E4" s="11">
        <f>D4/C4</f>
        <v/>
      </c>
    </row>
    <row r="5">
      <c r="A5" t="inlineStr">
        <is>
          <t>Sneha Kulkarni</t>
        </is>
      </c>
      <c r="B5" t="inlineStr">
        <is>
          <t>West</t>
        </is>
      </c>
      <c r="C5" s="7" t="n">
        <v>3000000</v>
      </c>
      <c r="D5" s="7" t="n">
        <v>3409000</v>
      </c>
      <c r="E5" s="11">
        <f>D5/C5</f>
        <v/>
      </c>
    </row>
    <row r="6">
      <c r="A6" t="inlineStr">
        <is>
          <t>Vikram Rao</t>
        </is>
      </c>
      <c r="B6" t="inlineStr">
        <is>
          <t>North</t>
        </is>
      </c>
      <c r="C6" s="7" t="n">
        <v>1800000</v>
      </c>
      <c r="D6" s="7" t="n">
        <v>1882000</v>
      </c>
      <c r="E6" s="11">
        <f>D6/C6</f>
        <v/>
      </c>
    </row>
    <row r="7">
      <c r="A7" t="inlineStr">
        <is>
          <t>Ananya Iyer</t>
        </is>
      </c>
      <c r="B7" t="inlineStr">
        <is>
          <t>South</t>
        </is>
      </c>
      <c r="C7" s="7" t="n">
        <v>3500000</v>
      </c>
      <c r="D7" s="7" t="n">
        <v>2692000</v>
      </c>
      <c r="E7" s="11">
        <f>D7/C7</f>
        <v/>
      </c>
    </row>
    <row r="8">
      <c r="A8" t="inlineStr">
        <is>
          <t>Karan Malhotra</t>
        </is>
      </c>
      <c r="B8" t="inlineStr">
        <is>
          <t>East</t>
        </is>
      </c>
      <c r="C8" s="7" t="n">
        <v>2000000</v>
      </c>
      <c r="D8" s="7" t="n">
        <v>2115000</v>
      </c>
      <c r="E8" s="11">
        <f>D8/C8</f>
        <v/>
      </c>
    </row>
    <row r="9">
      <c r="A9" t="inlineStr">
        <is>
          <t>Divya Menon</t>
        </is>
      </c>
      <c r="B9" t="inlineStr">
        <is>
          <t>West</t>
        </is>
      </c>
      <c r="C9" s="7" t="n">
        <v>2500000</v>
      </c>
      <c r="D9" s="7" t="n">
        <v>1896000</v>
      </c>
      <c r="E9" s="11">
        <f>D9/C9</f>
        <v/>
      </c>
    </row>
    <row r="10">
      <c r="A10" t="inlineStr">
        <is>
          <t>Aditya Joshi</t>
        </is>
      </c>
      <c r="B10" t="inlineStr">
        <is>
          <t>North</t>
        </is>
      </c>
      <c r="C10" s="7" t="n">
        <v>3000000</v>
      </c>
      <c r="D10" s="7" t="n">
        <v>3802000</v>
      </c>
      <c r="E10" s="11">
        <f>D10/C10</f>
        <v/>
      </c>
    </row>
    <row r="11">
      <c r="A11" t="inlineStr">
        <is>
          <t>Neha Gupta</t>
        </is>
      </c>
      <c r="B11" t="inlineStr">
        <is>
          <t>South</t>
        </is>
      </c>
      <c r="C11" s="7" t="n">
        <v>3000000</v>
      </c>
      <c r="D11" s="7" t="n">
        <v>3589000</v>
      </c>
      <c r="E11" s="11">
        <f>D11/C11</f>
        <v/>
      </c>
    </row>
    <row r="12">
      <c r="A12" t="inlineStr">
        <is>
          <t>Farhan Qureshi</t>
        </is>
      </c>
      <c r="B12" t="inlineStr">
        <is>
          <t>East</t>
        </is>
      </c>
      <c r="C12" s="7" t="n">
        <v>3500000</v>
      </c>
      <c r="D12" s="7" t="n">
        <v>2901000</v>
      </c>
      <c r="E12" s="11">
        <f>D12/C12</f>
        <v/>
      </c>
    </row>
    <row r="13">
      <c r="A13" t="inlineStr">
        <is>
          <t>Pooja Reddy</t>
        </is>
      </c>
      <c r="B13" t="inlineStr">
        <is>
          <t>West</t>
        </is>
      </c>
      <c r="C13" s="7" t="n">
        <v>3500000</v>
      </c>
      <c r="D13" s="7" t="n">
        <v>3561000</v>
      </c>
      <c r="E13" s="11">
        <f>D13/C13</f>
        <v/>
      </c>
    </row>
    <row r="14">
      <c r="A14" t="inlineStr">
        <is>
          <t>Siddharth Bose</t>
        </is>
      </c>
      <c r="B14" t="inlineStr">
        <is>
          <t>North</t>
        </is>
      </c>
      <c r="C14" s="7" t="n">
        <v>2000000</v>
      </c>
      <c r="D14" s="7" t="n">
        <v>2266000</v>
      </c>
      <c r="E14" s="11">
        <f>D14/C14</f>
        <v/>
      </c>
    </row>
    <row r="15">
      <c r="A15" t="inlineStr">
        <is>
          <t>Meera Pillai</t>
        </is>
      </c>
      <c r="B15" t="inlineStr">
        <is>
          <t>South</t>
        </is>
      </c>
      <c r="C15" s="7" t="n">
        <v>2500000</v>
      </c>
      <c r="D15" s="7" t="n">
        <v>2792000</v>
      </c>
      <c r="E15" s="11">
        <f>D15/C15</f>
        <v/>
      </c>
    </row>
    <row r="16">
      <c r="A16" t="inlineStr">
        <is>
          <t>Rahul Verma</t>
        </is>
      </c>
      <c r="B16" t="inlineStr">
        <is>
          <t>East</t>
        </is>
      </c>
      <c r="C16" s="7" t="n">
        <v>3500000</v>
      </c>
      <c r="D16" s="7" t="n">
        <v>2548000</v>
      </c>
      <c r="E16" s="11">
        <f>D16/C16</f>
        <v/>
      </c>
    </row>
    <row r="17">
      <c r="A17" t="inlineStr">
        <is>
          <t>Kavya Hegde</t>
        </is>
      </c>
      <c r="B17" t="inlineStr">
        <is>
          <t>West</t>
        </is>
      </c>
      <c r="C17" s="7" t="n">
        <v>3000000</v>
      </c>
      <c r="D17" s="7" t="n">
        <v>3149000</v>
      </c>
      <c r="E17" s="11">
        <f>D17/C17</f>
        <v/>
      </c>
    </row>
    <row r="18">
      <c r="A18" t="inlineStr">
        <is>
          <t>Imran Shaikh</t>
        </is>
      </c>
      <c r="B18" t="inlineStr">
        <is>
          <t>North</t>
        </is>
      </c>
      <c r="C18" s="7" t="n">
        <v>3000000</v>
      </c>
      <c r="D18" s="7" t="n">
        <v>2322000</v>
      </c>
      <c r="E18" s="11">
        <f>D18/C18</f>
        <v/>
      </c>
    </row>
    <row r="19">
      <c r="A19" t="inlineStr">
        <is>
          <t>Tanvi Desai</t>
        </is>
      </c>
      <c r="B19" t="inlineStr">
        <is>
          <t>South</t>
        </is>
      </c>
      <c r="C19" s="7" t="n">
        <v>2500000</v>
      </c>
      <c r="D19" s="7" t="n">
        <v>2163000</v>
      </c>
      <c r="E19" s="11">
        <f>D19/C19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8" customWidth="1" min="1" max="1"/>
    <col width="9" customWidth="1" min="2" max="2"/>
    <col width="13" customWidth="1" min="3" max="3"/>
    <col width="13" customWidth="1" min="4" max="4"/>
    <col width="14" customWidth="1" min="5" max="5"/>
    <col width="24" customWidth="1" min="7" max="7"/>
    <col width="8" customWidth="1" min="8" max="8"/>
  </cols>
  <sheetData>
    <row r="1">
      <c r="A1" s="3" t="inlineStr">
        <is>
          <t>Sales rep</t>
        </is>
      </c>
      <c r="B1" s="3" t="inlineStr">
        <is>
          <t>Region</t>
        </is>
      </c>
      <c r="C1" s="3" t="inlineStr">
        <is>
          <t>Target</t>
        </is>
      </c>
      <c r="D1" s="3" t="inlineStr">
        <is>
          <t>Achieved</t>
        </is>
      </c>
      <c r="E1" s="3" t="inlineStr">
        <is>
          <t>Achievement %</t>
        </is>
      </c>
      <c r="G1" s="4" t="inlineStr">
        <is>
          <t>Check: reps below target</t>
        </is>
      </c>
      <c r="H1" s="10">
        <f>COUNTIF(E2:E19,"&lt;1")</f>
        <v/>
      </c>
    </row>
    <row r="2">
      <c r="A2" t="inlineStr">
        <is>
          <t>Aditya Joshi</t>
        </is>
      </c>
      <c r="B2" t="inlineStr">
        <is>
          <t>North</t>
        </is>
      </c>
      <c r="C2" s="7" t="n">
        <v>3000000</v>
      </c>
      <c r="D2" s="7" t="n">
        <v>3802000</v>
      </c>
      <c r="E2" s="11">
        <f>D2/C2</f>
        <v/>
      </c>
    </row>
    <row r="3">
      <c r="A3" t="inlineStr">
        <is>
          <t>Neha Gupta</t>
        </is>
      </c>
      <c r="B3" t="inlineStr">
        <is>
          <t>South</t>
        </is>
      </c>
      <c r="C3" s="7" t="n">
        <v>3000000</v>
      </c>
      <c r="D3" s="7" t="n">
        <v>3589000</v>
      </c>
      <c r="E3" s="11">
        <f>D3/C3</f>
        <v/>
      </c>
      <c r="G3" s="4" t="inlineStr">
        <is>
          <t>Challenge: above 120%</t>
        </is>
      </c>
      <c r="H3">
        <f>COUNTIF(E2:E19,"&gt;1.2")</f>
        <v/>
      </c>
    </row>
    <row r="4">
      <c r="A4" t="inlineStr">
        <is>
          <t>Sneha Kulkarni</t>
        </is>
      </c>
      <c r="B4" t="inlineStr">
        <is>
          <t>West</t>
        </is>
      </c>
      <c r="C4" s="7" t="n">
        <v>3000000</v>
      </c>
      <c r="D4" s="7" t="n">
        <v>3409000</v>
      </c>
      <c r="E4" s="11">
        <f>D4/C4</f>
        <v/>
      </c>
    </row>
    <row r="5">
      <c r="A5" t="inlineStr">
        <is>
          <t>Siddharth Bose</t>
        </is>
      </c>
      <c r="B5" t="inlineStr">
        <is>
          <t>North</t>
        </is>
      </c>
      <c r="C5" s="7" t="n">
        <v>2000000</v>
      </c>
      <c r="D5" s="7" t="n">
        <v>2266000</v>
      </c>
      <c r="E5" s="11">
        <f>D5/C5</f>
        <v/>
      </c>
    </row>
    <row r="6">
      <c r="A6" t="inlineStr">
        <is>
          <t>Meera Pillai</t>
        </is>
      </c>
      <c r="B6" t="inlineStr">
        <is>
          <t>South</t>
        </is>
      </c>
      <c r="C6" s="7" t="n">
        <v>2500000</v>
      </c>
      <c r="D6" s="7" t="n">
        <v>2792000</v>
      </c>
      <c r="E6" s="11">
        <f>D6/C6</f>
        <v/>
      </c>
    </row>
    <row r="7">
      <c r="A7" t="inlineStr">
        <is>
          <t>Arjun Nair</t>
        </is>
      </c>
      <c r="B7" t="inlineStr">
        <is>
          <t>East</t>
        </is>
      </c>
      <c r="C7" s="7" t="n">
        <v>3500000</v>
      </c>
      <c r="D7" s="7" t="n">
        <v>3751000</v>
      </c>
      <c r="E7" s="11">
        <f>D7/C7</f>
        <v/>
      </c>
    </row>
    <row r="8">
      <c r="A8" t="inlineStr">
        <is>
          <t>Karan Malhotra</t>
        </is>
      </c>
      <c r="B8" t="inlineStr">
        <is>
          <t>East</t>
        </is>
      </c>
      <c r="C8" s="7" t="n">
        <v>2000000</v>
      </c>
      <c r="D8" s="7" t="n">
        <v>2115000</v>
      </c>
      <c r="E8" s="11">
        <f>D8/C8</f>
        <v/>
      </c>
    </row>
    <row r="9">
      <c r="A9" t="inlineStr">
        <is>
          <t>Kavya Hegde</t>
        </is>
      </c>
      <c r="B9" t="inlineStr">
        <is>
          <t>West</t>
        </is>
      </c>
      <c r="C9" s="7" t="n">
        <v>3000000</v>
      </c>
      <c r="D9" s="7" t="n">
        <v>3149000</v>
      </c>
      <c r="E9" s="11">
        <f>D9/C9</f>
        <v/>
      </c>
    </row>
    <row r="10">
      <c r="A10" t="inlineStr">
        <is>
          <t>Vikram Rao</t>
        </is>
      </c>
      <c r="B10" t="inlineStr">
        <is>
          <t>North</t>
        </is>
      </c>
      <c r="C10" s="7" t="n">
        <v>1800000</v>
      </c>
      <c r="D10" s="7" t="n">
        <v>1882000</v>
      </c>
      <c r="E10" s="11">
        <f>D10/C10</f>
        <v/>
      </c>
    </row>
    <row r="11">
      <c r="A11" t="inlineStr">
        <is>
          <t>Pooja Reddy</t>
        </is>
      </c>
      <c r="B11" t="inlineStr">
        <is>
          <t>West</t>
        </is>
      </c>
      <c r="C11" s="7" t="n">
        <v>3500000</v>
      </c>
      <c r="D11" s="7" t="n">
        <v>3561000</v>
      </c>
      <c r="E11" s="11">
        <f>D11/C11</f>
        <v/>
      </c>
    </row>
    <row r="12">
      <c r="A12" t="inlineStr">
        <is>
          <t>Rohan Mehta</t>
        </is>
      </c>
      <c r="B12" t="inlineStr">
        <is>
          <t>North</t>
        </is>
      </c>
      <c r="C12" s="7" t="n">
        <v>1800000</v>
      </c>
      <c r="D12" s="7" t="n">
        <v>1809000</v>
      </c>
      <c r="E12" s="11">
        <f>D12/C12</f>
        <v/>
      </c>
    </row>
    <row r="13">
      <c r="A13" t="inlineStr">
        <is>
          <t>Priya Sharma</t>
        </is>
      </c>
      <c r="B13" t="inlineStr">
        <is>
          <t>South</t>
        </is>
      </c>
      <c r="C13" s="7" t="n">
        <v>2400000</v>
      </c>
      <c r="D13" s="7" t="n">
        <v>2088000</v>
      </c>
      <c r="E13" s="11">
        <f>D13/C13</f>
        <v/>
      </c>
    </row>
    <row r="14">
      <c r="A14" t="inlineStr">
        <is>
          <t>Tanvi Desai</t>
        </is>
      </c>
      <c r="B14" t="inlineStr">
        <is>
          <t>South</t>
        </is>
      </c>
      <c r="C14" s="7" t="n">
        <v>2500000</v>
      </c>
      <c r="D14" s="7" t="n">
        <v>2163000</v>
      </c>
      <c r="E14" s="11">
        <f>D14/C14</f>
        <v/>
      </c>
    </row>
    <row r="15">
      <c r="A15" t="inlineStr">
        <is>
          <t>Farhan Qureshi</t>
        </is>
      </c>
      <c r="B15" t="inlineStr">
        <is>
          <t>East</t>
        </is>
      </c>
      <c r="C15" s="7" t="n">
        <v>3500000</v>
      </c>
      <c r="D15" s="7" t="n">
        <v>2901000</v>
      </c>
      <c r="E15" s="11">
        <f>D15/C15</f>
        <v/>
      </c>
    </row>
    <row r="16">
      <c r="A16" t="inlineStr">
        <is>
          <t>Imran Shaikh</t>
        </is>
      </c>
      <c r="B16" t="inlineStr">
        <is>
          <t>North</t>
        </is>
      </c>
      <c r="C16" s="7" t="n">
        <v>3000000</v>
      </c>
      <c r="D16" s="7" t="n">
        <v>2322000</v>
      </c>
      <c r="E16" s="11">
        <f>D16/C16</f>
        <v/>
      </c>
    </row>
    <row r="17">
      <c r="A17" t="inlineStr">
        <is>
          <t>Ananya Iyer</t>
        </is>
      </c>
      <c r="B17" t="inlineStr">
        <is>
          <t>South</t>
        </is>
      </c>
      <c r="C17" s="7" t="n">
        <v>3500000</v>
      </c>
      <c r="D17" s="7" t="n">
        <v>2692000</v>
      </c>
      <c r="E17" s="11">
        <f>D17/C17</f>
        <v/>
      </c>
    </row>
    <row r="18">
      <c r="A18" t="inlineStr">
        <is>
          <t>Divya Menon</t>
        </is>
      </c>
      <c r="B18" t="inlineStr">
        <is>
          <t>West</t>
        </is>
      </c>
      <c r="C18" s="7" t="n">
        <v>2500000</v>
      </c>
      <c r="D18" s="7" t="n">
        <v>1896000</v>
      </c>
      <c r="E18" s="11">
        <f>D18/C18</f>
        <v/>
      </c>
    </row>
    <row r="19">
      <c r="A19" t="inlineStr">
        <is>
          <t>Rahul Verma</t>
        </is>
      </c>
      <c r="B19" t="inlineStr">
        <is>
          <t>East</t>
        </is>
      </c>
      <c r="C19" s="7" t="n">
        <v>3500000</v>
      </c>
      <c r="D19" s="7" t="n">
        <v>2548000</v>
      </c>
      <c r="E19" s="11">
        <f>D19/C19</f>
        <v/>
      </c>
    </row>
  </sheetData>
  <conditionalFormatting sqref="A2:E19">
    <cfRule type="expression" priority="1" dxfId="0">
      <formula>$D2&lt;$C2</formula>
    </cfRule>
  </conditionalFormatting>
  <conditionalFormatting sqref="E2:E19">
    <cfRule type="cellIs" priority="2" operator="greaterThan" dxfId="1">
      <formula>1.2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3" customWidth="1" min="3" max="3"/>
    <col width="9" customWidth="1" min="4" max="4"/>
    <col width="13" customWidth="1" min="5" max="5"/>
    <col width="22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3" t="inlineStr">
        <is>
          <t>Date</t>
        </is>
      </c>
      <c r="B1" s="3" t="inlineStr">
        <is>
          <t>Region</t>
        </is>
      </c>
      <c r="C1" s="3" t="inlineStr">
        <is>
          <t>Category</t>
        </is>
      </c>
      <c r="D1" s="3" t="inlineStr">
        <is>
          <t>Channel</t>
        </is>
      </c>
      <c r="E1" s="3" t="inlineStr">
        <is>
          <t>Revenue</t>
        </is>
      </c>
      <c r="G1" s="4" t="inlineStr">
        <is>
          <t>Check: South revenue</t>
        </is>
      </c>
      <c r="H1" s="5" t="n"/>
    </row>
    <row r="2">
      <c r="A2" s="6" t="n">
        <v>45748</v>
      </c>
      <c r="B2" t="inlineStr">
        <is>
          <t>South</t>
        </is>
      </c>
      <c r="C2" t="inlineStr">
        <is>
          <t>Appliances</t>
        </is>
      </c>
      <c r="D2" t="inlineStr">
        <is>
          <t>Online</t>
        </is>
      </c>
      <c r="E2" s="7" t="n">
        <v>79400</v>
      </c>
    </row>
    <row r="3">
      <c r="A3" s="6" t="n">
        <v>45750</v>
      </c>
      <c r="B3" t="inlineStr">
        <is>
          <t>North</t>
        </is>
      </c>
      <c r="C3" t="inlineStr">
        <is>
          <t>Furniture</t>
        </is>
      </c>
      <c r="D3" t="inlineStr">
        <is>
          <t>Online</t>
        </is>
      </c>
      <c r="E3" s="7" t="n">
        <v>188700</v>
      </c>
    </row>
    <row r="4">
      <c r="A4" s="6" t="n">
        <v>45763</v>
      </c>
      <c r="B4" t="inlineStr">
        <is>
          <t>East</t>
        </is>
      </c>
      <c r="C4" t="inlineStr">
        <is>
          <t>Electronics</t>
        </is>
      </c>
      <c r="D4" t="inlineStr">
        <is>
          <t>Retail</t>
        </is>
      </c>
      <c r="E4" s="7" t="n">
        <v>123200</v>
      </c>
    </row>
    <row r="5">
      <c r="A5" s="6" t="n">
        <v>45777</v>
      </c>
      <c r="B5" t="inlineStr">
        <is>
          <t>West</t>
        </is>
      </c>
      <c r="C5" t="inlineStr">
        <is>
          <t>Appliances</t>
        </is>
      </c>
      <c r="D5" t="inlineStr">
        <is>
          <t>Retail</t>
        </is>
      </c>
      <c r="E5" s="7" t="n">
        <v>122100</v>
      </c>
    </row>
    <row r="6">
      <c r="A6" s="6" t="n">
        <v>45779</v>
      </c>
      <c r="B6" t="inlineStr">
        <is>
          <t>North</t>
        </is>
      </c>
      <c r="C6" t="inlineStr">
        <is>
          <t>Furniture</t>
        </is>
      </c>
      <c r="D6" t="inlineStr">
        <is>
          <t>Online</t>
        </is>
      </c>
      <c r="E6" s="7" t="n">
        <v>98100</v>
      </c>
    </row>
    <row r="7">
      <c r="A7" s="6" t="n">
        <v>45781</v>
      </c>
      <c r="B7" t="inlineStr">
        <is>
          <t>West</t>
        </is>
      </c>
      <c r="C7" t="inlineStr">
        <is>
          <t>Electronics</t>
        </is>
      </c>
      <c r="D7" t="inlineStr">
        <is>
          <t>Online</t>
        </is>
      </c>
      <c r="E7" s="7" t="n">
        <v>184400</v>
      </c>
    </row>
    <row r="8">
      <c r="A8" s="6" t="n">
        <v>45783</v>
      </c>
      <c r="B8" t="inlineStr">
        <is>
          <t>South</t>
        </is>
      </c>
      <c r="C8" t="inlineStr">
        <is>
          <t>Furniture</t>
        </is>
      </c>
      <c r="D8" t="inlineStr">
        <is>
          <t>Retail</t>
        </is>
      </c>
      <c r="E8" s="7" t="n">
        <v>192800</v>
      </c>
    </row>
    <row r="9">
      <c r="A9" s="6" t="n">
        <v>45788</v>
      </c>
      <c r="B9" t="inlineStr">
        <is>
          <t>North</t>
        </is>
      </c>
      <c r="C9" t="inlineStr">
        <is>
          <t>Electronics</t>
        </is>
      </c>
      <c r="D9" t="inlineStr">
        <is>
          <t>Online</t>
        </is>
      </c>
      <c r="E9" s="7" t="n">
        <v>137700</v>
      </c>
    </row>
    <row r="10">
      <c r="A10" s="6" t="n">
        <v>45790</v>
      </c>
      <c r="B10" t="inlineStr">
        <is>
          <t>South</t>
        </is>
      </c>
      <c r="C10" t="inlineStr">
        <is>
          <t>Appliances</t>
        </is>
      </c>
      <c r="D10" t="inlineStr">
        <is>
          <t>Online</t>
        </is>
      </c>
      <c r="E10" s="7" t="n">
        <v>64400</v>
      </c>
    </row>
    <row r="11">
      <c r="A11" s="6" t="n">
        <v>45791</v>
      </c>
      <c r="B11" t="inlineStr">
        <is>
          <t>West</t>
        </is>
      </c>
      <c r="C11" t="inlineStr">
        <is>
          <t>Appliances</t>
        </is>
      </c>
      <c r="D11" t="inlineStr">
        <is>
          <t>Retail</t>
        </is>
      </c>
      <c r="E11" s="7" t="n">
        <v>178000</v>
      </c>
    </row>
    <row r="12">
      <c r="A12" s="6" t="n">
        <v>45797</v>
      </c>
      <c r="B12" t="inlineStr">
        <is>
          <t>West</t>
        </is>
      </c>
      <c r="C12" t="inlineStr">
        <is>
          <t>Electronics</t>
        </is>
      </c>
      <c r="D12" t="inlineStr">
        <is>
          <t>Retail</t>
        </is>
      </c>
      <c r="E12" s="7" t="n">
        <v>68500</v>
      </c>
    </row>
    <row r="13">
      <c r="A13" s="6" t="n">
        <v>45804</v>
      </c>
      <c r="B13" t="inlineStr">
        <is>
          <t>North</t>
        </is>
      </c>
      <c r="C13" t="inlineStr">
        <is>
          <t>Electronics</t>
        </is>
      </c>
      <c r="D13" t="inlineStr">
        <is>
          <t>Online</t>
        </is>
      </c>
      <c r="E13" s="7" t="n">
        <v>208500</v>
      </c>
    </row>
    <row r="14">
      <c r="A14" s="6" t="n">
        <v>45812</v>
      </c>
      <c r="B14" t="inlineStr">
        <is>
          <t>South</t>
        </is>
      </c>
      <c r="C14" t="inlineStr">
        <is>
          <t>Electronics</t>
        </is>
      </c>
      <c r="D14" t="inlineStr">
        <is>
          <t>Retail</t>
        </is>
      </c>
      <c r="E14" s="7" t="n">
        <v>91900</v>
      </c>
    </row>
    <row r="15">
      <c r="A15" s="6" t="n">
        <v>45816</v>
      </c>
      <c r="B15" t="inlineStr">
        <is>
          <t>West</t>
        </is>
      </c>
      <c r="C15" t="inlineStr">
        <is>
          <t>Furniture</t>
        </is>
      </c>
      <c r="D15" t="inlineStr">
        <is>
          <t>Online</t>
        </is>
      </c>
      <c r="E15" s="7" t="n">
        <v>28400</v>
      </c>
    </row>
    <row r="16">
      <c r="A16" s="6" t="n">
        <v>45820</v>
      </c>
      <c r="B16" t="inlineStr">
        <is>
          <t>West</t>
        </is>
      </c>
      <c r="C16" t="inlineStr">
        <is>
          <t>Appliances</t>
        </is>
      </c>
      <c r="D16" t="inlineStr">
        <is>
          <t>Retail</t>
        </is>
      </c>
      <c r="E16" s="7" t="n">
        <v>39900</v>
      </c>
    </row>
    <row r="17">
      <c r="A17" s="6" t="n">
        <v>45821</v>
      </c>
      <c r="B17" t="inlineStr">
        <is>
          <t>East</t>
        </is>
      </c>
      <c r="C17" t="inlineStr">
        <is>
          <t>Furniture</t>
        </is>
      </c>
      <c r="D17" t="inlineStr">
        <is>
          <t>Retail</t>
        </is>
      </c>
      <c r="E17" s="7" t="n">
        <v>40100</v>
      </c>
    </row>
    <row r="18">
      <c r="A18" s="6" t="n">
        <v>45824</v>
      </c>
      <c r="B18" t="inlineStr">
        <is>
          <t>West</t>
        </is>
      </c>
      <c r="C18" t="inlineStr">
        <is>
          <t>Furniture</t>
        </is>
      </c>
      <c r="D18" t="inlineStr">
        <is>
          <t>Online</t>
        </is>
      </c>
      <c r="E18" s="7" t="n">
        <v>28000</v>
      </c>
    </row>
    <row r="19">
      <c r="A19" s="6" t="n">
        <v>45824</v>
      </c>
      <c r="B19" t="inlineStr">
        <is>
          <t>East</t>
        </is>
      </c>
      <c r="C19" t="inlineStr">
        <is>
          <t>Electronics</t>
        </is>
      </c>
      <c r="D19" t="inlineStr">
        <is>
          <t>Online</t>
        </is>
      </c>
      <c r="E19" s="7" t="n">
        <v>34300</v>
      </c>
    </row>
    <row r="20">
      <c r="A20" s="6" t="n">
        <v>45825</v>
      </c>
      <c r="B20" t="inlineStr">
        <is>
          <t>North</t>
        </is>
      </c>
      <c r="C20" t="inlineStr">
        <is>
          <t>Furniture</t>
        </is>
      </c>
      <c r="D20" t="inlineStr">
        <is>
          <t>Retail</t>
        </is>
      </c>
      <c r="E20" s="7" t="n">
        <v>58800</v>
      </c>
    </row>
    <row r="21">
      <c r="A21" s="6" t="n">
        <v>45830</v>
      </c>
      <c r="B21" t="inlineStr">
        <is>
          <t>East</t>
        </is>
      </c>
      <c r="C21" t="inlineStr">
        <is>
          <t>Appliances</t>
        </is>
      </c>
      <c r="D21" t="inlineStr">
        <is>
          <t>Retail</t>
        </is>
      </c>
      <c r="E21" s="7" t="n">
        <v>46400</v>
      </c>
    </row>
    <row r="22">
      <c r="A22" s="6" t="n">
        <v>45830</v>
      </c>
      <c r="B22" t="inlineStr">
        <is>
          <t>West</t>
        </is>
      </c>
      <c r="C22" t="inlineStr">
        <is>
          <t>Appliances</t>
        </is>
      </c>
      <c r="D22" t="inlineStr">
        <is>
          <t>Retail</t>
        </is>
      </c>
      <c r="E22" s="7" t="n">
        <v>180200</v>
      </c>
    </row>
    <row r="23">
      <c r="A23" s="6" t="n">
        <v>45838</v>
      </c>
      <c r="B23" t="inlineStr">
        <is>
          <t>South</t>
        </is>
      </c>
      <c r="C23" t="inlineStr">
        <is>
          <t>Appliances</t>
        </is>
      </c>
      <c r="D23" t="inlineStr">
        <is>
          <t>Online</t>
        </is>
      </c>
      <c r="E23" s="7" t="n">
        <v>232100</v>
      </c>
    </row>
    <row r="24">
      <c r="A24" s="6" t="n">
        <v>45840</v>
      </c>
      <c r="B24" t="inlineStr">
        <is>
          <t>East</t>
        </is>
      </c>
      <c r="C24" t="inlineStr">
        <is>
          <t>Appliances</t>
        </is>
      </c>
      <c r="D24" t="inlineStr">
        <is>
          <t>Online</t>
        </is>
      </c>
      <c r="E24" s="7" t="n">
        <v>248800</v>
      </c>
    </row>
    <row r="25">
      <c r="A25" s="6" t="n">
        <v>45849</v>
      </c>
      <c r="B25" t="inlineStr">
        <is>
          <t>North</t>
        </is>
      </c>
      <c r="C25" t="inlineStr">
        <is>
          <t>Furniture</t>
        </is>
      </c>
      <c r="D25" t="inlineStr">
        <is>
          <t>Retail</t>
        </is>
      </c>
      <c r="E25" s="7" t="n">
        <v>231100</v>
      </c>
    </row>
    <row r="26">
      <c r="A26" s="6" t="n">
        <v>45850</v>
      </c>
      <c r="B26" t="inlineStr">
        <is>
          <t>West</t>
        </is>
      </c>
      <c r="C26" t="inlineStr">
        <is>
          <t>Electronics</t>
        </is>
      </c>
      <c r="D26" t="inlineStr">
        <is>
          <t>Online</t>
        </is>
      </c>
      <c r="E26" s="7" t="n">
        <v>141400</v>
      </c>
    </row>
    <row r="27">
      <c r="A27" s="6" t="n">
        <v>45861</v>
      </c>
      <c r="B27" t="inlineStr">
        <is>
          <t>South</t>
        </is>
      </c>
      <c r="C27" t="inlineStr">
        <is>
          <t>Appliances</t>
        </is>
      </c>
      <c r="D27" t="inlineStr">
        <is>
          <t>Retail</t>
        </is>
      </c>
      <c r="E27" s="7" t="n">
        <v>130900</v>
      </c>
    </row>
    <row r="28">
      <c r="A28" s="6" t="n">
        <v>45861</v>
      </c>
      <c r="B28" t="inlineStr">
        <is>
          <t>West</t>
        </is>
      </c>
      <c r="C28" t="inlineStr">
        <is>
          <t>Electronics</t>
        </is>
      </c>
      <c r="D28" t="inlineStr">
        <is>
          <t>Retail</t>
        </is>
      </c>
      <c r="E28" s="7" t="n">
        <v>256300</v>
      </c>
    </row>
    <row r="29">
      <c r="A29" s="6" t="n">
        <v>45868</v>
      </c>
      <c r="B29" t="inlineStr">
        <is>
          <t>East</t>
        </is>
      </c>
      <c r="C29" t="inlineStr">
        <is>
          <t>Furniture</t>
        </is>
      </c>
      <c r="D29" t="inlineStr">
        <is>
          <t>Retail</t>
        </is>
      </c>
      <c r="E29" s="7" t="n">
        <v>78600</v>
      </c>
    </row>
    <row r="30">
      <c r="A30" s="6" t="n">
        <v>45868</v>
      </c>
      <c r="B30" t="inlineStr">
        <is>
          <t>South</t>
        </is>
      </c>
      <c r="C30" t="inlineStr">
        <is>
          <t>Furniture</t>
        </is>
      </c>
      <c r="D30" t="inlineStr">
        <is>
          <t>Online</t>
        </is>
      </c>
      <c r="E30" s="7" t="n">
        <v>84300</v>
      </c>
    </row>
    <row r="31">
      <c r="A31" s="6" t="n">
        <v>45889</v>
      </c>
      <c r="B31" t="inlineStr">
        <is>
          <t>West</t>
        </is>
      </c>
      <c r="C31" t="inlineStr">
        <is>
          <t>Appliances</t>
        </is>
      </c>
      <c r="D31" t="inlineStr">
        <is>
          <t>Online</t>
        </is>
      </c>
      <c r="E31" s="7" t="n">
        <v>146800</v>
      </c>
    </row>
    <row r="32">
      <c r="A32" s="6" t="n">
        <v>45904</v>
      </c>
      <c r="B32" t="inlineStr">
        <is>
          <t>East</t>
        </is>
      </c>
      <c r="C32" t="inlineStr">
        <is>
          <t>Appliances</t>
        </is>
      </c>
      <c r="D32" t="inlineStr">
        <is>
          <t>Retail</t>
        </is>
      </c>
      <c r="E32" s="7" t="n">
        <v>89500</v>
      </c>
    </row>
    <row r="33">
      <c r="A33" s="6" t="n">
        <v>45915</v>
      </c>
      <c r="B33" t="inlineStr">
        <is>
          <t>North</t>
        </is>
      </c>
      <c r="C33" t="inlineStr">
        <is>
          <t>Electronics</t>
        </is>
      </c>
      <c r="D33" t="inlineStr">
        <is>
          <t>Online</t>
        </is>
      </c>
      <c r="E33" s="7" t="n">
        <v>144400</v>
      </c>
    </row>
    <row r="34">
      <c r="A34" s="6" t="n">
        <v>45917</v>
      </c>
      <c r="B34" t="inlineStr">
        <is>
          <t>East</t>
        </is>
      </c>
      <c r="C34" t="inlineStr">
        <is>
          <t>Furniture</t>
        </is>
      </c>
      <c r="D34" t="inlineStr">
        <is>
          <t>Retail</t>
        </is>
      </c>
      <c r="E34" s="7" t="n">
        <v>245100</v>
      </c>
    </row>
    <row r="35">
      <c r="A35" s="6" t="n">
        <v>45917</v>
      </c>
      <c r="B35" t="inlineStr">
        <is>
          <t>South</t>
        </is>
      </c>
      <c r="C35" t="inlineStr">
        <is>
          <t>Electronics</t>
        </is>
      </c>
      <c r="D35" t="inlineStr">
        <is>
          <t>Online</t>
        </is>
      </c>
      <c r="E35" s="7" t="n">
        <v>156400</v>
      </c>
    </row>
    <row r="36">
      <c r="A36" s="6" t="n">
        <v>45922</v>
      </c>
      <c r="B36" t="inlineStr">
        <is>
          <t>North</t>
        </is>
      </c>
      <c r="C36" t="inlineStr">
        <is>
          <t>Furniture</t>
        </is>
      </c>
      <c r="D36" t="inlineStr">
        <is>
          <t>Retail</t>
        </is>
      </c>
      <c r="E36" s="7" t="n">
        <v>136400</v>
      </c>
    </row>
    <row r="37">
      <c r="A37" s="6" t="n">
        <v>45924</v>
      </c>
      <c r="B37" t="inlineStr">
        <is>
          <t>West</t>
        </is>
      </c>
      <c r="C37" t="inlineStr">
        <is>
          <t>Electronics</t>
        </is>
      </c>
      <c r="D37" t="inlineStr">
        <is>
          <t>Retail</t>
        </is>
      </c>
      <c r="E37" s="7" t="n">
        <v>215000</v>
      </c>
    </row>
    <row r="38">
      <c r="A38" s="6" t="n">
        <v>45927</v>
      </c>
      <c r="B38" t="inlineStr">
        <is>
          <t>South</t>
        </is>
      </c>
      <c r="C38" t="inlineStr">
        <is>
          <t>Electronics</t>
        </is>
      </c>
      <c r="D38" t="inlineStr">
        <is>
          <t>Online</t>
        </is>
      </c>
      <c r="E38" s="7" t="n">
        <v>76300</v>
      </c>
    </row>
    <row r="39">
      <c r="A39" s="6" t="n">
        <v>45932</v>
      </c>
      <c r="B39" t="inlineStr">
        <is>
          <t>East</t>
        </is>
      </c>
      <c r="C39" t="inlineStr">
        <is>
          <t>Electronics</t>
        </is>
      </c>
      <c r="D39" t="inlineStr">
        <is>
          <t>Retail</t>
        </is>
      </c>
      <c r="E39" s="7" t="n">
        <v>141000</v>
      </c>
    </row>
    <row r="40">
      <c r="A40" s="6" t="n">
        <v>45939</v>
      </c>
      <c r="B40" t="inlineStr">
        <is>
          <t>North</t>
        </is>
      </c>
      <c r="C40" t="inlineStr">
        <is>
          <t>Appliances</t>
        </is>
      </c>
      <c r="D40" t="inlineStr">
        <is>
          <t>Retail</t>
        </is>
      </c>
      <c r="E40" s="7" t="n">
        <v>177400</v>
      </c>
    </row>
    <row r="41">
      <c r="A41" s="6" t="n">
        <v>45940</v>
      </c>
      <c r="B41" t="inlineStr">
        <is>
          <t>East</t>
        </is>
      </c>
      <c r="C41" t="inlineStr">
        <is>
          <t>Furniture</t>
        </is>
      </c>
      <c r="D41" t="inlineStr">
        <is>
          <t>Retail</t>
        </is>
      </c>
      <c r="E41" s="7" t="n">
        <v>112900</v>
      </c>
    </row>
    <row r="42">
      <c r="A42" s="6" t="n">
        <v>45945</v>
      </c>
      <c r="B42" t="inlineStr">
        <is>
          <t>North</t>
        </is>
      </c>
      <c r="C42" t="inlineStr">
        <is>
          <t>Electronics</t>
        </is>
      </c>
      <c r="D42" t="inlineStr">
        <is>
          <t>Retail</t>
        </is>
      </c>
      <c r="E42" s="7" t="n">
        <v>187900</v>
      </c>
    </row>
    <row r="43">
      <c r="A43" s="6" t="n">
        <v>45952</v>
      </c>
      <c r="B43" t="inlineStr">
        <is>
          <t>East</t>
        </is>
      </c>
      <c r="C43" t="inlineStr">
        <is>
          <t>Electronics</t>
        </is>
      </c>
      <c r="D43" t="inlineStr">
        <is>
          <t>Online</t>
        </is>
      </c>
      <c r="E43" s="7" t="n">
        <v>77400</v>
      </c>
    </row>
    <row r="44">
      <c r="A44" s="6" t="n">
        <v>45953</v>
      </c>
      <c r="B44" t="inlineStr">
        <is>
          <t>West</t>
        </is>
      </c>
      <c r="C44" t="inlineStr">
        <is>
          <t>Electronics</t>
        </is>
      </c>
      <c r="D44" t="inlineStr">
        <is>
          <t>Retail</t>
        </is>
      </c>
      <c r="E44" s="7" t="n">
        <v>69000</v>
      </c>
    </row>
    <row r="45">
      <c r="A45" s="6" t="n">
        <v>45957</v>
      </c>
      <c r="B45" t="inlineStr">
        <is>
          <t>West</t>
        </is>
      </c>
      <c r="C45" t="inlineStr">
        <is>
          <t>Appliances</t>
        </is>
      </c>
      <c r="D45" t="inlineStr">
        <is>
          <t>Retail</t>
        </is>
      </c>
      <c r="E45" s="7" t="n">
        <v>154300</v>
      </c>
    </row>
    <row r="46">
      <c r="A46" s="6" t="n">
        <v>45959</v>
      </c>
      <c r="B46" t="inlineStr">
        <is>
          <t>East</t>
        </is>
      </c>
      <c r="C46" t="inlineStr">
        <is>
          <t>Furniture</t>
        </is>
      </c>
      <c r="D46" t="inlineStr">
        <is>
          <t>Retail</t>
        </is>
      </c>
      <c r="E46" s="7" t="n">
        <v>175100</v>
      </c>
    </row>
    <row r="47">
      <c r="A47" s="6" t="n">
        <v>45962</v>
      </c>
      <c r="B47" t="inlineStr">
        <is>
          <t>North</t>
        </is>
      </c>
      <c r="C47" t="inlineStr">
        <is>
          <t>Appliances</t>
        </is>
      </c>
      <c r="D47" t="inlineStr">
        <is>
          <t>Online</t>
        </is>
      </c>
      <c r="E47" s="7" t="n">
        <v>223600</v>
      </c>
    </row>
    <row r="48">
      <c r="A48" s="6" t="n">
        <v>45963</v>
      </c>
      <c r="B48" t="inlineStr">
        <is>
          <t>West</t>
        </is>
      </c>
      <c r="C48" t="inlineStr">
        <is>
          <t>Appliances</t>
        </is>
      </c>
      <c r="D48" t="inlineStr">
        <is>
          <t>Online</t>
        </is>
      </c>
      <c r="E48" s="7" t="n">
        <v>19600</v>
      </c>
    </row>
    <row r="49">
      <c r="A49" s="6" t="n">
        <v>45965</v>
      </c>
      <c r="B49" t="inlineStr">
        <is>
          <t>North</t>
        </is>
      </c>
      <c r="C49" t="inlineStr">
        <is>
          <t>Electronics</t>
        </is>
      </c>
      <c r="D49" t="inlineStr">
        <is>
          <t>Retail</t>
        </is>
      </c>
      <c r="E49" s="7" t="n">
        <v>52400</v>
      </c>
    </row>
    <row r="50">
      <c r="A50" s="6" t="n">
        <v>45966</v>
      </c>
      <c r="B50" t="inlineStr">
        <is>
          <t>West</t>
        </is>
      </c>
      <c r="C50" t="inlineStr">
        <is>
          <t>Electronics</t>
        </is>
      </c>
      <c r="D50" t="inlineStr">
        <is>
          <t>Retail</t>
        </is>
      </c>
      <c r="E50" s="7" t="n">
        <v>119100</v>
      </c>
    </row>
    <row r="51">
      <c r="A51" s="6" t="n">
        <v>45971</v>
      </c>
      <c r="B51" t="inlineStr">
        <is>
          <t>North</t>
        </is>
      </c>
      <c r="C51" t="inlineStr">
        <is>
          <t>Furniture</t>
        </is>
      </c>
      <c r="D51" t="inlineStr">
        <is>
          <t>Online</t>
        </is>
      </c>
      <c r="E51" s="7" t="n">
        <v>115500</v>
      </c>
    </row>
    <row r="52">
      <c r="A52" s="6" t="n">
        <v>45987</v>
      </c>
      <c r="B52" t="inlineStr">
        <is>
          <t>South</t>
        </is>
      </c>
      <c r="C52" t="inlineStr">
        <is>
          <t>Appliances</t>
        </is>
      </c>
      <c r="D52" t="inlineStr">
        <is>
          <t>Retail</t>
        </is>
      </c>
      <c r="E52" s="7" t="n">
        <v>183400</v>
      </c>
    </row>
    <row r="53">
      <c r="A53" s="6" t="n">
        <v>45995</v>
      </c>
      <c r="B53" t="inlineStr">
        <is>
          <t>West</t>
        </is>
      </c>
      <c r="C53" t="inlineStr">
        <is>
          <t>Electronics</t>
        </is>
      </c>
      <c r="D53" t="inlineStr">
        <is>
          <t>Online</t>
        </is>
      </c>
      <c r="E53" s="7" t="n">
        <v>104400</v>
      </c>
    </row>
    <row r="54">
      <c r="A54" s="6" t="n">
        <v>45996</v>
      </c>
      <c r="B54" t="inlineStr">
        <is>
          <t>South</t>
        </is>
      </c>
      <c r="C54" t="inlineStr">
        <is>
          <t>Appliances</t>
        </is>
      </c>
      <c r="D54" t="inlineStr">
        <is>
          <t>Retail</t>
        </is>
      </c>
      <c r="E54" s="7" t="n">
        <v>208700</v>
      </c>
    </row>
    <row r="55">
      <c r="A55" s="6" t="n">
        <v>45997</v>
      </c>
      <c r="B55" t="inlineStr">
        <is>
          <t>North</t>
        </is>
      </c>
      <c r="C55" t="inlineStr">
        <is>
          <t>Electronics</t>
        </is>
      </c>
      <c r="D55" t="inlineStr">
        <is>
          <t>Online</t>
        </is>
      </c>
      <c r="E55" s="7" t="n">
        <v>220200</v>
      </c>
    </row>
    <row r="56">
      <c r="A56" s="6" t="n">
        <v>46004</v>
      </c>
      <c r="B56" t="inlineStr">
        <is>
          <t>West</t>
        </is>
      </c>
      <c r="C56" t="inlineStr">
        <is>
          <t>Furniture</t>
        </is>
      </c>
      <c r="D56" t="inlineStr">
        <is>
          <t>Retail</t>
        </is>
      </c>
      <c r="E56" s="7" t="n">
        <v>44500</v>
      </c>
    </row>
    <row r="57">
      <c r="A57" s="6" t="n">
        <v>46007</v>
      </c>
      <c r="B57" t="inlineStr">
        <is>
          <t>West</t>
        </is>
      </c>
      <c r="C57" t="inlineStr">
        <is>
          <t>Appliances</t>
        </is>
      </c>
      <c r="D57" t="inlineStr">
        <is>
          <t>Retail</t>
        </is>
      </c>
      <c r="E57" s="7" t="n">
        <v>185100</v>
      </c>
    </row>
    <row r="58">
      <c r="A58" s="6" t="n">
        <v>46008</v>
      </c>
      <c r="B58" t="inlineStr">
        <is>
          <t>East</t>
        </is>
      </c>
      <c r="C58" t="inlineStr">
        <is>
          <t>Electronics</t>
        </is>
      </c>
      <c r="D58" t="inlineStr">
        <is>
          <t>Retail</t>
        </is>
      </c>
      <c r="E58" s="7" t="n">
        <v>48000</v>
      </c>
    </row>
    <row r="59">
      <c r="A59" s="6" t="n">
        <v>46011</v>
      </c>
      <c r="B59" t="inlineStr">
        <is>
          <t>West</t>
        </is>
      </c>
      <c r="C59" t="inlineStr">
        <is>
          <t>Appliances</t>
        </is>
      </c>
      <c r="D59" t="inlineStr">
        <is>
          <t>Online</t>
        </is>
      </c>
      <c r="E59" s="7" t="n">
        <v>21800</v>
      </c>
    </row>
    <row r="60">
      <c r="A60" s="6" t="n">
        <v>46015</v>
      </c>
      <c r="B60" t="inlineStr">
        <is>
          <t>West</t>
        </is>
      </c>
      <c r="C60" t="inlineStr">
        <is>
          <t>Furniture</t>
        </is>
      </c>
      <c r="D60" t="inlineStr">
        <is>
          <t>Online</t>
        </is>
      </c>
      <c r="E60" s="7" t="n">
        <v>120300</v>
      </c>
    </row>
    <row r="61">
      <c r="A61" s="6" t="n">
        <v>46018</v>
      </c>
      <c r="B61" t="inlineStr">
        <is>
          <t>North</t>
        </is>
      </c>
      <c r="C61" t="inlineStr">
        <is>
          <t>Furniture</t>
        </is>
      </c>
      <c r="D61" t="inlineStr">
        <is>
          <t>Online</t>
        </is>
      </c>
      <c r="E61" s="7" t="n">
        <v>132500</v>
      </c>
    </row>
    <row r="62">
      <c r="A62" s="6" t="n">
        <v>46023</v>
      </c>
      <c r="B62" t="inlineStr">
        <is>
          <t>West</t>
        </is>
      </c>
      <c r="C62" t="inlineStr">
        <is>
          <t>Furniture</t>
        </is>
      </c>
      <c r="D62" t="inlineStr">
        <is>
          <t>Retail</t>
        </is>
      </c>
      <c r="E62" s="7" t="n">
        <v>245700</v>
      </c>
    </row>
    <row r="63">
      <c r="A63" s="6" t="n">
        <v>46042</v>
      </c>
      <c r="B63" t="inlineStr">
        <is>
          <t>North</t>
        </is>
      </c>
      <c r="C63" t="inlineStr">
        <is>
          <t>Furniture</t>
        </is>
      </c>
      <c r="D63" t="inlineStr">
        <is>
          <t>Online</t>
        </is>
      </c>
      <c r="E63" s="7" t="n">
        <v>104600</v>
      </c>
    </row>
    <row r="64">
      <c r="A64" s="6" t="n">
        <v>46047</v>
      </c>
      <c r="B64" t="inlineStr">
        <is>
          <t>West</t>
        </is>
      </c>
      <c r="C64" t="inlineStr">
        <is>
          <t>Furniture</t>
        </is>
      </c>
      <c r="D64" t="inlineStr">
        <is>
          <t>Online</t>
        </is>
      </c>
      <c r="E64" s="7" t="n">
        <v>174700</v>
      </c>
    </row>
    <row r="65">
      <c r="A65" s="6" t="n">
        <v>46052</v>
      </c>
      <c r="B65" t="inlineStr">
        <is>
          <t>East</t>
        </is>
      </c>
      <c r="C65" t="inlineStr">
        <is>
          <t>Appliances</t>
        </is>
      </c>
      <c r="D65" t="inlineStr">
        <is>
          <t>Retail</t>
        </is>
      </c>
      <c r="E65" s="7" t="n">
        <v>109300</v>
      </c>
    </row>
    <row r="66">
      <c r="A66" s="6" t="n">
        <v>46053</v>
      </c>
      <c r="B66" t="inlineStr">
        <is>
          <t>South</t>
        </is>
      </c>
      <c r="C66" t="inlineStr">
        <is>
          <t>Electronics</t>
        </is>
      </c>
      <c r="D66" t="inlineStr">
        <is>
          <t>Retail</t>
        </is>
      </c>
      <c r="E66" s="7" t="n">
        <v>160100</v>
      </c>
    </row>
    <row r="67">
      <c r="A67" s="6" t="n">
        <v>46054</v>
      </c>
      <c r="B67" t="inlineStr">
        <is>
          <t>South</t>
        </is>
      </c>
      <c r="C67" t="inlineStr">
        <is>
          <t>Furniture</t>
        </is>
      </c>
      <c r="D67" t="inlineStr">
        <is>
          <t>Retail</t>
        </is>
      </c>
      <c r="E67" s="7" t="n">
        <v>52000</v>
      </c>
    </row>
    <row r="68">
      <c r="A68" s="6" t="n">
        <v>46055</v>
      </c>
      <c r="B68" t="inlineStr">
        <is>
          <t>South</t>
        </is>
      </c>
      <c r="C68" t="inlineStr">
        <is>
          <t>Appliances</t>
        </is>
      </c>
      <c r="D68" t="inlineStr">
        <is>
          <t>Online</t>
        </is>
      </c>
      <c r="E68" s="7" t="n">
        <v>158400</v>
      </c>
    </row>
    <row r="69">
      <c r="A69" s="6" t="n">
        <v>46058</v>
      </c>
      <c r="B69" t="inlineStr">
        <is>
          <t>South</t>
        </is>
      </c>
      <c r="C69" t="inlineStr">
        <is>
          <t>Furniture</t>
        </is>
      </c>
      <c r="D69" t="inlineStr">
        <is>
          <t>Online</t>
        </is>
      </c>
      <c r="E69" s="7" t="n">
        <v>15700</v>
      </c>
    </row>
    <row r="70">
      <c r="A70" s="6" t="n">
        <v>46065</v>
      </c>
      <c r="B70" t="inlineStr">
        <is>
          <t>North</t>
        </is>
      </c>
      <c r="C70" t="inlineStr">
        <is>
          <t>Furniture</t>
        </is>
      </c>
      <c r="D70" t="inlineStr">
        <is>
          <t>Retail</t>
        </is>
      </c>
      <c r="E70" s="7" t="n">
        <v>177500</v>
      </c>
    </row>
    <row r="71">
      <c r="A71" s="6" t="n">
        <v>46074</v>
      </c>
      <c r="B71" t="inlineStr">
        <is>
          <t>West</t>
        </is>
      </c>
      <c r="C71" t="inlineStr">
        <is>
          <t>Electronics</t>
        </is>
      </c>
      <c r="D71" t="inlineStr">
        <is>
          <t>Retail</t>
        </is>
      </c>
      <c r="E71" s="7" t="n">
        <v>86200</v>
      </c>
    </row>
    <row r="72">
      <c r="A72" s="6" t="n">
        <v>46076</v>
      </c>
      <c r="B72" t="inlineStr">
        <is>
          <t>North</t>
        </is>
      </c>
      <c r="C72" t="inlineStr">
        <is>
          <t>Appliances</t>
        </is>
      </c>
      <c r="D72" t="inlineStr">
        <is>
          <t>Online</t>
        </is>
      </c>
      <c r="E72" s="7" t="n">
        <v>81000</v>
      </c>
    </row>
    <row r="73">
      <c r="A73" s="6" t="n">
        <v>46088</v>
      </c>
      <c r="B73" t="inlineStr">
        <is>
          <t>West</t>
        </is>
      </c>
      <c r="C73" t="inlineStr">
        <is>
          <t>Appliances</t>
        </is>
      </c>
      <c r="D73" t="inlineStr">
        <is>
          <t>Retail</t>
        </is>
      </c>
      <c r="E73" s="7" t="n">
        <v>103800</v>
      </c>
    </row>
    <row r="74">
      <c r="A74" s="6" t="n">
        <v>46089</v>
      </c>
      <c r="B74" t="inlineStr">
        <is>
          <t>North</t>
        </is>
      </c>
      <c r="C74" t="inlineStr">
        <is>
          <t>Appliances</t>
        </is>
      </c>
      <c r="D74" t="inlineStr">
        <is>
          <t>Online</t>
        </is>
      </c>
      <c r="E74" s="7" t="n">
        <v>247200</v>
      </c>
    </row>
    <row r="75">
      <c r="A75" s="6" t="n">
        <v>46090</v>
      </c>
      <c r="B75" t="inlineStr">
        <is>
          <t>North</t>
        </is>
      </c>
      <c r="C75" t="inlineStr">
        <is>
          <t>Furniture</t>
        </is>
      </c>
      <c r="D75" t="inlineStr">
        <is>
          <t>Retail</t>
        </is>
      </c>
      <c r="E75" s="7" t="n">
        <v>25600</v>
      </c>
    </row>
    <row r="76">
      <c r="A76" s="6" t="n">
        <v>46092</v>
      </c>
      <c r="B76" t="inlineStr">
        <is>
          <t>West</t>
        </is>
      </c>
      <c r="C76" t="inlineStr">
        <is>
          <t>Appliances</t>
        </is>
      </c>
      <c r="D76" t="inlineStr">
        <is>
          <t>Online</t>
        </is>
      </c>
      <c r="E76" s="7" t="n">
        <v>117100</v>
      </c>
    </row>
    <row r="77">
      <c r="A77" s="6" t="n">
        <v>46097</v>
      </c>
      <c r="B77" t="inlineStr">
        <is>
          <t>East</t>
        </is>
      </c>
      <c r="C77" t="inlineStr">
        <is>
          <t>Appliances</t>
        </is>
      </c>
      <c r="D77" t="inlineStr">
        <is>
          <t>Retail</t>
        </is>
      </c>
      <c r="E77" s="7" t="n">
        <v>91700</v>
      </c>
    </row>
    <row r="78">
      <c r="A78" s="6" t="n">
        <v>46097</v>
      </c>
      <c r="B78" t="inlineStr">
        <is>
          <t>West</t>
        </is>
      </c>
      <c r="C78" t="inlineStr">
        <is>
          <t>Appliances</t>
        </is>
      </c>
      <c r="D78" t="inlineStr">
        <is>
          <t>Retail</t>
        </is>
      </c>
      <c r="E78" s="7" t="n">
        <v>151000</v>
      </c>
    </row>
    <row r="79">
      <c r="A79" s="6" t="n">
        <v>46105</v>
      </c>
      <c r="B79" t="inlineStr">
        <is>
          <t>South</t>
        </is>
      </c>
      <c r="C79" t="inlineStr">
        <is>
          <t>Furniture</t>
        </is>
      </c>
      <c r="D79" t="inlineStr">
        <is>
          <t>Online</t>
        </is>
      </c>
      <c r="E79" s="7" t="n">
        <v>84300</v>
      </c>
    </row>
    <row r="80">
      <c r="A80" s="6" t="n">
        <v>46109</v>
      </c>
      <c r="B80" t="inlineStr">
        <is>
          <t>North</t>
        </is>
      </c>
      <c r="C80" t="inlineStr">
        <is>
          <t>Furniture</t>
        </is>
      </c>
      <c r="D80" t="inlineStr">
        <is>
          <t>Retail</t>
        </is>
      </c>
      <c r="E80" s="7" t="n">
        <v>238200</v>
      </c>
    </row>
    <row r="81">
      <c r="A81" s="6" t="n">
        <v>46112</v>
      </c>
      <c r="B81" t="inlineStr">
        <is>
          <t>West</t>
        </is>
      </c>
      <c r="C81" t="inlineStr">
        <is>
          <t>Electronics</t>
        </is>
      </c>
      <c r="D81" t="inlineStr">
        <is>
          <t>Online</t>
        </is>
      </c>
      <c r="E81" s="7" t="n">
        <v>196800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3" customWidth="1" min="3" max="3"/>
    <col width="9" customWidth="1" min="4" max="4"/>
    <col width="13" customWidth="1" min="5" max="5"/>
    <col width="22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3" t="inlineStr">
        <is>
          <t>Date</t>
        </is>
      </c>
      <c r="B1" s="3" t="inlineStr">
        <is>
          <t>Region</t>
        </is>
      </c>
      <c r="C1" s="3" t="inlineStr">
        <is>
          <t>Category</t>
        </is>
      </c>
      <c r="D1" s="3" t="inlineStr">
        <is>
          <t>Channel</t>
        </is>
      </c>
      <c r="E1" s="3" t="inlineStr">
        <is>
          <t>Revenue</t>
        </is>
      </c>
      <c r="G1" s="4" t="inlineStr">
        <is>
          <t>Check: South revenue</t>
        </is>
      </c>
      <c r="H1" s="5">
        <f>SUMIFS(E2:E81,B2:B81,"South")</f>
        <v/>
      </c>
    </row>
    <row r="2">
      <c r="A2" s="6" t="n">
        <v>45748</v>
      </c>
      <c r="B2" t="inlineStr">
        <is>
          <t>South</t>
        </is>
      </c>
      <c r="C2" t="inlineStr">
        <is>
          <t>Appliances</t>
        </is>
      </c>
      <c r="D2" t="inlineStr">
        <is>
          <t>Online</t>
        </is>
      </c>
      <c r="E2" s="7" t="n">
        <v>79400</v>
      </c>
    </row>
    <row r="3">
      <c r="A3" s="6" t="n">
        <v>45750</v>
      </c>
      <c r="B3" t="inlineStr">
        <is>
          <t>North</t>
        </is>
      </c>
      <c r="C3" t="inlineStr">
        <is>
          <t>Furniture</t>
        </is>
      </c>
      <c r="D3" t="inlineStr">
        <is>
          <t>Online</t>
        </is>
      </c>
      <c r="E3" s="7" t="n">
        <v>188700</v>
      </c>
    </row>
    <row r="4">
      <c r="A4" s="6" t="n">
        <v>45763</v>
      </c>
      <c r="B4" t="inlineStr">
        <is>
          <t>East</t>
        </is>
      </c>
      <c r="C4" t="inlineStr">
        <is>
          <t>Electronics</t>
        </is>
      </c>
      <c r="D4" t="inlineStr">
        <is>
          <t>Retail</t>
        </is>
      </c>
      <c r="E4" s="7" t="n">
        <v>123200</v>
      </c>
      <c r="G4" s="3" t="inlineStr">
        <is>
          <t>Region</t>
        </is>
      </c>
      <c r="H4" s="3" t="inlineStr">
        <is>
          <t>Electronics</t>
        </is>
      </c>
      <c r="I4" s="3" t="inlineStr">
        <is>
          <t>Furniture</t>
        </is>
      </c>
      <c r="J4" s="3" t="inlineStr">
        <is>
          <t>Appliances</t>
        </is>
      </c>
      <c r="K4" s="3" t="inlineStr">
        <is>
          <t>Total</t>
        </is>
      </c>
    </row>
    <row r="5">
      <c r="A5" s="6" t="n">
        <v>45777</v>
      </c>
      <c r="B5" t="inlineStr">
        <is>
          <t>West</t>
        </is>
      </c>
      <c r="C5" t="inlineStr">
        <is>
          <t>Appliances</t>
        </is>
      </c>
      <c r="D5" t="inlineStr">
        <is>
          <t>Retail</t>
        </is>
      </c>
      <c r="E5" s="7" t="n">
        <v>122100</v>
      </c>
      <c r="G5" t="inlineStr">
        <is>
          <t>North</t>
        </is>
      </c>
      <c r="H5" s="7">
        <f>SUMIFS($E$2:$E$81,$B$2:$B$81,$G5,$C$2:$C$81,H$4)</f>
        <v/>
      </c>
      <c r="I5" s="7">
        <f>SUMIFS($E$2:$E$81,$B$2:$B$81,$G5,$C$2:$C$81,I$4)</f>
        <v/>
      </c>
      <c r="J5" s="7">
        <f>SUMIFS($E$2:$E$81,$B$2:$B$81,$G5,$C$2:$C$81,J$4)</f>
        <v/>
      </c>
      <c r="K5" s="7">
        <f>SUM(H5:J5)</f>
        <v/>
      </c>
    </row>
    <row r="6">
      <c r="A6" s="6" t="n">
        <v>45779</v>
      </c>
      <c r="B6" t="inlineStr">
        <is>
          <t>North</t>
        </is>
      </c>
      <c r="C6" t="inlineStr">
        <is>
          <t>Furniture</t>
        </is>
      </c>
      <c r="D6" t="inlineStr">
        <is>
          <t>Online</t>
        </is>
      </c>
      <c r="E6" s="7" t="n">
        <v>98100</v>
      </c>
      <c r="G6" t="inlineStr">
        <is>
          <t>South</t>
        </is>
      </c>
      <c r="H6" s="7">
        <f>SUMIFS($E$2:$E$81,$B$2:$B$81,$G6,$C$2:$C$81,H$4)</f>
        <v/>
      </c>
      <c r="I6" s="7">
        <f>SUMIFS($E$2:$E$81,$B$2:$B$81,$G6,$C$2:$C$81,I$4)</f>
        <v/>
      </c>
      <c r="J6" s="7">
        <f>SUMIFS($E$2:$E$81,$B$2:$B$81,$G6,$C$2:$C$81,J$4)</f>
        <v/>
      </c>
      <c r="K6" s="7">
        <f>SUM(H6:J6)</f>
        <v/>
      </c>
    </row>
    <row r="7">
      <c r="A7" s="6" t="n">
        <v>45781</v>
      </c>
      <c r="B7" t="inlineStr">
        <is>
          <t>West</t>
        </is>
      </c>
      <c r="C7" t="inlineStr">
        <is>
          <t>Electronics</t>
        </is>
      </c>
      <c r="D7" t="inlineStr">
        <is>
          <t>Online</t>
        </is>
      </c>
      <c r="E7" s="7" t="n">
        <v>184400</v>
      </c>
      <c r="G7" t="inlineStr">
        <is>
          <t>East</t>
        </is>
      </c>
      <c r="H7" s="7">
        <f>SUMIFS($E$2:$E$81,$B$2:$B$81,$G7,$C$2:$C$81,H$4)</f>
        <v/>
      </c>
      <c r="I7" s="7">
        <f>SUMIFS($E$2:$E$81,$B$2:$B$81,$G7,$C$2:$C$81,I$4)</f>
        <v/>
      </c>
      <c r="J7" s="7">
        <f>SUMIFS($E$2:$E$81,$B$2:$B$81,$G7,$C$2:$C$81,J$4)</f>
        <v/>
      </c>
      <c r="K7" s="7">
        <f>SUM(H7:J7)</f>
        <v/>
      </c>
    </row>
    <row r="8">
      <c r="A8" s="6" t="n">
        <v>45783</v>
      </c>
      <c r="B8" t="inlineStr">
        <is>
          <t>South</t>
        </is>
      </c>
      <c r="C8" t="inlineStr">
        <is>
          <t>Furniture</t>
        </is>
      </c>
      <c r="D8" t="inlineStr">
        <is>
          <t>Retail</t>
        </is>
      </c>
      <c r="E8" s="7" t="n">
        <v>192800</v>
      </c>
      <c r="G8" t="inlineStr">
        <is>
          <t>West</t>
        </is>
      </c>
      <c r="H8" s="7">
        <f>SUMIFS($E$2:$E$81,$B$2:$B$81,$G8,$C$2:$C$81,H$4)</f>
        <v/>
      </c>
      <c r="I8" s="7">
        <f>SUMIFS($E$2:$E$81,$B$2:$B$81,$G8,$C$2:$C$81,I$4)</f>
        <v/>
      </c>
      <c r="J8" s="7">
        <f>SUMIFS($E$2:$E$81,$B$2:$B$81,$G8,$C$2:$C$81,J$4)</f>
        <v/>
      </c>
      <c r="K8" s="7">
        <f>SUM(H8:J8)</f>
        <v/>
      </c>
    </row>
    <row r="9">
      <c r="A9" s="6" t="n">
        <v>45788</v>
      </c>
      <c r="B9" t="inlineStr">
        <is>
          <t>North</t>
        </is>
      </c>
      <c r="C9" t="inlineStr">
        <is>
          <t>Electronics</t>
        </is>
      </c>
      <c r="D9" t="inlineStr">
        <is>
          <t>Online</t>
        </is>
      </c>
      <c r="E9" s="7" t="n">
        <v>137700</v>
      </c>
    </row>
    <row r="10">
      <c r="A10" s="6" t="n">
        <v>45790</v>
      </c>
      <c r="B10" t="inlineStr">
        <is>
          <t>South</t>
        </is>
      </c>
      <c r="C10" t="inlineStr">
        <is>
          <t>Appliances</t>
        </is>
      </c>
      <c r="D10" t="inlineStr">
        <is>
          <t>Online</t>
        </is>
      </c>
      <c r="E10" s="7" t="n">
        <v>64400</v>
      </c>
    </row>
    <row r="11">
      <c r="A11" s="6" t="n">
        <v>45791</v>
      </c>
      <c r="B11" t="inlineStr">
        <is>
          <t>West</t>
        </is>
      </c>
      <c r="C11" t="inlineStr">
        <is>
          <t>Appliances</t>
        </is>
      </c>
      <c r="D11" t="inlineStr">
        <is>
          <t>Retail</t>
        </is>
      </c>
      <c r="E11" s="7" t="n">
        <v>178000</v>
      </c>
    </row>
    <row r="12">
      <c r="A12" s="6" t="n">
        <v>45797</v>
      </c>
      <c r="B12" t="inlineStr">
        <is>
          <t>West</t>
        </is>
      </c>
      <c r="C12" t="inlineStr">
        <is>
          <t>Electronics</t>
        </is>
      </c>
      <c r="D12" t="inlineStr">
        <is>
          <t>Retail</t>
        </is>
      </c>
      <c r="E12" s="7" t="n">
        <v>68500</v>
      </c>
    </row>
    <row r="13">
      <c r="A13" s="6" t="n">
        <v>45804</v>
      </c>
      <c r="B13" t="inlineStr">
        <is>
          <t>North</t>
        </is>
      </c>
      <c r="C13" t="inlineStr">
        <is>
          <t>Electronics</t>
        </is>
      </c>
      <c r="D13" t="inlineStr">
        <is>
          <t>Online</t>
        </is>
      </c>
      <c r="E13" s="7" t="n">
        <v>208500</v>
      </c>
    </row>
    <row r="14">
      <c r="A14" s="6" t="n">
        <v>45812</v>
      </c>
      <c r="B14" t="inlineStr">
        <is>
          <t>South</t>
        </is>
      </c>
      <c r="C14" t="inlineStr">
        <is>
          <t>Electronics</t>
        </is>
      </c>
      <c r="D14" t="inlineStr">
        <is>
          <t>Retail</t>
        </is>
      </c>
      <c r="E14" s="7" t="n">
        <v>91900</v>
      </c>
    </row>
    <row r="15">
      <c r="A15" s="6" t="n">
        <v>45816</v>
      </c>
      <c r="B15" t="inlineStr">
        <is>
          <t>West</t>
        </is>
      </c>
      <c r="C15" t="inlineStr">
        <is>
          <t>Furniture</t>
        </is>
      </c>
      <c r="D15" t="inlineStr">
        <is>
          <t>Online</t>
        </is>
      </c>
      <c r="E15" s="7" t="n">
        <v>28400</v>
      </c>
    </row>
    <row r="16">
      <c r="A16" s="6" t="n">
        <v>45820</v>
      </c>
      <c r="B16" t="inlineStr">
        <is>
          <t>West</t>
        </is>
      </c>
      <c r="C16" t="inlineStr">
        <is>
          <t>Appliances</t>
        </is>
      </c>
      <c r="D16" t="inlineStr">
        <is>
          <t>Retail</t>
        </is>
      </c>
      <c r="E16" s="7" t="n">
        <v>39900</v>
      </c>
    </row>
    <row r="17">
      <c r="A17" s="6" t="n">
        <v>45821</v>
      </c>
      <c r="B17" t="inlineStr">
        <is>
          <t>East</t>
        </is>
      </c>
      <c r="C17" t="inlineStr">
        <is>
          <t>Furniture</t>
        </is>
      </c>
      <c r="D17" t="inlineStr">
        <is>
          <t>Retail</t>
        </is>
      </c>
      <c r="E17" s="7" t="n">
        <v>40100</v>
      </c>
    </row>
    <row r="18">
      <c r="A18" s="6" t="n">
        <v>45824</v>
      </c>
      <c r="B18" t="inlineStr">
        <is>
          <t>West</t>
        </is>
      </c>
      <c r="C18" t="inlineStr">
        <is>
          <t>Furniture</t>
        </is>
      </c>
      <c r="D18" t="inlineStr">
        <is>
          <t>Online</t>
        </is>
      </c>
      <c r="E18" s="7" t="n">
        <v>28000</v>
      </c>
    </row>
    <row r="19">
      <c r="A19" s="6" t="n">
        <v>45824</v>
      </c>
      <c r="B19" t="inlineStr">
        <is>
          <t>East</t>
        </is>
      </c>
      <c r="C19" t="inlineStr">
        <is>
          <t>Electronics</t>
        </is>
      </c>
      <c r="D19" t="inlineStr">
        <is>
          <t>Online</t>
        </is>
      </c>
      <c r="E19" s="7" t="n">
        <v>34300</v>
      </c>
    </row>
    <row r="20">
      <c r="A20" s="6" t="n">
        <v>45825</v>
      </c>
      <c r="B20" t="inlineStr">
        <is>
          <t>North</t>
        </is>
      </c>
      <c r="C20" t="inlineStr">
        <is>
          <t>Furniture</t>
        </is>
      </c>
      <c r="D20" t="inlineStr">
        <is>
          <t>Retail</t>
        </is>
      </c>
      <c r="E20" s="7" t="n">
        <v>58800</v>
      </c>
    </row>
    <row r="21">
      <c r="A21" s="6" t="n">
        <v>45830</v>
      </c>
      <c r="B21" t="inlineStr">
        <is>
          <t>East</t>
        </is>
      </c>
      <c r="C21" t="inlineStr">
        <is>
          <t>Appliances</t>
        </is>
      </c>
      <c r="D21" t="inlineStr">
        <is>
          <t>Retail</t>
        </is>
      </c>
      <c r="E21" s="7" t="n">
        <v>46400</v>
      </c>
    </row>
    <row r="22">
      <c r="A22" s="6" t="n">
        <v>45830</v>
      </c>
      <c r="B22" t="inlineStr">
        <is>
          <t>West</t>
        </is>
      </c>
      <c r="C22" t="inlineStr">
        <is>
          <t>Appliances</t>
        </is>
      </c>
      <c r="D22" t="inlineStr">
        <is>
          <t>Retail</t>
        </is>
      </c>
      <c r="E22" s="7" t="n">
        <v>180200</v>
      </c>
    </row>
    <row r="23">
      <c r="A23" s="6" t="n">
        <v>45838</v>
      </c>
      <c r="B23" t="inlineStr">
        <is>
          <t>South</t>
        </is>
      </c>
      <c r="C23" t="inlineStr">
        <is>
          <t>Appliances</t>
        </is>
      </c>
      <c r="D23" t="inlineStr">
        <is>
          <t>Online</t>
        </is>
      </c>
      <c r="E23" s="7" t="n">
        <v>232100</v>
      </c>
    </row>
    <row r="24">
      <c r="A24" s="6" t="n">
        <v>45840</v>
      </c>
      <c r="B24" t="inlineStr">
        <is>
          <t>East</t>
        </is>
      </c>
      <c r="C24" t="inlineStr">
        <is>
          <t>Appliances</t>
        </is>
      </c>
      <c r="D24" t="inlineStr">
        <is>
          <t>Online</t>
        </is>
      </c>
      <c r="E24" s="7" t="n">
        <v>248800</v>
      </c>
    </row>
    <row r="25">
      <c r="A25" s="6" t="n">
        <v>45849</v>
      </c>
      <c r="B25" t="inlineStr">
        <is>
          <t>North</t>
        </is>
      </c>
      <c r="C25" t="inlineStr">
        <is>
          <t>Furniture</t>
        </is>
      </c>
      <c r="D25" t="inlineStr">
        <is>
          <t>Retail</t>
        </is>
      </c>
      <c r="E25" s="7" t="n">
        <v>231100</v>
      </c>
    </row>
    <row r="26">
      <c r="A26" s="6" t="n">
        <v>45850</v>
      </c>
      <c r="B26" t="inlineStr">
        <is>
          <t>West</t>
        </is>
      </c>
      <c r="C26" t="inlineStr">
        <is>
          <t>Electronics</t>
        </is>
      </c>
      <c r="D26" t="inlineStr">
        <is>
          <t>Online</t>
        </is>
      </c>
      <c r="E26" s="7" t="n">
        <v>141400</v>
      </c>
    </row>
    <row r="27">
      <c r="A27" s="6" t="n">
        <v>45861</v>
      </c>
      <c r="B27" t="inlineStr">
        <is>
          <t>South</t>
        </is>
      </c>
      <c r="C27" t="inlineStr">
        <is>
          <t>Appliances</t>
        </is>
      </c>
      <c r="D27" t="inlineStr">
        <is>
          <t>Retail</t>
        </is>
      </c>
      <c r="E27" s="7" t="n">
        <v>130900</v>
      </c>
      <c r="G27" s="4" t="inlineStr">
        <is>
          <t>Challenge: Online total</t>
        </is>
      </c>
      <c r="H27" s="7">
        <f>SUMIFS(E2:E81,D2:D81,"Online")</f>
        <v/>
      </c>
    </row>
    <row r="28">
      <c r="A28" s="6" t="n">
        <v>45861</v>
      </c>
      <c r="B28" t="inlineStr">
        <is>
          <t>West</t>
        </is>
      </c>
      <c r="C28" t="inlineStr">
        <is>
          <t>Electronics</t>
        </is>
      </c>
      <c r="D28" t="inlineStr">
        <is>
          <t>Retail</t>
        </is>
      </c>
      <c r="E28" s="7" t="n">
        <v>256300</v>
      </c>
    </row>
    <row r="29">
      <c r="A29" s="6" t="n">
        <v>45868</v>
      </c>
      <c r="B29" t="inlineStr">
        <is>
          <t>East</t>
        </is>
      </c>
      <c r="C29" t="inlineStr">
        <is>
          <t>Furniture</t>
        </is>
      </c>
      <c r="D29" t="inlineStr">
        <is>
          <t>Retail</t>
        </is>
      </c>
      <c r="E29" s="7" t="n">
        <v>78600</v>
      </c>
    </row>
    <row r="30">
      <c r="A30" s="6" t="n">
        <v>45868</v>
      </c>
      <c r="B30" t="inlineStr">
        <is>
          <t>South</t>
        </is>
      </c>
      <c r="C30" t="inlineStr">
        <is>
          <t>Furniture</t>
        </is>
      </c>
      <c r="D30" t="inlineStr">
        <is>
          <t>Online</t>
        </is>
      </c>
      <c r="E30" s="7" t="n">
        <v>84300</v>
      </c>
    </row>
    <row r="31">
      <c r="A31" s="6" t="n">
        <v>45889</v>
      </c>
      <c r="B31" t="inlineStr">
        <is>
          <t>West</t>
        </is>
      </c>
      <c r="C31" t="inlineStr">
        <is>
          <t>Appliances</t>
        </is>
      </c>
      <c r="D31" t="inlineStr">
        <is>
          <t>Online</t>
        </is>
      </c>
      <c r="E31" s="7" t="n">
        <v>146800</v>
      </c>
    </row>
    <row r="32">
      <c r="A32" s="6" t="n">
        <v>45904</v>
      </c>
      <c r="B32" t="inlineStr">
        <is>
          <t>East</t>
        </is>
      </c>
      <c r="C32" t="inlineStr">
        <is>
          <t>Appliances</t>
        </is>
      </c>
      <c r="D32" t="inlineStr">
        <is>
          <t>Retail</t>
        </is>
      </c>
      <c r="E32" s="7" t="n">
        <v>89500</v>
      </c>
    </row>
    <row r="33">
      <c r="A33" s="6" t="n">
        <v>45915</v>
      </c>
      <c r="B33" t="inlineStr">
        <is>
          <t>North</t>
        </is>
      </c>
      <c r="C33" t="inlineStr">
        <is>
          <t>Electronics</t>
        </is>
      </c>
      <c r="D33" t="inlineStr">
        <is>
          <t>Online</t>
        </is>
      </c>
      <c r="E33" s="7" t="n">
        <v>144400</v>
      </c>
    </row>
    <row r="34">
      <c r="A34" s="6" t="n">
        <v>45917</v>
      </c>
      <c r="B34" t="inlineStr">
        <is>
          <t>East</t>
        </is>
      </c>
      <c r="C34" t="inlineStr">
        <is>
          <t>Furniture</t>
        </is>
      </c>
      <c r="D34" t="inlineStr">
        <is>
          <t>Retail</t>
        </is>
      </c>
      <c r="E34" s="7" t="n">
        <v>245100</v>
      </c>
    </row>
    <row r="35">
      <c r="A35" s="6" t="n">
        <v>45917</v>
      </c>
      <c r="B35" t="inlineStr">
        <is>
          <t>South</t>
        </is>
      </c>
      <c r="C35" t="inlineStr">
        <is>
          <t>Electronics</t>
        </is>
      </c>
      <c r="D35" t="inlineStr">
        <is>
          <t>Online</t>
        </is>
      </c>
      <c r="E35" s="7" t="n">
        <v>156400</v>
      </c>
    </row>
    <row r="36">
      <c r="A36" s="6" t="n">
        <v>45922</v>
      </c>
      <c r="B36" t="inlineStr">
        <is>
          <t>North</t>
        </is>
      </c>
      <c r="C36" t="inlineStr">
        <is>
          <t>Furniture</t>
        </is>
      </c>
      <c r="D36" t="inlineStr">
        <is>
          <t>Retail</t>
        </is>
      </c>
      <c r="E36" s="7" t="n">
        <v>136400</v>
      </c>
    </row>
    <row r="37">
      <c r="A37" s="6" t="n">
        <v>45924</v>
      </c>
      <c r="B37" t="inlineStr">
        <is>
          <t>West</t>
        </is>
      </c>
      <c r="C37" t="inlineStr">
        <is>
          <t>Electronics</t>
        </is>
      </c>
      <c r="D37" t="inlineStr">
        <is>
          <t>Retail</t>
        </is>
      </c>
      <c r="E37" s="7" t="n">
        <v>215000</v>
      </c>
    </row>
    <row r="38">
      <c r="A38" s="6" t="n">
        <v>45927</v>
      </c>
      <c r="B38" t="inlineStr">
        <is>
          <t>South</t>
        </is>
      </c>
      <c r="C38" t="inlineStr">
        <is>
          <t>Electronics</t>
        </is>
      </c>
      <c r="D38" t="inlineStr">
        <is>
          <t>Online</t>
        </is>
      </c>
      <c r="E38" s="7" t="n">
        <v>76300</v>
      </c>
    </row>
    <row r="39">
      <c r="A39" s="6" t="n">
        <v>45932</v>
      </c>
      <c r="B39" t="inlineStr">
        <is>
          <t>East</t>
        </is>
      </c>
      <c r="C39" t="inlineStr">
        <is>
          <t>Electronics</t>
        </is>
      </c>
      <c r="D39" t="inlineStr">
        <is>
          <t>Retail</t>
        </is>
      </c>
      <c r="E39" s="7" t="n">
        <v>141000</v>
      </c>
    </row>
    <row r="40">
      <c r="A40" s="6" t="n">
        <v>45939</v>
      </c>
      <c r="B40" t="inlineStr">
        <is>
          <t>North</t>
        </is>
      </c>
      <c r="C40" t="inlineStr">
        <is>
          <t>Appliances</t>
        </is>
      </c>
      <c r="D40" t="inlineStr">
        <is>
          <t>Retail</t>
        </is>
      </c>
      <c r="E40" s="7" t="n">
        <v>177400</v>
      </c>
    </row>
    <row r="41">
      <c r="A41" s="6" t="n">
        <v>45940</v>
      </c>
      <c r="B41" t="inlineStr">
        <is>
          <t>East</t>
        </is>
      </c>
      <c r="C41" t="inlineStr">
        <is>
          <t>Furniture</t>
        </is>
      </c>
      <c r="D41" t="inlineStr">
        <is>
          <t>Retail</t>
        </is>
      </c>
      <c r="E41" s="7" t="n">
        <v>112900</v>
      </c>
    </row>
    <row r="42">
      <c r="A42" s="6" t="n">
        <v>45945</v>
      </c>
      <c r="B42" t="inlineStr">
        <is>
          <t>North</t>
        </is>
      </c>
      <c r="C42" t="inlineStr">
        <is>
          <t>Electronics</t>
        </is>
      </c>
      <c r="D42" t="inlineStr">
        <is>
          <t>Retail</t>
        </is>
      </c>
      <c r="E42" s="7" t="n">
        <v>187900</v>
      </c>
    </row>
    <row r="43">
      <c r="A43" s="6" t="n">
        <v>45952</v>
      </c>
      <c r="B43" t="inlineStr">
        <is>
          <t>East</t>
        </is>
      </c>
      <c r="C43" t="inlineStr">
        <is>
          <t>Electronics</t>
        </is>
      </c>
      <c r="D43" t="inlineStr">
        <is>
          <t>Online</t>
        </is>
      </c>
      <c r="E43" s="7" t="n">
        <v>77400</v>
      </c>
    </row>
    <row r="44">
      <c r="A44" s="6" t="n">
        <v>45953</v>
      </c>
      <c r="B44" t="inlineStr">
        <is>
          <t>West</t>
        </is>
      </c>
      <c r="C44" t="inlineStr">
        <is>
          <t>Electronics</t>
        </is>
      </c>
      <c r="D44" t="inlineStr">
        <is>
          <t>Retail</t>
        </is>
      </c>
      <c r="E44" s="7" t="n">
        <v>69000</v>
      </c>
    </row>
    <row r="45">
      <c r="A45" s="6" t="n">
        <v>45957</v>
      </c>
      <c r="B45" t="inlineStr">
        <is>
          <t>West</t>
        </is>
      </c>
      <c r="C45" t="inlineStr">
        <is>
          <t>Appliances</t>
        </is>
      </c>
      <c r="D45" t="inlineStr">
        <is>
          <t>Retail</t>
        </is>
      </c>
      <c r="E45" s="7" t="n">
        <v>154300</v>
      </c>
    </row>
    <row r="46">
      <c r="A46" s="6" t="n">
        <v>45959</v>
      </c>
      <c r="B46" t="inlineStr">
        <is>
          <t>East</t>
        </is>
      </c>
      <c r="C46" t="inlineStr">
        <is>
          <t>Furniture</t>
        </is>
      </c>
      <c r="D46" t="inlineStr">
        <is>
          <t>Retail</t>
        </is>
      </c>
      <c r="E46" s="7" t="n">
        <v>175100</v>
      </c>
    </row>
    <row r="47">
      <c r="A47" s="6" t="n">
        <v>45962</v>
      </c>
      <c r="B47" t="inlineStr">
        <is>
          <t>North</t>
        </is>
      </c>
      <c r="C47" t="inlineStr">
        <is>
          <t>Appliances</t>
        </is>
      </c>
      <c r="D47" t="inlineStr">
        <is>
          <t>Online</t>
        </is>
      </c>
      <c r="E47" s="7" t="n">
        <v>223600</v>
      </c>
    </row>
    <row r="48">
      <c r="A48" s="6" t="n">
        <v>45963</v>
      </c>
      <c r="B48" t="inlineStr">
        <is>
          <t>West</t>
        </is>
      </c>
      <c r="C48" t="inlineStr">
        <is>
          <t>Appliances</t>
        </is>
      </c>
      <c r="D48" t="inlineStr">
        <is>
          <t>Online</t>
        </is>
      </c>
      <c r="E48" s="7" t="n">
        <v>19600</v>
      </c>
    </row>
    <row r="49">
      <c r="A49" s="6" t="n">
        <v>45965</v>
      </c>
      <c r="B49" t="inlineStr">
        <is>
          <t>North</t>
        </is>
      </c>
      <c r="C49" t="inlineStr">
        <is>
          <t>Electronics</t>
        </is>
      </c>
      <c r="D49" t="inlineStr">
        <is>
          <t>Retail</t>
        </is>
      </c>
      <c r="E49" s="7" t="n">
        <v>52400</v>
      </c>
    </row>
    <row r="50">
      <c r="A50" s="6" t="n">
        <v>45966</v>
      </c>
      <c r="B50" t="inlineStr">
        <is>
          <t>West</t>
        </is>
      </c>
      <c r="C50" t="inlineStr">
        <is>
          <t>Electronics</t>
        </is>
      </c>
      <c r="D50" t="inlineStr">
        <is>
          <t>Retail</t>
        </is>
      </c>
      <c r="E50" s="7" t="n">
        <v>119100</v>
      </c>
    </row>
    <row r="51">
      <c r="A51" s="6" t="n">
        <v>45971</v>
      </c>
      <c r="B51" t="inlineStr">
        <is>
          <t>North</t>
        </is>
      </c>
      <c r="C51" t="inlineStr">
        <is>
          <t>Furniture</t>
        </is>
      </c>
      <c r="D51" t="inlineStr">
        <is>
          <t>Online</t>
        </is>
      </c>
      <c r="E51" s="7" t="n">
        <v>115500</v>
      </c>
    </row>
    <row r="52">
      <c r="A52" s="6" t="n">
        <v>45987</v>
      </c>
      <c r="B52" t="inlineStr">
        <is>
          <t>South</t>
        </is>
      </c>
      <c r="C52" t="inlineStr">
        <is>
          <t>Appliances</t>
        </is>
      </c>
      <c r="D52" t="inlineStr">
        <is>
          <t>Retail</t>
        </is>
      </c>
      <c r="E52" s="7" t="n">
        <v>183400</v>
      </c>
    </row>
    <row r="53">
      <c r="A53" s="6" t="n">
        <v>45995</v>
      </c>
      <c r="B53" t="inlineStr">
        <is>
          <t>West</t>
        </is>
      </c>
      <c r="C53" t="inlineStr">
        <is>
          <t>Electronics</t>
        </is>
      </c>
      <c r="D53" t="inlineStr">
        <is>
          <t>Online</t>
        </is>
      </c>
      <c r="E53" s="7" t="n">
        <v>104400</v>
      </c>
    </row>
    <row r="54">
      <c r="A54" s="6" t="n">
        <v>45996</v>
      </c>
      <c r="B54" t="inlineStr">
        <is>
          <t>South</t>
        </is>
      </c>
      <c r="C54" t="inlineStr">
        <is>
          <t>Appliances</t>
        </is>
      </c>
      <c r="D54" t="inlineStr">
        <is>
          <t>Retail</t>
        </is>
      </c>
      <c r="E54" s="7" t="n">
        <v>208700</v>
      </c>
    </row>
    <row r="55">
      <c r="A55" s="6" t="n">
        <v>45997</v>
      </c>
      <c r="B55" t="inlineStr">
        <is>
          <t>North</t>
        </is>
      </c>
      <c r="C55" t="inlineStr">
        <is>
          <t>Electronics</t>
        </is>
      </c>
      <c r="D55" t="inlineStr">
        <is>
          <t>Online</t>
        </is>
      </c>
      <c r="E55" s="7" t="n">
        <v>220200</v>
      </c>
    </row>
    <row r="56">
      <c r="A56" s="6" t="n">
        <v>46004</v>
      </c>
      <c r="B56" t="inlineStr">
        <is>
          <t>West</t>
        </is>
      </c>
      <c r="C56" t="inlineStr">
        <is>
          <t>Furniture</t>
        </is>
      </c>
      <c r="D56" t="inlineStr">
        <is>
          <t>Retail</t>
        </is>
      </c>
      <c r="E56" s="7" t="n">
        <v>44500</v>
      </c>
    </row>
    <row r="57">
      <c r="A57" s="6" t="n">
        <v>46007</v>
      </c>
      <c r="B57" t="inlineStr">
        <is>
          <t>West</t>
        </is>
      </c>
      <c r="C57" t="inlineStr">
        <is>
          <t>Appliances</t>
        </is>
      </c>
      <c r="D57" t="inlineStr">
        <is>
          <t>Retail</t>
        </is>
      </c>
      <c r="E57" s="7" t="n">
        <v>185100</v>
      </c>
    </row>
    <row r="58">
      <c r="A58" s="6" t="n">
        <v>46008</v>
      </c>
      <c r="B58" t="inlineStr">
        <is>
          <t>East</t>
        </is>
      </c>
      <c r="C58" t="inlineStr">
        <is>
          <t>Electronics</t>
        </is>
      </c>
      <c r="D58" t="inlineStr">
        <is>
          <t>Retail</t>
        </is>
      </c>
      <c r="E58" s="7" t="n">
        <v>48000</v>
      </c>
    </row>
    <row r="59">
      <c r="A59" s="6" t="n">
        <v>46011</v>
      </c>
      <c r="B59" t="inlineStr">
        <is>
          <t>West</t>
        </is>
      </c>
      <c r="C59" t="inlineStr">
        <is>
          <t>Appliances</t>
        </is>
      </c>
      <c r="D59" t="inlineStr">
        <is>
          <t>Online</t>
        </is>
      </c>
      <c r="E59" s="7" t="n">
        <v>21800</v>
      </c>
    </row>
    <row r="60">
      <c r="A60" s="6" t="n">
        <v>46015</v>
      </c>
      <c r="B60" t="inlineStr">
        <is>
          <t>West</t>
        </is>
      </c>
      <c r="C60" t="inlineStr">
        <is>
          <t>Furniture</t>
        </is>
      </c>
      <c r="D60" t="inlineStr">
        <is>
          <t>Online</t>
        </is>
      </c>
      <c r="E60" s="7" t="n">
        <v>120300</v>
      </c>
    </row>
    <row r="61">
      <c r="A61" s="6" t="n">
        <v>46018</v>
      </c>
      <c r="B61" t="inlineStr">
        <is>
          <t>North</t>
        </is>
      </c>
      <c r="C61" t="inlineStr">
        <is>
          <t>Furniture</t>
        </is>
      </c>
      <c r="D61" t="inlineStr">
        <is>
          <t>Online</t>
        </is>
      </c>
      <c r="E61" s="7" t="n">
        <v>132500</v>
      </c>
    </row>
    <row r="62">
      <c r="A62" s="6" t="n">
        <v>46023</v>
      </c>
      <c r="B62" t="inlineStr">
        <is>
          <t>West</t>
        </is>
      </c>
      <c r="C62" t="inlineStr">
        <is>
          <t>Furniture</t>
        </is>
      </c>
      <c r="D62" t="inlineStr">
        <is>
          <t>Retail</t>
        </is>
      </c>
      <c r="E62" s="7" t="n">
        <v>245700</v>
      </c>
    </row>
    <row r="63">
      <c r="A63" s="6" t="n">
        <v>46042</v>
      </c>
      <c r="B63" t="inlineStr">
        <is>
          <t>North</t>
        </is>
      </c>
      <c r="C63" t="inlineStr">
        <is>
          <t>Furniture</t>
        </is>
      </c>
      <c r="D63" t="inlineStr">
        <is>
          <t>Online</t>
        </is>
      </c>
      <c r="E63" s="7" t="n">
        <v>104600</v>
      </c>
    </row>
    <row r="64">
      <c r="A64" s="6" t="n">
        <v>46047</v>
      </c>
      <c r="B64" t="inlineStr">
        <is>
          <t>West</t>
        </is>
      </c>
      <c r="C64" t="inlineStr">
        <is>
          <t>Furniture</t>
        </is>
      </c>
      <c r="D64" t="inlineStr">
        <is>
          <t>Online</t>
        </is>
      </c>
      <c r="E64" s="7" t="n">
        <v>174700</v>
      </c>
    </row>
    <row r="65">
      <c r="A65" s="6" t="n">
        <v>46052</v>
      </c>
      <c r="B65" t="inlineStr">
        <is>
          <t>East</t>
        </is>
      </c>
      <c r="C65" t="inlineStr">
        <is>
          <t>Appliances</t>
        </is>
      </c>
      <c r="D65" t="inlineStr">
        <is>
          <t>Retail</t>
        </is>
      </c>
      <c r="E65" s="7" t="n">
        <v>109300</v>
      </c>
    </row>
    <row r="66">
      <c r="A66" s="6" t="n">
        <v>46053</v>
      </c>
      <c r="B66" t="inlineStr">
        <is>
          <t>South</t>
        </is>
      </c>
      <c r="C66" t="inlineStr">
        <is>
          <t>Electronics</t>
        </is>
      </c>
      <c r="D66" t="inlineStr">
        <is>
          <t>Retail</t>
        </is>
      </c>
      <c r="E66" s="7" t="n">
        <v>160100</v>
      </c>
    </row>
    <row r="67">
      <c r="A67" s="6" t="n">
        <v>46054</v>
      </c>
      <c r="B67" t="inlineStr">
        <is>
          <t>South</t>
        </is>
      </c>
      <c r="C67" t="inlineStr">
        <is>
          <t>Furniture</t>
        </is>
      </c>
      <c r="D67" t="inlineStr">
        <is>
          <t>Retail</t>
        </is>
      </c>
      <c r="E67" s="7" t="n">
        <v>52000</v>
      </c>
    </row>
    <row r="68">
      <c r="A68" s="6" t="n">
        <v>46055</v>
      </c>
      <c r="B68" t="inlineStr">
        <is>
          <t>South</t>
        </is>
      </c>
      <c r="C68" t="inlineStr">
        <is>
          <t>Appliances</t>
        </is>
      </c>
      <c r="D68" t="inlineStr">
        <is>
          <t>Online</t>
        </is>
      </c>
      <c r="E68" s="7" t="n">
        <v>158400</v>
      </c>
    </row>
    <row r="69">
      <c r="A69" s="6" t="n">
        <v>46058</v>
      </c>
      <c r="B69" t="inlineStr">
        <is>
          <t>South</t>
        </is>
      </c>
      <c r="C69" t="inlineStr">
        <is>
          <t>Furniture</t>
        </is>
      </c>
      <c r="D69" t="inlineStr">
        <is>
          <t>Online</t>
        </is>
      </c>
      <c r="E69" s="7" t="n">
        <v>15700</v>
      </c>
    </row>
    <row r="70">
      <c r="A70" s="6" t="n">
        <v>46065</v>
      </c>
      <c r="B70" t="inlineStr">
        <is>
          <t>North</t>
        </is>
      </c>
      <c r="C70" t="inlineStr">
        <is>
          <t>Furniture</t>
        </is>
      </c>
      <c r="D70" t="inlineStr">
        <is>
          <t>Retail</t>
        </is>
      </c>
      <c r="E70" s="7" t="n">
        <v>177500</v>
      </c>
    </row>
    <row r="71">
      <c r="A71" s="6" t="n">
        <v>46074</v>
      </c>
      <c r="B71" t="inlineStr">
        <is>
          <t>West</t>
        </is>
      </c>
      <c r="C71" t="inlineStr">
        <is>
          <t>Electronics</t>
        </is>
      </c>
      <c r="D71" t="inlineStr">
        <is>
          <t>Retail</t>
        </is>
      </c>
      <c r="E71" s="7" t="n">
        <v>86200</v>
      </c>
    </row>
    <row r="72">
      <c r="A72" s="6" t="n">
        <v>46076</v>
      </c>
      <c r="B72" t="inlineStr">
        <is>
          <t>North</t>
        </is>
      </c>
      <c r="C72" t="inlineStr">
        <is>
          <t>Appliances</t>
        </is>
      </c>
      <c r="D72" t="inlineStr">
        <is>
          <t>Online</t>
        </is>
      </c>
      <c r="E72" s="7" t="n">
        <v>81000</v>
      </c>
    </row>
    <row r="73">
      <c r="A73" s="6" t="n">
        <v>46088</v>
      </c>
      <c r="B73" t="inlineStr">
        <is>
          <t>West</t>
        </is>
      </c>
      <c r="C73" t="inlineStr">
        <is>
          <t>Appliances</t>
        </is>
      </c>
      <c r="D73" t="inlineStr">
        <is>
          <t>Retail</t>
        </is>
      </c>
      <c r="E73" s="7" t="n">
        <v>103800</v>
      </c>
    </row>
    <row r="74">
      <c r="A74" s="6" t="n">
        <v>46089</v>
      </c>
      <c r="B74" t="inlineStr">
        <is>
          <t>North</t>
        </is>
      </c>
      <c r="C74" t="inlineStr">
        <is>
          <t>Appliances</t>
        </is>
      </c>
      <c r="D74" t="inlineStr">
        <is>
          <t>Online</t>
        </is>
      </c>
      <c r="E74" s="7" t="n">
        <v>247200</v>
      </c>
    </row>
    <row r="75">
      <c r="A75" s="6" t="n">
        <v>46090</v>
      </c>
      <c r="B75" t="inlineStr">
        <is>
          <t>North</t>
        </is>
      </c>
      <c r="C75" t="inlineStr">
        <is>
          <t>Furniture</t>
        </is>
      </c>
      <c r="D75" t="inlineStr">
        <is>
          <t>Retail</t>
        </is>
      </c>
      <c r="E75" s="7" t="n">
        <v>25600</v>
      </c>
    </row>
    <row r="76">
      <c r="A76" s="6" t="n">
        <v>46092</v>
      </c>
      <c r="B76" t="inlineStr">
        <is>
          <t>West</t>
        </is>
      </c>
      <c r="C76" t="inlineStr">
        <is>
          <t>Appliances</t>
        </is>
      </c>
      <c r="D76" t="inlineStr">
        <is>
          <t>Online</t>
        </is>
      </c>
      <c r="E76" s="7" t="n">
        <v>117100</v>
      </c>
    </row>
    <row r="77">
      <c r="A77" s="6" t="n">
        <v>46097</v>
      </c>
      <c r="B77" t="inlineStr">
        <is>
          <t>East</t>
        </is>
      </c>
      <c r="C77" t="inlineStr">
        <is>
          <t>Appliances</t>
        </is>
      </c>
      <c r="D77" t="inlineStr">
        <is>
          <t>Retail</t>
        </is>
      </c>
      <c r="E77" s="7" t="n">
        <v>91700</v>
      </c>
    </row>
    <row r="78">
      <c r="A78" s="6" t="n">
        <v>46097</v>
      </c>
      <c r="B78" t="inlineStr">
        <is>
          <t>West</t>
        </is>
      </c>
      <c r="C78" t="inlineStr">
        <is>
          <t>Appliances</t>
        </is>
      </c>
      <c r="D78" t="inlineStr">
        <is>
          <t>Retail</t>
        </is>
      </c>
      <c r="E78" s="7" t="n">
        <v>151000</v>
      </c>
    </row>
    <row r="79">
      <c r="A79" s="6" t="n">
        <v>46105</v>
      </c>
      <c r="B79" t="inlineStr">
        <is>
          <t>South</t>
        </is>
      </c>
      <c r="C79" t="inlineStr">
        <is>
          <t>Furniture</t>
        </is>
      </c>
      <c r="D79" t="inlineStr">
        <is>
          <t>Online</t>
        </is>
      </c>
      <c r="E79" s="7" t="n">
        <v>84300</v>
      </c>
    </row>
    <row r="80">
      <c r="A80" s="6" t="n">
        <v>46109</v>
      </c>
      <c r="B80" t="inlineStr">
        <is>
          <t>North</t>
        </is>
      </c>
      <c r="C80" t="inlineStr">
        <is>
          <t>Furniture</t>
        </is>
      </c>
      <c r="D80" t="inlineStr">
        <is>
          <t>Retail</t>
        </is>
      </c>
      <c r="E80" s="7" t="n">
        <v>238200</v>
      </c>
    </row>
    <row r="81">
      <c r="A81" s="6" t="n">
        <v>46112</v>
      </c>
      <c r="B81" t="inlineStr">
        <is>
          <t>West</t>
        </is>
      </c>
      <c r="C81" t="inlineStr">
        <is>
          <t>Electronics</t>
        </is>
      </c>
      <c r="D81" t="inlineStr">
        <is>
          <t>Online</t>
        </is>
      </c>
      <c r="E81" s="7" t="n">
        <v>196800</v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8" customWidth="1" min="3" max="3"/>
    <col width="12" customWidth="1" min="4" max="4"/>
    <col width="14" customWidth="1" min="5" max="5"/>
    <col width="58" customWidth="1" min="6" max="6"/>
    <col width="11" customWidth="1" min="7" max="7"/>
    <col width="16" customWidth="1" min="8" max="8"/>
    <col width="10" customWidth="1" min="9" max="9"/>
  </cols>
  <sheetData>
    <row r="1">
      <c r="A1" s="3" t="inlineStr">
        <is>
          <t>Ticket ID</t>
        </is>
      </c>
      <c r="B1" s="3" t="inlineStr">
        <is>
          <t>Date</t>
        </is>
      </c>
      <c r="C1" s="3" t="inlineStr">
        <is>
          <t>Customer</t>
        </is>
      </c>
      <c r="D1" s="3" t="inlineStr">
        <is>
          <t>City</t>
        </is>
      </c>
      <c r="E1" s="3" t="inlineStr">
        <is>
          <t>State</t>
        </is>
      </c>
      <c r="F1" s="3" t="inlineStr">
        <is>
          <t>Feedback</t>
        </is>
      </c>
    </row>
    <row r="2">
      <c r="A2" t="inlineStr">
        <is>
          <t>TKT-1001</t>
        </is>
      </c>
      <c r="B2" t="inlineStr">
        <is>
          <t>03/04/2025</t>
        </is>
      </c>
      <c r="C2" t="inlineStr">
        <is>
          <t>ramesh iyer</t>
        </is>
      </c>
      <c r="D2" t="inlineStr">
        <is>
          <t>Chennai</t>
        </is>
      </c>
      <c r="E2" t="inlineStr">
        <is>
          <t>TN</t>
        </is>
      </c>
      <c r="F2" s="13" t="inlineStr">
        <is>
          <t>Delivery came 4 days late for order OD45821, no update from your side.</t>
        </is>
      </c>
    </row>
    <row r="3">
      <c r="A3" t="inlineStr">
        <is>
          <t>TKT-1002</t>
        </is>
      </c>
      <c r="B3" t="inlineStr">
        <is>
          <t>2025-04-07</t>
        </is>
      </c>
      <c r="C3" t="inlineStr">
        <is>
          <t>PRIYA SHARMA</t>
        </is>
      </c>
      <c r="D3" t="inlineStr">
        <is>
          <t>Pune</t>
        </is>
      </c>
      <c r="E3" t="inlineStr">
        <is>
          <t>MH</t>
        </is>
      </c>
      <c r="F3" s="13" t="inlineStr">
        <is>
          <t>Very happy with the mixer grinder, works nicely. Thank you!</t>
        </is>
      </c>
    </row>
    <row r="4">
      <c r="A4" t="inlineStr">
        <is>
          <t>TKT-1003</t>
        </is>
      </c>
      <c r="B4" t="inlineStr">
        <is>
          <t>12 Apr 2025</t>
        </is>
      </c>
      <c r="C4" t="inlineStr">
        <is>
          <t>Anil Kumar</t>
        </is>
      </c>
      <c r="D4" t="inlineStr">
        <is>
          <t>Bengaluru</t>
        </is>
      </c>
      <c r="E4" t="inlineStr">
        <is>
          <t xml:space="preserve">Karnataka </t>
        </is>
      </c>
      <c r="F4" s="13" t="inlineStr">
        <is>
          <t>I was charged twice for order OD45907. Kindly refund the extra amount.</t>
        </is>
      </c>
    </row>
    <row r="5">
      <c r="A5" t="inlineStr">
        <is>
          <t>TKT-1004</t>
        </is>
      </c>
      <c r="B5" t="inlineStr">
        <is>
          <t>15.04.2025</t>
        </is>
      </c>
      <c r="C5" t="inlineStr">
        <is>
          <t>sunita reddy</t>
        </is>
      </c>
      <c r="D5" t="inlineStr">
        <is>
          <t>Hyderabad</t>
        </is>
      </c>
      <c r="E5" t="inlineStr">
        <is>
          <t>Telangana</t>
        </is>
      </c>
      <c r="F5" s="13" t="inlineStr">
        <is>
          <t>Delivery boy was polite and on time.</t>
        </is>
      </c>
    </row>
    <row r="6">
      <c r="A6" t="inlineStr">
        <is>
          <t>TKT-1005</t>
        </is>
      </c>
      <c r="B6" t="inlineStr">
        <is>
          <t>Apr 18, 2025</t>
        </is>
      </c>
      <c r="C6" t="inlineStr">
        <is>
          <t>Mohd. Arif</t>
        </is>
      </c>
      <c r="D6" t="inlineStr">
        <is>
          <t>Lucknow</t>
        </is>
      </c>
      <c r="E6" t="inlineStr">
        <is>
          <t>U.P.</t>
        </is>
      </c>
      <c r="F6" s="13" t="inlineStr">
        <is>
          <t>App keeps logging me out when I try to pay. Please fix.</t>
        </is>
      </c>
    </row>
    <row r="7">
      <c r="A7" t="inlineStr">
        <is>
          <t>TKT-1006</t>
        </is>
      </c>
      <c r="B7" t="inlineStr">
        <is>
          <t>21-04-25</t>
        </is>
      </c>
      <c r="C7" t="inlineStr">
        <is>
          <t>Kavita Joshi</t>
        </is>
      </c>
      <c r="D7" t="inlineStr">
        <is>
          <t>Mumbai</t>
        </is>
      </c>
      <c r="E7" t="inlineStr">
        <is>
          <t>maharashtra</t>
        </is>
      </c>
      <c r="F7" s="13" t="inlineStr">
        <is>
          <t>Order OD46012 received. Packaging okay, product as described.</t>
        </is>
      </c>
    </row>
    <row r="8">
      <c r="A8" t="inlineStr">
        <is>
          <t>TKT-1007</t>
        </is>
      </c>
      <c r="B8" t="inlineStr">
        <is>
          <t>02/05/2025</t>
        </is>
      </c>
      <c r="C8" t="inlineStr">
        <is>
          <t>deepak  singh</t>
        </is>
      </c>
      <c r="D8" t="inlineStr">
        <is>
          <t>New Delhi</t>
        </is>
      </c>
      <c r="E8" t="inlineStr">
        <is>
          <t>Delhi NCR</t>
        </is>
      </c>
      <c r="F8" s="13" t="inlineStr">
        <is>
          <t>Customer care kept me on hold for 40 minutes, very poor service.</t>
        </is>
      </c>
    </row>
    <row r="9">
      <c r="A9" t="inlineStr">
        <is>
          <t>TKT-1008</t>
        </is>
      </c>
      <c r="B9" t="inlineStr">
        <is>
          <t>2025-05-06</t>
        </is>
      </c>
      <c r="C9" t="inlineStr">
        <is>
          <t>Lakshmi Narayanan</t>
        </is>
      </c>
      <c r="D9" t="inlineStr">
        <is>
          <t>Coimbatore</t>
        </is>
      </c>
      <c r="E9" t="inlineStr">
        <is>
          <t>Tamilnadu</t>
        </is>
      </c>
      <c r="F9" s="13" t="inlineStr">
        <is>
          <t>Pressure cooker lid does not fit properly, want replacement for OD46188.</t>
        </is>
      </c>
    </row>
    <row r="10">
      <c r="A10" t="inlineStr">
        <is>
          <t>TKT-1009</t>
        </is>
      </c>
      <c r="B10" t="inlineStr">
        <is>
          <t>9 May 2025</t>
        </is>
      </c>
      <c r="C10" t="inlineStr">
        <is>
          <t>Ritu Agarwal</t>
        </is>
      </c>
      <c r="D10" t="inlineStr">
        <is>
          <t>Jaipur</t>
        </is>
      </c>
      <c r="E10" t="inlineStr">
        <is>
          <t>RJ</t>
        </is>
      </c>
      <c r="F10" s="13" t="inlineStr">
        <is>
          <t>Got the invoice with wrong GSTIN, please send corrected copy.</t>
        </is>
      </c>
    </row>
    <row r="11">
      <c r="A11" t="inlineStr">
        <is>
          <t>TKT-1010</t>
        </is>
      </c>
      <c r="B11" t="inlineStr">
        <is>
          <t>13.05.2025</t>
        </is>
      </c>
      <c r="C11" t="inlineStr">
        <is>
          <t>Sandeep Patil</t>
        </is>
      </c>
      <c r="D11" t="inlineStr">
        <is>
          <t>Nagpur</t>
        </is>
      </c>
      <c r="E11" t="inlineStr">
        <is>
          <t>Maharastra</t>
        </is>
      </c>
      <c r="F11" s="13" t="inlineStr">
        <is>
          <t>Fast delivery, even before the promised date. Good job.</t>
        </is>
      </c>
    </row>
    <row r="12">
      <c r="A12" t="inlineStr">
        <is>
          <t>TKT-1011</t>
        </is>
      </c>
      <c r="B12" t="inlineStr">
        <is>
          <t>May 16, 2025</t>
        </is>
      </c>
      <c r="C12" t="inlineStr">
        <is>
          <t>ANJALI MENON</t>
        </is>
      </c>
      <c r="D12" t="inlineStr">
        <is>
          <t>Kochi</t>
        </is>
      </c>
      <c r="E12" t="inlineStr">
        <is>
          <t>Kerala</t>
        </is>
      </c>
      <c r="F12" s="13" t="inlineStr">
        <is>
          <t>Website shows in stock but order OD46340 got cancelled. Not done.</t>
        </is>
      </c>
    </row>
    <row r="13">
      <c r="A13" t="inlineStr">
        <is>
          <t>TKT-1012</t>
        </is>
      </c>
      <c r="B13" t="inlineStr">
        <is>
          <t>20-05-25</t>
        </is>
      </c>
      <c r="C13" t="inlineStr">
        <is>
          <t>Gaurav Bansal</t>
        </is>
      </c>
      <c r="D13" t="inlineStr">
        <is>
          <t>Gurgaon</t>
        </is>
      </c>
      <c r="E13" t="inlineStr">
        <is>
          <t>HR</t>
        </is>
      </c>
      <c r="F13" s="13" t="inlineStr">
        <is>
          <t>Refund received within 3 days. Satisfied.</t>
        </is>
      </c>
    </row>
    <row r="14">
      <c r="A14" t="inlineStr">
        <is>
          <t>TKT-1013</t>
        </is>
      </c>
      <c r="B14" t="inlineStr">
        <is>
          <t>01/06/2025</t>
        </is>
      </c>
      <c r="C14" t="inlineStr">
        <is>
          <t>neha kapoor</t>
        </is>
      </c>
      <c r="D14" t="inlineStr">
        <is>
          <t>Chandigarh</t>
        </is>
      </c>
      <c r="E14" t="inlineStr">
        <is>
          <t>Punjab</t>
        </is>
      </c>
      <c r="F14" s="13" t="inlineStr">
        <is>
          <t>Product is fine but the colour is slightly different from the photo.</t>
        </is>
      </c>
    </row>
    <row r="15">
      <c r="A15" t="inlineStr">
        <is>
          <t>TKT-1014</t>
        </is>
      </c>
      <c r="B15" t="inlineStr">
        <is>
          <t>2025-06-04</t>
        </is>
      </c>
      <c r="C15" t="inlineStr">
        <is>
          <t>Suresh Babu</t>
        </is>
      </c>
      <c r="D15" t="inlineStr">
        <is>
          <t>Vizag</t>
        </is>
      </c>
      <c r="E15" t="inlineStr">
        <is>
          <t>AP</t>
        </is>
      </c>
      <c r="F15" s="13" t="inlineStr">
        <is>
          <t>Installation person did not turn up on the given slot for OD46511.</t>
        </is>
      </c>
    </row>
    <row r="16">
      <c r="A16" t="inlineStr">
        <is>
          <t>TKT-1015</t>
        </is>
      </c>
      <c r="B16" t="inlineStr">
        <is>
          <t>8 Jun 2025</t>
        </is>
      </c>
      <c r="C16" t="inlineStr">
        <is>
          <t>Farah Khan</t>
        </is>
      </c>
      <c r="D16" t="inlineStr">
        <is>
          <t>Kolkata</t>
        </is>
      </c>
      <c r="E16" t="inlineStr">
        <is>
          <t>W.B.</t>
        </is>
      </c>
      <c r="F16" s="13" t="inlineStr">
        <is>
          <t>Delivery was fine. Nothing special.</t>
        </is>
      </c>
    </row>
    <row r="17">
      <c r="A17" t="inlineStr">
        <is>
          <t>TKT-1016</t>
        </is>
      </c>
      <c r="B17" t="inlineStr">
        <is>
          <t>11.06.2025</t>
        </is>
      </c>
      <c r="C17" t="inlineStr">
        <is>
          <t>Manoj Tiwari</t>
        </is>
      </c>
      <c r="D17" t="inlineStr">
        <is>
          <t>Bhopal</t>
        </is>
      </c>
      <c r="E17" t="inlineStr">
        <is>
          <t>MP</t>
        </is>
      </c>
      <c r="F17" s="13" t="inlineStr">
        <is>
          <t>Executive Ms. Shalini solved my issue in one call, very helpful.</t>
        </is>
      </c>
    </row>
    <row r="18">
      <c r="A18" t="inlineStr">
        <is>
          <t>TKT-1017</t>
        </is>
      </c>
      <c r="B18" t="inlineStr">
        <is>
          <t>Jun 14, 2025</t>
        </is>
      </c>
      <c r="C18" t="inlineStr">
        <is>
          <t>harish gowda</t>
        </is>
      </c>
      <c r="D18" t="inlineStr">
        <is>
          <t>Mysuru</t>
        </is>
      </c>
      <c r="E18" t="inlineStr">
        <is>
          <t>KA</t>
        </is>
      </c>
      <c r="F18" s="13" t="inlineStr">
        <is>
          <t>Water purifier OD46702 stopped working in a week. Pathetic quality.</t>
        </is>
      </c>
    </row>
    <row r="19">
      <c r="A19" t="inlineStr">
        <is>
          <t>TKT-1018</t>
        </is>
      </c>
      <c r="B19" t="inlineStr">
        <is>
          <t>18-06-25</t>
        </is>
      </c>
      <c r="C19" t="inlineStr">
        <is>
          <t>Pooja Mishra</t>
        </is>
      </c>
      <c r="D19" t="inlineStr">
        <is>
          <t>Patna</t>
        </is>
      </c>
      <c r="E19" t="inlineStr">
        <is>
          <t>Bihar</t>
        </is>
      </c>
      <c r="F19" s="13" t="inlineStr">
        <is>
          <t>Can you deliver to my office address next time?</t>
        </is>
      </c>
    </row>
    <row r="20">
      <c r="A20" t="inlineStr">
        <is>
          <t>TKT-1019</t>
        </is>
      </c>
      <c r="B20" t="inlineStr">
        <is>
          <t>22/06/2025</t>
        </is>
      </c>
      <c r="C20" t="inlineStr">
        <is>
          <t>Vivek Chauhan</t>
        </is>
      </c>
      <c r="D20" t="inlineStr">
        <is>
          <t>Ahmedabad</t>
        </is>
      </c>
      <c r="E20" t="inlineStr">
        <is>
          <t>GJ</t>
        </is>
      </c>
      <c r="F20" s="13" t="inlineStr">
        <is>
          <t>Coupon code not applied at checkout, paid full price.</t>
        </is>
      </c>
    </row>
    <row r="21">
      <c r="A21" t="inlineStr">
        <is>
          <t>TKT-1020</t>
        </is>
      </c>
      <c r="B21" t="inlineStr">
        <is>
          <t>2025-06-25</t>
        </is>
      </c>
      <c r="C21" t="inlineStr">
        <is>
          <t>Shalini Das</t>
        </is>
      </c>
      <c r="D21" t="inlineStr">
        <is>
          <t>Bhubaneswar</t>
        </is>
      </c>
      <c r="E21" t="inlineStr">
        <is>
          <t>Orissa</t>
        </is>
      </c>
      <c r="F21" s="13" t="inlineStr">
        <is>
          <t>Good quality, reasonable price. Will order again.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8" customWidth="1" min="3" max="3"/>
    <col width="12" customWidth="1" min="4" max="4"/>
    <col width="14" customWidth="1" min="5" max="5"/>
    <col width="58" customWidth="1" min="6" max="6"/>
    <col width="11" customWidth="1" min="7" max="7"/>
    <col width="16" customWidth="1" min="8" max="8"/>
    <col width="10" customWidth="1" min="9" max="9"/>
  </cols>
  <sheetData>
    <row r="1">
      <c r="A1" s="3" t="inlineStr">
        <is>
          <t>Ticket ID</t>
        </is>
      </c>
      <c r="B1" s="3" t="inlineStr">
        <is>
          <t>Date</t>
        </is>
      </c>
      <c r="C1" s="3" t="inlineStr">
        <is>
          <t>Customer</t>
        </is>
      </c>
      <c r="D1" s="3" t="inlineStr">
        <is>
          <t>City</t>
        </is>
      </c>
      <c r="E1" s="3" t="inlineStr">
        <is>
          <t>State</t>
        </is>
      </c>
      <c r="F1" s="3" t="inlineStr">
        <is>
          <t>Feedback</t>
        </is>
      </c>
      <c r="G1" s="3" t="inlineStr">
        <is>
          <t>Sentiment</t>
        </is>
      </c>
      <c r="H1" s="3" t="inlineStr">
        <is>
          <t>Issue</t>
        </is>
      </c>
      <c r="I1" s="3" t="inlineStr">
        <is>
          <t>Order No</t>
        </is>
      </c>
    </row>
    <row r="2">
      <c r="A2" t="inlineStr">
        <is>
          <t>TKT-1001</t>
        </is>
      </c>
      <c r="B2" s="6" t="n">
        <v>45750</v>
      </c>
      <c r="C2" t="inlineStr">
        <is>
          <t>Ramesh Iyer</t>
        </is>
      </c>
      <c r="D2" t="inlineStr">
        <is>
          <t>Chennai</t>
        </is>
      </c>
      <c r="E2" t="inlineStr">
        <is>
          <t>Tamil Nadu</t>
        </is>
      </c>
      <c r="F2" s="13" t="inlineStr">
        <is>
          <t>Delivery came 4 days late for order OD45821, no update from your side.</t>
        </is>
      </c>
      <c r="G2" t="inlineStr">
        <is>
          <t>Negative</t>
        </is>
      </c>
      <c r="H2" t="inlineStr">
        <is>
          <t>Delivery</t>
        </is>
      </c>
      <c r="I2" t="inlineStr">
        <is>
          <t>OD45821</t>
        </is>
      </c>
    </row>
    <row r="3">
      <c r="A3" t="inlineStr">
        <is>
          <t>TKT-1002</t>
        </is>
      </c>
      <c r="B3" s="6" t="n">
        <v>45754</v>
      </c>
      <c r="C3" t="inlineStr">
        <is>
          <t>Priya Sharma</t>
        </is>
      </c>
      <c r="D3" t="inlineStr">
        <is>
          <t>Pune</t>
        </is>
      </c>
      <c r="E3" t="inlineStr">
        <is>
          <t>Maharashtra</t>
        </is>
      </c>
      <c r="F3" s="13" t="inlineStr">
        <is>
          <t>Very happy with the mixer grinder, works nicely. Thank you!</t>
        </is>
      </c>
      <c r="G3" t="inlineStr">
        <is>
          <t>Positive</t>
        </is>
      </c>
      <c r="H3" t="inlineStr">
        <is>
          <t>Product quality</t>
        </is>
      </c>
    </row>
    <row r="4">
      <c r="A4" t="inlineStr">
        <is>
          <t>TKT-1003</t>
        </is>
      </c>
      <c r="B4" s="6" t="n">
        <v>45759</v>
      </c>
      <c r="C4" t="inlineStr">
        <is>
          <t>Anil Kumar</t>
        </is>
      </c>
      <c r="D4" t="inlineStr">
        <is>
          <t>Bengaluru</t>
        </is>
      </c>
      <c r="E4" t="inlineStr">
        <is>
          <t>Karnataka</t>
        </is>
      </c>
      <c r="F4" s="13" t="inlineStr">
        <is>
          <t>I was charged twice for order OD45907. Kindly refund the extra amount.</t>
        </is>
      </c>
      <c r="G4" t="inlineStr">
        <is>
          <t>Negative</t>
        </is>
      </c>
      <c r="H4" t="inlineStr">
        <is>
          <t>Billing</t>
        </is>
      </c>
      <c r="I4" t="inlineStr">
        <is>
          <t>OD45907</t>
        </is>
      </c>
    </row>
    <row r="5">
      <c r="A5" t="inlineStr">
        <is>
          <t>TKT-1004</t>
        </is>
      </c>
      <c r="B5" s="6" t="n">
        <v>45762</v>
      </c>
      <c r="C5" t="inlineStr">
        <is>
          <t>Sunita Reddy</t>
        </is>
      </c>
      <c r="D5" t="inlineStr">
        <is>
          <t>Hyderabad</t>
        </is>
      </c>
      <c r="E5" t="inlineStr">
        <is>
          <t>Telangana</t>
        </is>
      </c>
      <c r="F5" s="13" t="inlineStr">
        <is>
          <t>Delivery boy was polite and on time.</t>
        </is>
      </c>
      <c r="G5" t="inlineStr">
        <is>
          <t>Positive</t>
        </is>
      </c>
      <c r="H5" t="inlineStr">
        <is>
          <t>Delivery</t>
        </is>
      </c>
    </row>
    <row r="6">
      <c r="A6" t="inlineStr">
        <is>
          <t>TKT-1005</t>
        </is>
      </c>
      <c r="B6" s="6" t="n">
        <v>45765</v>
      </c>
      <c r="C6" t="inlineStr">
        <is>
          <t>Mohd. Arif</t>
        </is>
      </c>
      <c r="D6" t="inlineStr">
        <is>
          <t>Lucknow</t>
        </is>
      </c>
      <c r="E6" t="inlineStr">
        <is>
          <t>Uttar Pradesh</t>
        </is>
      </c>
      <c r="F6" s="13" t="inlineStr">
        <is>
          <t>App keeps logging me out when I try to pay. Please fix.</t>
        </is>
      </c>
      <c r="G6" t="inlineStr">
        <is>
          <t>Negative</t>
        </is>
      </c>
      <c r="H6" t="inlineStr">
        <is>
          <t>App or website</t>
        </is>
      </c>
    </row>
    <row r="7">
      <c r="A7" t="inlineStr">
        <is>
          <t>TKT-1006</t>
        </is>
      </c>
      <c r="B7" s="6" t="n">
        <v>45768</v>
      </c>
      <c r="C7" t="inlineStr">
        <is>
          <t>Kavita Joshi</t>
        </is>
      </c>
      <c r="D7" t="inlineStr">
        <is>
          <t>Mumbai</t>
        </is>
      </c>
      <c r="E7" t="inlineStr">
        <is>
          <t>Maharashtra</t>
        </is>
      </c>
      <c r="F7" s="13" t="inlineStr">
        <is>
          <t>Order OD46012 received. Packaging okay, product as described.</t>
        </is>
      </c>
      <c r="G7" t="inlineStr">
        <is>
          <t>Neutral</t>
        </is>
      </c>
      <c r="H7" t="inlineStr">
        <is>
          <t>Product quality</t>
        </is>
      </c>
      <c r="I7" t="inlineStr">
        <is>
          <t>OD46012</t>
        </is>
      </c>
    </row>
    <row r="8">
      <c r="A8" t="inlineStr">
        <is>
          <t>TKT-1007</t>
        </is>
      </c>
      <c r="B8" s="6" t="n">
        <v>45779</v>
      </c>
      <c r="C8" t="inlineStr">
        <is>
          <t>Deepak Singh</t>
        </is>
      </c>
      <c r="D8" t="inlineStr">
        <is>
          <t>New Delhi</t>
        </is>
      </c>
      <c r="E8" t="inlineStr">
        <is>
          <t>Delhi</t>
        </is>
      </c>
      <c r="F8" s="13" t="inlineStr">
        <is>
          <t>Customer care kept me on hold for 40 minutes, very poor service.</t>
        </is>
      </c>
      <c r="G8" t="inlineStr">
        <is>
          <t>Negative</t>
        </is>
      </c>
      <c r="H8" t="inlineStr">
        <is>
          <t>Customer service</t>
        </is>
      </c>
    </row>
    <row r="9">
      <c r="A9" t="inlineStr">
        <is>
          <t>TKT-1008</t>
        </is>
      </c>
      <c r="B9" s="6" t="n">
        <v>45783</v>
      </c>
      <c r="C9" t="inlineStr">
        <is>
          <t>Lakshmi Narayanan</t>
        </is>
      </c>
      <c r="D9" t="inlineStr">
        <is>
          <t>Coimbatore</t>
        </is>
      </c>
      <c r="E9" t="inlineStr">
        <is>
          <t>Tamil Nadu</t>
        </is>
      </c>
      <c r="F9" s="13" t="inlineStr">
        <is>
          <t>Pressure cooker lid does not fit properly, want replacement for OD46188.</t>
        </is>
      </c>
      <c r="G9" t="inlineStr">
        <is>
          <t>Negative</t>
        </is>
      </c>
      <c r="H9" t="inlineStr">
        <is>
          <t>Product quality</t>
        </is>
      </c>
      <c r="I9" t="inlineStr">
        <is>
          <t>OD46188</t>
        </is>
      </c>
    </row>
    <row r="10">
      <c r="A10" t="inlineStr">
        <is>
          <t>TKT-1009</t>
        </is>
      </c>
      <c r="B10" s="6" t="n">
        <v>45786</v>
      </c>
      <c r="C10" t="inlineStr">
        <is>
          <t>Ritu Agarwal</t>
        </is>
      </c>
      <c r="D10" t="inlineStr">
        <is>
          <t>Jaipur</t>
        </is>
      </c>
      <c r="E10" t="inlineStr">
        <is>
          <t>Rajasthan</t>
        </is>
      </c>
      <c r="F10" s="13" t="inlineStr">
        <is>
          <t>Got the invoice with wrong GSTIN, please send corrected copy.</t>
        </is>
      </c>
      <c r="G10" t="inlineStr">
        <is>
          <t>Negative</t>
        </is>
      </c>
      <c r="H10" t="inlineStr">
        <is>
          <t>Billing</t>
        </is>
      </c>
    </row>
    <row r="11">
      <c r="A11" t="inlineStr">
        <is>
          <t>TKT-1010</t>
        </is>
      </c>
      <c r="B11" s="6" t="n">
        <v>45790</v>
      </c>
      <c r="C11" t="inlineStr">
        <is>
          <t>Sandeep Patil</t>
        </is>
      </c>
      <c r="D11" t="inlineStr">
        <is>
          <t>Nagpur</t>
        </is>
      </c>
      <c r="E11" t="inlineStr">
        <is>
          <t>Maharashtra</t>
        </is>
      </c>
      <c r="F11" s="13" t="inlineStr">
        <is>
          <t>Fast delivery, even before the promised date. Good job.</t>
        </is>
      </c>
      <c r="G11" t="inlineStr">
        <is>
          <t>Positive</t>
        </is>
      </c>
      <c r="H11" t="inlineStr">
        <is>
          <t>Delivery</t>
        </is>
      </c>
    </row>
    <row r="12">
      <c r="A12" t="inlineStr">
        <is>
          <t>TKT-1011</t>
        </is>
      </c>
      <c r="B12" s="6" t="n">
        <v>45793</v>
      </c>
      <c r="C12" t="inlineStr">
        <is>
          <t>Anjali Menon</t>
        </is>
      </c>
      <c r="D12" t="inlineStr">
        <is>
          <t>Kochi</t>
        </is>
      </c>
      <c r="E12" t="inlineStr">
        <is>
          <t>Kerala</t>
        </is>
      </c>
      <c r="F12" s="13" t="inlineStr">
        <is>
          <t>Website shows in stock but order OD46340 got cancelled. Not done.</t>
        </is>
      </c>
      <c r="G12" t="inlineStr">
        <is>
          <t>Negative</t>
        </is>
      </c>
      <c r="H12" t="inlineStr">
        <is>
          <t>App or website</t>
        </is>
      </c>
      <c r="I12" t="inlineStr">
        <is>
          <t>OD46340</t>
        </is>
      </c>
    </row>
    <row r="13">
      <c r="A13" t="inlineStr">
        <is>
          <t>TKT-1012</t>
        </is>
      </c>
      <c r="B13" s="6" t="n">
        <v>45797</v>
      </c>
      <c r="C13" t="inlineStr">
        <is>
          <t>Gaurav Bansal</t>
        </is>
      </c>
      <c r="D13" t="inlineStr">
        <is>
          <t>Gurgaon</t>
        </is>
      </c>
      <c r="E13" t="inlineStr">
        <is>
          <t>Haryana</t>
        </is>
      </c>
      <c r="F13" s="13" t="inlineStr">
        <is>
          <t>Refund received within 3 days. Satisfied.</t>
        </is>
      </c>
      <c r="G13" t="inlineStr">
        <is>
          <t>Positive</t>
        </is>
      </c>
      <c r="H13" t="inlineStr">
        <is>
          <t>Billing</t>
        </is>
      </c>
    </row>
    <row r="14">
      <c r="A14" t="inlineStr">
        <is>
          <t>TKT-1013</t>
        </is>
      </c>
      <c r="B14" s="6" t="n">
        <v>45809</v>
      </c>
      <c r="C14" t="inlineStr">
        <is>
          <t>Neha Kapoor</t>
        </is>
      </c>
      <c r="D14" t="inlineStr">
        <is>
          <t>Chandigarh</t>
        </is>
      </c>
      <c r="E14" t="inlineStr">
        <is>
          <t>Punjab</t>
        </is>
      </c>
      <c r="F14" s="13" t="inlineStr">
        <is>
          <t>Product is fine but the colour is slightly different from the photo.</t>
        </is>
      </c>
      <c r="G14" t="inlineStr">
        <is>
          <t>Neutral</t>
        </is>
      </c>
      <c r="H14" t="inlineStr">
        <is>
          <t>Product quality</t>
        </is>
      </c>
    </row>
    <row r="15">
      <c r="A15" t="inlineStr">
        <is>
          <t>TKT-1014</t>
        </is>
      </c>
      <c r="B15" s="6" t="n">
        <v>45812</v>
      </c>
      <c r="C15" t="inlineStr">
        <is>
          <t>Suresh Babu</t>
        </is>
      </c>
      <c r="D15" t="inlineStr">
        <is>
          <t>Vizag</t>
        </is>
      </c>
      <c r="E15" t="inlineStr">
        <is>
          <t>Andhra Pradesh</t>
        </is>
      </c>
      <c r="F15" s="13" t="inlineStr">
        <is>
          <t>Installation person did not turn up on the given slot for OD46511.</t>
        </is>
      </c>
      <c r="G15" t="inlineStr">
        <is>
          <t>Negative</t>
        </is>
      </c>
      <c r="H15" t="inlineStr">
        <is>
          <t>Customer service</t>
        </is>
      </c>
      <c r="I15" t="inlineStr">
        <is>
          <t>OD46511</t>
        </is>
      </c>
    </row>
    <row r="16">
      <c r="A16" t="inlineStr">
        <is>
          <t>TKT-1015</t>
        </is>
      </c>
      <c r="B16" s="6" t="n">
        <v>45816</v>
      </c>
      <c r="C16" t="inlineStr">
        <is>
          <t>Farah Khan</t>
        </is>
      </c>
      <c r="D16" t="inlineStr">
        <is>
          <t>Kolkata</t>
        </is>
      </c>
      <c r="E16" t="inlineStr">
        <is>
          <t>West Bengal</t>
        </is>
      </c>
      <c r="F16" s="13" t="inlineStr">
        <is>
          <t>Delivery was fine. Nothing special.</t>
        </is>
      </c>
      <c r="G16" t="inlineStr">
        <is>
          <t>Neutral</t>
        </is>
      </c>
      <c r="H16" t="inlineStr">
        <is>
          <t>Delivery</t>
        </is>
      </c>
    </row>
    <row r="17">
      <c r="A17" t="inlineStr">
        <is>
          <t>TKT-1016</t>
        </is>
      </c>
      <c r="B17" s="6" t="n">
        <v>45819</v>
      </c>
      <c r="C17" t="inlineStr">
        <is>
          <t>Manoj Tiwari</t>
        </is>
      </c>
      <c r="D17" t="inlineStr">
        <is>
          <t>Bhopal</t>
        </is>
      </c>
      <c r="E17" t="inlineStr">
        <is>
          <t>Madhya Pradesh</t>
        </is>
      </c>
      <c r="F17" s="13" t="inlineStr">
        <is>
          <t>Executive Ms. Shalini solved my issue in one call, very helpful.</t>
        </is>
      </c>
      <c r="G17" t="inlineStr">
        <is>
          <t>Positive</t>
        </is>
      </c>
      <c r="H17" t="inlineStr">
        <is>
          <t>Customer service</t>
        </is>
      </c>
    </row>
    <row r="18">
      <c r="A18" t="inlineStr">
        <is>
          <t>TKT-1017</t>
        </is>
      </c>
      <c r="B18" s="6" t="n">
        <v>45822</v>
      </c>
      <c r="C18" t="inlineStr">
        <is>
          <t>Harish Gowda</t>
        </is>
      </c>
      <c r="D18" t="inlineStr">
        <is>
          <t>Mysuru</t>
        </is>
      </c>
      <c r="E18" t="inlineStr">
        <is>
          <t>Karnataka</t>
        </is>
      </c>
      <c r="F18" s="13" t="inlineStr">
        <is>
          <t>Water purifier OD46702 stopped working in a week. Pathetic quality.</t>
        </is>
      </c>
      <c r="G18" t="inlineStr">
        <is>
          <t>Negative</t>
        </is>
      </c>
      <c r="H18" t="inlineStr">
        <is>
          <t>Product quality</t>
        </is>
      </c>
      <c r="I18" t="inlineStr">
        <is>
          <t>OD46702</t>
        </is>
      </c>
    </row>
    <row r="19">
      <c r="A19" t="inlineStr">
        <is>
          <t>TKT-1018</t>
        </is>
      </c>
      <c r="B19" s="6" t="n">
        <v>45826</v>
      </c>
      <c r="C19" t="inlineStr">
        <is>
          <t>Pooja Mishra</t>
        </is>
      </c>
      <c r="D19" t="inlineStr">
        <is>
          <t>Patna</t>
        </is>
      </c>
      <c r="E19" t="inlineStr">
        <is>
          <t>Bihar</t>
        </is>
      </c>
      <c r="F19" s="13" t="inlineStr">
        <is>
          <t>Can you deliver to my office address next time?</t>
        </is>
      </c>
      <c r="G19" t="inlineStr">
        <is>
          <t>Neutral</t>
        </is>
      </c>
      <c r="H19" t="inlineStr">
        <is>
          <t>Other</t>
        </is>
      </c>
    </row>
    <row r="20">
      <c r="A20" t="inlineStr">
        <is>
          <t>TKT-1019</t>
        </is>
      </c>
      <c r="B20" s="6" t="n">
        <v>45830</v>
      </c>
      <c r="C20" t="inlineStr">
        <is>
          <t>Vivek Chauhan</t>
        </is>
      </c>
      <c r="D20" t="inlineStr">
        <is>
          <t>Ahmedabad</t>
        </is>
      </c>
      <c r="E20" t="inlineStr">
        <is>
          <t>Gujarat</t>
        </is>
      </c>
      <c r="F20" s="13" t="inlineStr">
        <is>
          <t>Coupon code not applied at checkout, paid full price.</t>
        </is>
      </c>
      <c r="G20" t="inlineStr">
        <is>
          <t>Negative</t>
        </is>
      </c>
      <c r="H20" t="inlineStr">
        <is>
          <t>Billing</t>
        </is>
      </c>
    </row>
    <row r="21">
      <c r="A21" t="inlineStr">
        <is>
          <t>TKT-1020</t>
        </is>
      </c>
      <c r="B21" s="6" t="n">
        <v>45833</v>
      </c>
      <c r="C21" t="inlineStr">
        <is>
          <t>Shalini Das</t>
        </is>
      </c>
      <c r="D21" t="inlineStr">
        <is>
          <t>Bhubaneswar</t>
        </is>
      </c>
      <c r="E21" t="inlineStr">
        <is>
          <t>Odisha</t>
        </is>
      </c>
      <c r="F21" s="13" t="inlineStr">
        <is>
          <t>Good quality, reasonable price. Will order again.</t>
        </is>
      </c>
      <c r="G21" t="inlineStr">
        <is>
          <t>Positive</t>
        </is>
      </c>
      <c r="H21" t="inlineStr">
        <is>
          <t>Product quality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15" customWidth="1" min="3" max="3"/>
    <col width="12" customWidth="1" min="5" max="5"/>
    <col width="13" customWidth="1" min="6" max="6"/>
    <col width="8" customWidth="1" min="7" max="7"/>
    <col width="12" customWidth="1" min="8" max="8"/>
    <col width="22" customWidth="1" min="10" max="10"/>
  </cols>
  <sheetData>
    <row r="1">
      <c r="A1" s="3" t="inlineStr">
        <is>
          <t>Month</t>
        </is>
      </c>
      <c r="B1" s="3" t="inlineStr">
        <is>
          <t>Revenue</t>
        </is>
      </c>
      <c r="C1" s="3" t="inlineStr">
        <is>
          <t>Marketing spend</t>
        </is>
      </c>
      <c r="E1" s="3" t="inlineStr">
        <is>
          <t>Customer ID</t>
        </is>
      </c>
      <c r="F1" s="3" t="inlineStr">
        <is>
          <t>Annual spend</t>
        </is>
      </c>
      <c r="G1" s="3" t="inlineStr">
        <is>
          <t>Orders</t>
        </is>
      </c>
      <c r="H1" s="3" t="inlineStr">
        <is>
          <t>Days since last order</t>
        </is>
      </c>
      <c r="J1" s="4" t="inlineStr">
        <is>
          <t>Hand check: average monthly revenue, last 12 months</t>
        </is>
      </c>
    </row>
    <row r="2">
      <c r="A2" s="9" t="n">
        <v>45017</v>
      </c>
      <c r="B2" s="7" t="n">
        <v>3281000</v>
      </c>
      <c r="C2" s="7" t="n">
        <v>293000</v>
      </c>
      <c r="E2" t="inlineStr">
        <is>
          <t>C-316</t>
        </is>
      </c>
      <c r="F2" s="7" t="n">
        <v>863000</v>
      </c>
      <c r="G2" t="n">
        <v>35</v>
      </c>
      <c r="H2" t="n">
        <v>19</v>
      </c>
      <c r="J2" s="5" t="n"/>
    </row>
    <row r="3">
      <c r="A3" s="9" t="n">
        <v>45047</v>
      </c>
      <c r="B3" s="7" t="n">
        <v>3273000</v>
      </c>
      <c r="C3" s="7" t="n">
        <v>290000</v>
      </c>
      <c r="E3" t="inlineStr">
        <is>
          <t>C-323</t>
        </is>
      </c>
      <c r="F3" s="7" t="n">
        <v>222000</v>
      </c>
      <c r="G3" t="n">
        <v>7</v>
      </c>
      <c r="H3" t="n">
        <v>48</v>
      </c>
    </row>
    <row r="4">
      <c r="A4" s="9" t="n">
        <v>45078</v>
      </c>
      <c r="B4" s="7" t="n">
        <v>2933000</v>
      </c>
      <c r="C4" s="7" t="n">
        <v>205000</v>
      </c>
      <c r="E4" t="inlineStr">
        <is>
          <t>C-305</t>
        </is>
      </c>
      <c r="F4" s="7" t="n">
        <v>176000</v>
      </c>
      <c r="G4" t="n">
        <v>11</v>
      </c>
      <c r="H4" t="n">
        <v>50</v>
      </c>
    </row>
    <row r="5">
      <c r="A5" s="9" t="n">
        <v>45108</v>
      </c>
      <c r="B5" s="7" t="n">
        <v>3157000</v>
      </c>
      <c r="C5" s="7" t="n">
        <v>207000</v>
      </c>
      <c r="E5" t="inlineStr">
        <is>
          <t>C-317</t>
        </is>
      </c>
      <c r="F5" s="7" t="n">
        <v>205000</v>
      </c>
      <c r="G5" t="n">
        <v>10</v>
      </c>
      <c r="H5" t="n">
        <v>44</v>
      </c>
    </row>
    <row r="6">
      <c r="A6" s="9" t="n">
        <v>45139</v>
      </c>
      <c r="B6" s="7" t="n">
        <v>3513000</v>
      </c>
      <c r="C6" s="7" t="n">
        <v>269000</v>
      </c>
      <c r="E6" t="inlineStr">
        <is>
          <t>C-320</t>
        </is>
      </c>
      <c r="F6" s="7" t="n">
        <v>183000</v>
      </c>
      <c r="G6" t="n">
        <v>10</v>
      </c>
      <c r="H6" t="n">
        <v>42</v>
      </c>
    </row>
    <row r="7">
      <c r="A7" s="9" t="n">
        <v>45170</v>
      </c>
      <c r="B7" s="7" t="n">
        <v>3664000</v>
      </c>
      <c r="C7" s="7" t="n">
        <v>311000</v>
      </c>
      <c r="E7" t="inlineStr">
        <is>
          <t>C-308</t>
        </is>
      </c>
      <c r="F7" s="7" t="n">
        <v>240000</v>
      </c>
      <c r="G7" t="n">
        <v>8</v>
      </c>
      <c r="H7" t="n">
        <v>64</v>
      </c>
    </row>
    <row r="8">
      <c r="A8" s="9" t="n">
        <v>45200</v>
      </c>
      <c r="B8" s="7" t="n">
        <v>4232000</v>
      </c>
      <c r="C8" s="7" t="n">
        <v>278000</v>
      </c>
      <c r="E8" t="inlineStr">
        <is>
          <t>C-303</t>
        </is>
      </c>
      <c r="F8" s="7" t="n">
        <v>88000</v>
      </c>
      <c r="G8" t="n">
        <v>4</v>
      </c>
      <c r="H8" t="n">
        <v>220</v>
      </c>
    </row>
    <row r="9">
      <c r="A9" s="9" t="n">
        <v>45231</v>
      </c>
      <c r="B9" s="7" t="n">
        <v>4299000</v>
      </c>
      <c r="C9" s="7" t="n">
        <v>292000</v>
      </c>
      <c r="E9" t="inlineStr">
        <is>
          <t>C-312</t>
        </is>
      </c>
      <c r="F9" s="7" t="n">
        <v>83000</v>
      </c>
      <c r="G9" t="n">
        <v>1</v>
      </c>
      <c r="H9" t="n">
        <v>289</v>
      </c>
    </row>
    <row r="10">
      <c r="A10" s="9" t="n">
        <v>45261</v>
      </c>
      <c r="B10" s="7" t="n">
        <v>3733000</v>
      </c>
      <c r="C10" s="7" t="n">
        <v>251000</v>
      </c>
      <c r="E10" t="inlineStr">
        <is>
          <t>C-309</t>
        </is>
      </c>
      <c r="F10" s="7" t="n">
        <v>97000</v>
      </c>
      <c r="G10" t="n">
        <v>5</v>
      </c>
      <c r="H10" t="n">
        <v>263</v>
      </c>
    </row>
    <row r="11">
      <c r="A11" s="9" t="n">
        <v>45292</v>
      </c>
      <c r="B11" s="7" t="n">
        <v>3718000</v>
      </c>
      <c r="C11" s="7" t="n">
        <v>251000</v>
      </c>
      <c r="E11" t="inlineStr">
        <is>
          <t>C-302</t>
        </is>
      </c>
      <c r="F11" s="7" t="n">
        <v>126000</v>
      </c>
      <c r="G11" t="n">
        <v>12</v>
      </c>
      <c r="H11" t="n">
        <v>70</v>
      </c>
    </row>
    <row r="12">
      <c r="A12" s="9" t="n">
        <v>45323</v>
      </c>
      <c r="B12" s="7" t="n">
        <v>3723000</v>
      </c>
      <c r="C12" s="7" t="n">
        <v>240000</v>
      </c>
      <c r="E12" t="inlineStr">
        <is>
          <t>C-304</t>
        </is>
      </c>
      <c r="F12" s="7" t="n">
        <v>491000</v>
      </c>
      <c r="G12" t="n">
        <v>33</v>
      </c>
      <c r="H12" t="n">
        <v>20</v>
      </c>
    </row>
    <row r="13">
      <c r="A13" s="9" t="n">
        <v>45352</v>
      </c>
      <c r="B13" s="7" t="n">
        <v>4321000</v>
      </c>
      <c r="C13" s="7" t="n">
        <v>300000</v>
      </c>
      <c r="E13" t="inlineStr">
        <is>
          <t>C-318</t>
        </is>
      </c>
      <c r="F13" s="7" t="n">
        <v>80000</v>
      </c>
      <c r="G13" t="n">
        <v>3</v>
      </c>
      <c r="H13" t="n">
        <v>286</v>
      </c>
    </row>
    <row r="14">
      <c r="A14" s="9" t="n">
        <v>45383</v>
      </c>
      <c r="B14" s="7" t="n">
        <v>4092000</v>
      </c>
      <c r="C14" s="7" t="n">
        <v>258000</v>
      </c>
      <c r="E14" t="inlineStr">
        <is>
          <t>C-322</t>
        </is>
      </c>
      <c r="F14" s="7" t="n">
        <v>626000</v>
      </c>
      <c r="G14" t="n">
        <v>36</v>
      </c>
      <c r="H14" t="n">
        <v>13</v>
      </c>
    </row>
    <row r="15">
      <c r="A15" s="9" t="n">
        <v>45413</v>
      </c>
      <c r="B15" s="7" t="n">
        <v>3928000</v>
      </c>
      <c r="C15" s="7" t="n">
        <v>352000</v>
      </c>
      <c r="E15" t="inlineStr">
        <is>
          <t>C-327</t>
        </is>
      </c>
      <c r="F15" s="7" t="n">
        <v>57000</v>
      </c>
      <c r="G15" t="n">
        <v>1</v>
      </c>
      <c r="H15" t="n">
        <v>153</v>
      </c>
    </row>
    <row r="16">
      <c r="A16" s="9" t="n">
        <v>45444</v>
      </c>
      <c r="B16" s="7" t="n">
        <v>3656000</v>
      </c>
      <c r="C16" s="7" t="n">
        <v>228000</v>
      </c>
      <c r="E16" t="inlineStr">
        <is>
          <t>C-324</t>
        </is>
      </c>
      <c r="F16" s="7" t="n">
        <v>46000</v>
      </c>
      <c r="G16" t="n">
        <v>3</v>
      </c>
      <c r="H16" t="n">
        <v>273</v>
      </c>
    </row>
    <row r="17">
      <c r="A17" s="9" t="n">
        <v>45474</v>
      </c>
      <c r="B17" s="7" t="n">
        <v>3897000</v>
      </c>
      <c r="C17" s="7" t="n">
        <v>268000</v>
      </c>
      <c r="E17" t="inlineStr">
        <is>
          <t>C-319</t>
        </is>
      </c>
      <c r="F17" s="7" t="n">
        <v>812000</v>
      </c>
      <c r="G17" t="n">
        <v>20</v>
      </c>
      <c r="H17" t="n">
        <v>15</v>
      </c>
    </row>
    <row r="18">
      <c r="A18" s="9" t="n">
        <v>45505</v>
      </c>
      <c r="B18" s="7" t="n">
        <v>4143000</v>
      </c>
      <c r="C18" s="7" t="n">
        <v>323000</v>
      </c>
      <c r="E18" t="inlineStr">
        <is>
          <t>C-329</t>
        </is>
      </c>
      <c r="F18" s="7" t="n">
        <v>183000</v>
      </c>
      <c r="G18" t="n">
        <v>13</v>
      </c>
      <c r="H18" t="n">
        <v>67</v>
      </c>
    </row>
    <row r="19">
      <c r="A19" s="9" t="n">
        <v>45536</v>
      </c>
      <c r="B19" s="7" t="n">
        <v>4124000</v>
      </c>
      <c r="C19" s="7" t="n">
        <v>262000</v>
      </c>
      <c r="E19" t="inlineStr">
        <is>
          <t>C-328</t>
        </is>
      </c>
      <c r="F19" s="7" t="n">
        <v>613000</v>
      </c>
      <c r="G19" t="n">
        <v>24</v>
      </c>
      <c r="H19" t="n">
        <v>21</v>
      </c>
    </row>
    <row r="20">
      <c r="A20" s="9" t="n">
        <v>45566</v>
      </c>
      <c r="B20" s="7" t="n">
        <v>5052000</v>
      </c>
      <c r="C20" s="7" t="n">
        <v>389000</v>
      </c>
      <c r="E20" t="inlineStr">
        <is>
          <t>C-314</t>
        </is>
      </c>
      <c r="F20" s="7" t="n">
        <v>256000</v>
      </c>
      <c r="G20" t="n">
        <v>13</v>
      </c>
      <c r="H20" t="n">
        <v>83</v>
      </c>
    </row>
    <row r="21">
      <c r="A21" s="9" t="n">
        <v>45597</v>
      </c>
      <c r="B21" s="7" t="n">
        <v>5381000</v>
      </c>
      <c r="C21" s="7" t="n">
        <v>422000</v>
      </c>
      <c r="E21" t="inlineStr">
        <is>
          <t>C-311</t>
        </is>
      </c>
      <c r="F21" s="7" t="n">
        <v>161000</v>
      </c>
      <c r="G21" t="n">
        <v>6</v>
      </c>
      <c r="H21" t="n">
        <v>83</v>
      </c>
    </row>
    <row r="22">
      <c r="A22" s="9" t="n">
        <v>45627</v>
      </c>
      <c r="B22" s="7" t="n">
        <v>4598000</v>
      </c>
      <c r="C22" s="7" t="n">
        <v>369000</v>
      </c>
      <c r="E22" t="inlineStr">
        <is>
          <t>C-307</t>
        </is>
      </c>
      <c r="F22" s="7" t="n">
        <v>614000</v>
      </c>
      <c r="G22" t="n">
        <v>24</v>
      </c>
      <c r="H22" t="n">
        <v>16</v>
      </c>
    </row>
    <row r="23">
      <c r="A23" s="9" t="n">
        <v>45658</v>
      </c>
      <c r="B23" s="7" t="n">
        <v>4482000</v>
      </c>
      <c r="C23" s="7" t="n">
        <v>293000</v>
      </c>
      <c r="E23" t="inlineStr">
        <is>
          <t>C-306</t>
        </is>
      </c>
      <c r="F23" s="7" t="n">
        <v>59000</v>
      </c>
      <c r="G23" t="n">
        <v>5</v>
      </c>
      <c r="H23" t="n">
        <v>250</v>
      </c>
    </row>
    <row r="24">
      <c r="A24" s="9" t="n">
        <v>45689</v>
      </c>
      <c r="B24" s="7" t="n">
        <v>4553000</v>
      </c>
      <c r="C24" s="7" t="n">
        <v>279000</v>
      </c>
      <c r="E24" t="inlineStr">
        <is>
          <t>C-301</t>
        </is>
      </c>
      <c r="F24" s="7" t="n">
        <v>756000</v>
      </c>
      <c r="G24" t="n">
        <v>25</v>
      </c>
      <c r="H24" t="n">
        <v>17</v>
      </c>
    </row>
    <row r="25">
      <c r="A25" s="9" t="n">
        <v>45717</v>
      </c>
      <c r="B25" s="7" t="n">
        <v>5509000</v>
      </c>
      <c r="C25" s="7" t="n">
        <v>430000</v>
      </c>
      <c r="E25" t="inlineStr">
        <is>
          <t>C-310</t>
        </is>
      </c>
      <c r="F25" s="7" t="n">
        <v>832000</v>
      </c>
      <c r="G25" t="n">
        <v>25</v>
      </c>
      <c r="H25" t="n">
        <v>23</v>
      </c>
    </row>
    <row r="26">
      <c r="A26" s="9" t="n">
        <v>45748</v>
      </c>
      <c r="B26" s="7" t="n">
        <v>5015000</v>
      </c>
      <c r="C26" s="7" t="n">
        <v>391000</v>
      </c>
      <c r="E26" t="inlineStr">
        <is>
          <t>C-326</t>
        </is>
      </c>
      <c r="F26" s="7" t="n">
        <v>253000</v>
      </c>
      <c r="G26" t="n">
        <v>6</v>
      </c>
      <c r="H26" t="n">
        <v>41</v>
      </c>
    </row>
    <row r="27">
      <c r="A27" s="9" t="n">
        <v>45778</v>
      </c>
      <c r="B27" s="7" t="n">
        <v>4814000</v>
      </c>
      <c r="C27" s="7" t="n">
        <v>302000</v>
      </c>
      <c r="E27" t="inlineStr">
        <is>
          <t>C-321</t>
        </is>
      </c>
      <c r="F27" s="7" t="n">
        <v>32000</v>
      </c>
      <c r="G27" t="n">
        <v>4</v>
      </c>
      <c r="H27" t="n">
        <v>153</v>
      </c>
    </row>
    <row r="28">
      <c r="A28" s="9" t="n">
        <v>45809</v>
      </c>
      <c r="B28" s="7" t="n">
        <v>4749000</v>
      </c>
      <c r="C28" s="7" t="n">
        <v>326000</v>
      </c>
      <c r="E28" t="inlineStr">
        <is>
          <t>C-315</t>
        </is>
      </c>
      <c r="F28" s="7" t="n">
        <v>52000</v>
      </c>
      <c r="G28" t="n">
        <v>5</v>
      </c>
      <c r="H28" t="n">
        <v>280</v>
      </c>
    </row>
    <row r="29">
      <c r="A29" s="9" t="n">
        <v>45839</v>
      </c>
      <c r="B29" s="7" t="n">
        <v>4701000</v>
      </c>
      <c r="C29" s="7" t="n">
        <v>414000</v>
      </c>
      <c r="E29" t="inlineStr">
        <is>
          <t>C-325</t>
        </is>
      </c>
      <c r="F29" s="7" t="n">
        <v>627000</v>
      </c>
      <c r="G29" t="n">
        <v>23</v>
      </c>
      <c r="H29" t="n">
        <v>17</v>
      </c>
    </row>
    <row r="30">
      <c r="A30" s="9" t="n">
        <v>45870</v>
      </c>
      <c r="B30" s="7" t="n">
        <v>5114000</v>
      </c>
      <c r="C30" s="7" t="n">
        <v>311000</v>
      </c>
      <c r="E30" t="inlineStr">
        <is>
          <t>C-330</t>
        </is>
      </c>
      <c r="F30" s="7" t="n">
        <v>92000</v>
      </c>
      <c r="G30" t="n">
        <v>3</v>
      </c>
      <c r="H30" t="n">
        <v>250</v>
      </c>
    </row>
    <row r="31">
      <c r="A31" s="9" t="n">
        <v>45901</v>
      </c>
      <c r="B31" s="7" t="n">
        <v>5390000</v>
      </c>
      <c r="C31" s="7" t="n">
        <v>377000</v>
      </c>
      <c r="E31" t="inlineStr">
        <is>
          <t>C-313</t>
        </is>
      </c>
      <c r="F31" s="7" t="n">
        <v>572000</v>
      </c>
      <c r="G31" t="n">
        <v>22</v>
      </c>
      <c r="H31" t="n">
        <v>8</v>
      </c>
    </row>
    <row r="32">
      <c r="A32" s="9" t="n">
        <v>45931</v>
      </c>
      <c r="B32" s="7" t="n">
        <v>6675000</v>
      </c>
      <c r="C32" s="7" t="n">
        <v>481000</v>
      </c>
    </row>
    <row r="33">
      <c r="A33" s="9" t="n">
        <v>45962</v>
      </c>
      <c r="B33" s="7" t="n">
        <v>6821000</v>
      </c>
      <c r="C33" s="7" t="n">
        <v>574000</v>
      </c>
    </row>
    <row r="34">
      <c r="A34" s="9" t="n">
        <v>45992</v>
      </c>
      <c r="B34" s="7" t="n">
        <v>5660000</v>
      </c>
      <c r="C34" s="7" t="n">
        <v>419000</v>
      </c>
    </row>
    <row r="35">
      <c r="A35" s="9" t="n">
        <v>46023</v>
      </c>
      <c r="B35" s="7" t="n">
        <v>5927000</v>
      </c>
      <c r="C35" s="7" t="n">
        <v>446000</v>
      </c>
    </row>
    <row r="36">
      <c r="A36" s="9" t="n">
        <v>46054</v>
      </c>
      <c r="B36" s="7" t="n">
        <v>5827000</v>
      </c>
      <c r="C36" s="7" t="n">
        <v>363000</v>
      </c>
    </row>
    <row r="37">
      <c r="A37" s="9" t="n">
        <v>46082</v>
      </c>
      <c r="B37" s="7" t="n">
        <v>6720000</v>
      </c>
      <c r="C37" s="7" t="n">
        <v>504000</v>
      </c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15" customWidth="1" min="3" max="3"/>
    <col width="12" customWidth="1" min="5" max="5"/>
    <col width="13" customWidth="1" min="6" max="6"/>
    <col width="8" customWidth="1" min="7" max="7"/>
    <col width="12" customWidth="1" min="8" max="8"/>
    <col width="22" customWidth="1" min="10" max="10"/>
  </cols>
  <sheetData>
    <row r="1">
      <c r="A1" s="3" t="inlineStr">
        <is>
          <t>Month</t>
        </is>
      </c>
      <c r="B1" s="3" t="inlineStr">
        <is>
          <t>Revenue</t>
        </is>
      </c>
      <c r="C1" s="3" t="inlineStr">
        <is>
          <t>Marketing spend</t>
        </is>
      </c>
      <c r="E1" s="3" t="inlineStr">
        <is>
          <t>Customer ID</t>
        </is>
      </c>
      <c r="F1" s="3" t="inlineStr">
        <is>
          <t>Annual spend</t>
        </is>
      </c>
      <c r="G1" s="3" t="inlineStr">
        <is>
          <t>Orders</t>
        </is>
      </c>
      <c r="H1" s="3" t="inlineStr">
        <is>
          <t>Days since last order</t>
        </is>
      </c>
      <c r="J1" s="4" t="inlineStr">
        <is>
          <t>Hand check: average monthly revenue, last 12 months</t>
        </is>
      </c>
    </row>
    <row r="2">
      <c r="A2" s="9" t="n">
        <v>45017</v>
      </c>
      <c r="B2" s="7" t="n">
        <v>3281000</v>
      </c>
      <c r="C2" s="7" t="n">
        <v>293000</v>
      </c>
      <c r="E2" t="inlineStr">
        <is>
          <t>C-316</t>
        </is>
      </c>
      <c r="F2" s="7" t="n">
        <v>863000</v>
      </c>
      <c r="G2" t="n">
        <v>35</v>
      </c>
      <c r="H2" t="n">
        <v>19</v>
      </c>
      <c r="J2" s="5">
        <f>AVERAGE(B26:B37)</f>
        <v/>
      </c>
    </row>
    <row r="3">
      <c r="A3" s="9" t="n">
        <v>45047</v>
      </c>
      <c r="B3" s="7" t="n">
        <v>3273000</v>
      </c>
      <c r="C3" s="7" t="n">
        <v>290000</v>
      </c>
      <c r="E3" t="inlineStr">
        <is>
          <t>C-323</t>
        </is>
      </c>
      <c r="F3" s="7" t="n">
        <v>222000</v>
      </c>
      <c r="G3" t="n">
        <v>7</v>
      </c>
      <c r="H3" t="n">
        <v>48</v>
      </c>
    </row>
    <row r="4">
      <c r="A4" s="9" t="n">
        <v>45078</v>
      </c>
      <c r="B4" s="7" t="n">
        <v>2933000</v>
      </c>
      <c r="C4" s="7" t="n">
        <v>205000</v>
      </c>
      <c r="E4" t="inlineStr">
        <is>
          <t>C-305</t>
        </is>
      </c>
      <c r="F4" s="7" t="n">
        <v>176000</v>
      </c>
      <c r="G4" t="n">
        <v>11</v>
      </c>
      <c r="H4" t="n">
        <v>50</v>
      </c>
      <c r="J4" s="2" t="inlineStr">
        <is>
          <t>A sensible 6-month forecast should sit close to this level, higher in Oct-Nov (festive months).</t>
        </is>
      </c>
    </row>
    <row r="5">
      <c r="A5" s="9" t="n">
        <v>45108</v>
      </c>
      <c r="B5" s="7" t="n">
        <v>3157000</v>
      </c>
      <c r="C5" s="7" t="n">
        <v>207000</v>
      </c>
      <c r="E5" t="inlineStr">
        <is>
          <t>C-317</t>
        </is>
      </c>
      <c r="F5" s="7" t="n">
        <v>205000</v>
      </c>
      <c r="G5" t="n">
        <v>10</v>
      </c>
      <c r="H5" t="n">
        <v>44</v>
      </c>
    </row>
    <row r="6">
      <c r="A6" s="9" t="n">
        <v>45139</v>
      </c>
      <c r="B6" s="7" t="n">
        <v>3513000</v>
      </c>
      <c r="C6" s="7" t="n">
        <v>269000</v>
      </c>
      <c r="E6" t="inlineStr">
        <is>
          <t>C-320</t>
        </is>
      </c>
      <c r="F6" s="7" t="n">
        <v>183000</v>
      </c>
      <c r="G6" t="n">
        <v>10</v>
      </c>
      <c r="H6" t="n">
        <v>42</v>
      </c>
    </row>
    <row r="7">
      <c r="A7" s="9" t="n">
        <v>45170</v>
      </c>
      <c r="B7" s="7" t="n">
        <v>3664000</v>
      </c>
      <c r="C7" s="7" t="n">
        <v>311000</v>
      </c>
      <c r="E7" t="inlineStr">
        <is>
          <t>C-308</t>
        </is>
      </c>
      <c r="F7" s="7" t="n">
        <v>240000</v>
      </c>
      <c r="G7" t="n">
        <v>8</v>
      </c>
      <c r="H7" t="n">
        <v>64</v>
      </c>
    </row>
    <row r="8">
      <c r="A8" s="9" t="n">
        <v>45200</v>
      </c>
      <c r="B8" s="7" t="n">
        <v>4232000</v>
      </c>
      <c r="C8" s="7" t="n">
        <v>278000</v>
      </c>
      <c r="E8" t="inlineStr">
        <is>
          <t>C-303</t>
        </is>
      </c>
      <c r="F8" s="7" t="n">
        <v>88000</v>
      </c>
      <c r="G8" t="n">
        <v>4</v>
      </c>
      <c r="H8" t="n">
        <v>220</v>
      </c>
    </row>
    <row r="9">
      <c r="A9" s="9" t="n">
        <v>45231</v>
      </c>
      <c r="B9" s="7" t="n">
        <v>4299000</v>
      </c>
      <c r="C9" s="7" t="n">
        <v>292000</v>
      </c>
      <c r="E9" t="inlineStr">
        <is>
          <t>C-312</t>
        </is>
      </c>
      <c r="F9" s="7" t="n">
        <v>83000</v>
      </c>
      <c r="G9" t="n">
        <v>1</v>
      </c>
      <c r="H9" t="n">
        <v>289</v>
      </c>
    </row>
    <row r="10">
      <c r="A10" s="9" t="n">
        <v>45261</v>
      </c>
      <c r="B10" s="7" t="n">
        <v>3733000</v>
      </c>
      <c r="C10" s="7" t="n">
        <v>251000</v>
      </c>
      <c r="E10" t="inlineStr">
        <is>
          <t>C-309</t>
        </is>
      </c>
      <c r="F10" s="7" t="n">
        <v>97000</v>
      </c>
      <c r="G10" t="n">
        <v>5</v>
      </c>
      <c r="H10" t="n">
        <v>263</v>
      </c>
    </row>
    <row r="11">
      <c r="A11" s="9" t="n">
        <v>45292</v>
      </c>
      <c r="B11" s="7" t="n">
        <v>3718000</v>
      </c>
      <c r="C11" s="7" t="n">
        <v>251000</v>
      </c>
      <c r="E11" t="inlineStr">
        <is>
          <t>C-302</t>
        </is>
      </c>
      <c r="F11" s="7" t="n">
        <v>126000</v>
      </c>
      <c r="G11" t="n">
        <v>12</v>
      </c>
      <c r="H11" t="n">
        <v>70</v>
      </c>
    </row>
    <row r="12">
      <c r="A12" s="9" t="n">
        <v>45323</v>
      </c>
      <c r="B12" s="7" t="n">
        <v>3723000</v>
      </c>
      <c r="C12" s="7" t="n">
        <v>240000</v>
      </c>
      <c r="E12" t="inlineStr">
        <is>
          <t>C-304</t>
        </is>
      </c>
      <c r="F12" s="7" t="n">
        <v>491000</v>
      </c>
      <c r="G12" t="n">
        <v>33</v>
      </c>
      <c r="H12" t="n">
        <v>20</v>
      </c>
    </row>
    <row r="13">
      <c r="A13" s="9" t="n">
        <v>45352</v>
      </c>
      <c r="B13" s="7" t="n">
        <v>4321000</v>
      </c>
      <c r="C13" s="7" t="n">
        <v>300000</v>
      </c>
      <c r="E13" t="inlineStr">
        <is>
          <t>C-318</t>
        </is>
      </c>
      <c r="F13" s="7" t="n">
        <v>80000</v>
      </c>
      <c r="G13" t="n">
        <v>3</v>
      </c>
      <c r="H13" t="n">
        <v>286</v>
      </c>
    </row>
    <row r="14">
      <c r="A14" s="9" t="n">
        <v>45383</v>
      </c>
      <c r="B14" s="7" t="n">
        <v>4092000</v>
      </c>
      <c r="C14" s="7" t="n">
        <v>258000</v>
      </c>
      <c r="E14" t="inlineStr">
        <is>
          <t>C-322</t>
        </is>
      </c>
      <c r="F14" s="7" t="n">
        <v>626000</v>
      </c>
      <c r="G14" t="n">
        <v>36</v>
      </c>
      <c r="H14" t="n">
        <v>13</v>
      </c>
    </row>
    <row r="15">
      <c r="A15" s="9" t="n">
        <v>45413</v>
      </c>
      <c r="B15" s="7" t="n">
        <v>3928000</v>
      </c>
      <c r="C15" s="7" t="n">
        <v>352000</v>
      </c>
      <c r="E15" t="inlineStr">
        <is>
          <t>C-327</t>
        </is>
      </c>
      <c r="F15" s="7" t="n">
        <v>57000</v>
      </c>
      <c r="G15" t="n">
        <v>1</v>
      </c>
      <c r="H15" t="n">
        <v>153</v>
      </c>
    </row>
    <row r="16">
      <c r="A16" s="9" t="n">
        <v>45444</v>
      </c>
      <c r="B16" s="7" t="n">
        <v>3656000</v>
      </c>
      <c r="C16" s="7" t="n">
        <v>228000</v>
      </c>
      <c r="E16" t="inlineStr">
        <is>
          <t>C-324</t>
        </is>
      </c>
      <c r="F16" s="7" t="n">
        <v>46000</v>
      </c>
      <c r="G16" t="n">
        <v>3</v>
      </c>
      <c r="H16" t="n">
        <v>273</v>
      </c>
    </row>
    <row r="17">
      <c r="A17" s="9" t="n">
        <v>45474</v>
      </c>
      <c r="B17" s="7" t="n">
        <v>3897000</v>
      </c>
      <c r="C17" s="7" t="n">
        <v>268000</v>
      </c>
      <c r="E17" t="inlineStr">
        <is>
          <t>C-319</t>
        </is>
      </c>
      <c r="F17" s="7" t="n">
        <v>812000</v>
      </c>
      <c r="G17" t="n">
        <v>20</v>
      </c>
      <c r="H17" t="n">
        <v>15</v>
      </c>
    </row>
    <row r="18">
      <c r="A18" s="9" t="n">
        <v>45505</v>
      </c>
      <c r="B18" s="7" t="n">
        <v>4143000</v>
      </c>
      <c r="C18" s="7" t="n">
        <v>323000</v>
      </c>
      <c r="E18" t="inlineStr">
        <is>
          <t>C-329</t>
        </is>
      </c>
      <c r="F18" s="7" t="n">
        <v>183000</v>
      </c>
      <c r="G18" t="n">
        <v>13</v>
      </c>
      <c r="H18" t="n">
        <v>67</v>
      </c>
    </row>
    <row r="19">
      <c r="A19" s="9" t="n">
        <v>45536</v>
      </c>
      <c r="B19" s="7" t="n">
        <v>4124000</v>
      </c>
      <c r="C19" s="7" t="n">
        <v>262000</v>
      </c>
      <c r="E19" t="inlineStr">
        <is>
          <t>C-328</t>
        </is>
      </c>
      <c r="F19" s="7" t="n">
        <v>613000</v>
      </c>
      <c r="G19" t="n">
        <v>24</v>
      </c>
      <c r="H19" t="n">
        <v>21</v>
      </c>
    </row>
    <row r="20">
      <c r="A20" s="9" t="n">
        <v>45566</v>
      </c>
      <c r="B20" s="7" t="n">
        <v>5052000</v>
      </c>
      <c r="C20" s="7" t="n">
        <v>389000</v>
      </c>
      <c r="E20" t="inlineStr">
        <is>
          <t>C-314</t>
        </is>
      </c>
      <c r="F20" s="7" t="n">
        <v>256000</v>
      </c>
      <c r="G20" t="n">
        <v>13</v>
      </c>
      <c r="H20" t="n">
        <v>83</v>
      </c>
    </row>
    <row r="21">
      <c r="A21" s="9" t="n">
        <v>45597</v>
      </c>
      <c r="B21" s="7" t="n">
        <v>5381000</v>
      </c>
      <c r="C21" s="7" t="n">
        <v>422000</v>
      </c>
      <c r="E21" t="inlineStr">
        <is>
          <t>C-311</t>
        </is>
      </c>
      <c r="F21" s="7" t="n">
        <v>161000</v>
      </c>
      <c r="G21" t="n">
        <v>6</v>
      </c>
      <c r="H21" t="n">
        <v>83</v>
      </c>
    </row>
    <row r="22">
      <c r="A22" s="9" t="n">
        <v>45627</v>
      </c>
      <c r="B22" s="7" t="n">
        <v>4598000</v>
      </c>
      <c r="C22" s="7" t="n">
        <v>369000</v>
      </c>
      <c r="E22" t="inlineStr">
        <is>
          <t>C-307</t>
        </is>
      </c>
      <c r="F22" s="7" t="n">
        <v>614000</v>
      </c>
      <c r="G22" t="n">
        <v>24</v>
      </c>
      <c r="H22" t="n">
        <v>16</v>
      </c>
      <c r="J22" s="4" t="inlineStr">
        <is>
          <t>Challenge: correlation of Marketing spend and Revenue</t>
        </is>
      </c>
    </row>
    <row r="23">
      <c r="A23" s="9" t="n">
        <v>45658</v>
      </c>
      <c r="B23" s="7" t="n">
        <v>4482000</v>
      </c>
      <c r="C23" s="7" t="n">
        <v>293000</v>
      </c>
      <c r="E23" t="inlineStr">
        <is>
          <t>C-306</t>
        </is>
      </c>
      <c r="F23" s="7" t="n">
        <v>59000</v>
      </c>
      <c r="G23" t="n">
        <v>5</v>
      </c>
      <c r="H23" t="n">
        <v>250</v>
      </c>
      <c r="J23" s="14">
        <f>CORREL(B2:B37,C2:C37)</f>
        <v/>
      </c>
    </row>
    <row r="24">
      <c r="A24" s="9" t="n">
        <v>45689</v>
      </c>
      <c r="B24" s="7" t="n">
        <v>4553000</v>
      </c>
      <c r="C24" s="7" t="n">
        <v>279000</v>
      </c>
      <c r="E24" t="inlineStr">
        <is>
          <t>C-301</t>
        </is>
      </c>
      <c r="F24" s="7" t="n">
        <v>756000</v>
      </c>
      <c r="G24" t="n">
        <v>25</v>
      </c>
      <c r="H24" t="n">
        <v>17</v>
      </c>
    </row>
    <row r="25">
      <c r="A25" s="9" t="n">
        <v>45717</v>
      </c>
      <c r="B25" s="7" t="n">
        <v>5509000</v>
      </c>
      <c r="C25" s="7" t="n">
        <v>430000</v>
      </c>
      <c r="E25" t="inlineStr">
        <is>
          <t>C-310</t>
        </is>
      </c>
      <c r="F25" s="7" t="n">
        <v>832000</v>
      </c>
      <c r="G25" t="n">
        <v>25</v>
      </c>
      <c r="H25" t="n">
        <v>23</v>
      </c>
    </row>
    <row r="26">
      <c r="A26" s="9" t="n">
        <v>45748</v>
      </c>
      <c r="B26" s="7" t="n">
        <v>5015000</v>
      </c>
      <c r="C26" s="7" t="n">
        <v>391000</v>
      </c>
      <c r="E26" t="inlineStr">
        <is>
          <t>C-326</t>
        </is>
      </c>
      <c r="F26" s="7" t="n">
        <v>253000</v>
      </c>
      <c r="G26" t="n">
        <v>6</v>
      </c>
      <c r="H26" t="n">
        <v>41</v>
      </c>
    </row>
    <row r="27">
      <c r="A27" s="9" t="n">
        <v>45778</v>
      </c>
      <c r="B27" s="7" t="n">
        <v>4814000</v>
      </c>
      <c r="C27" s="7" t="n">
        <v>302000</v>
      </c>
      <c r="E27" t="inlineStr">
        <is>
          <t>C-321</t>
        </is>
      </c>
      <c r="F27" s="7" t="n">
        <v>32000</v>
      </c>
      <c r="G27" t="n">
        <v>4</v>
      </c>
      <c r="H27" t="n">
        <v>153</v>
      </c>
    </row>
    <row r="28">
      <c r="A28" s="9" t="n">
        <v>45809</v>
      </c>
      <c r="B28" s="7" t="n">
        <v>4749000</v>
      </c>
      <c r="C28" s="7" t="n">
        <v>326000</v>
      </c>
      <c r="E28" t="inlineStr">
        <is>
          <t>C-315</t>
        </is>
      </c>
      <c r="F28" s="7" t="n">
        <v>52000</v>
      </c>
      <c r="G28" t="n">
        <v>5</v>
      </c>
      <c r="H28" t="n">
        <v>280</v>
      </c>
    </row>
    <row r="29">
      <c r="A29" s="9" t="n">
        <v>45839</v>
      </c>
      <c r="B29" s="7" t="n">
        <v>4701000</v>
      </c>
      <c r="C29" s="7" t="n">
        <v>414000</v>
      </c>
      <c r="E29" t="inlineStr">
        <is>
          <t>C-325</t>
        </is>
      </c>
      <c r="F29" s="7" t="n">
        <v>627000</v>
      </c>
      <c r="G29" t="n">
        <v>23</v>
      </c>
      <c r="H29" t="n">
        <v>17</v>
      </c>
    </row>
    <row r="30">
      <c r="A30" s="9" t="n">
        <v>45870</v>
      </c>
      <c r="B30" s="7" t="n">
        <v>5114000</v>
      </c>
      <c r="C30" s="7" t="n">
        <v>311000</v>
      </c>
      <c r="E30" t="inlineStr">
        <is>
          <t>C-330</t>
        </is>
      </c>
      <c r="F30" s="7" t="n">
        <v>92000</v>
      </c>
      <c r="G30" t="n">
        <v>3</v>
      </c>
      <c r="H30" t="n">
        <v>250</v>
      </c>
    </row>
    <row r="31">
      <c r="A31" s="9" t="n">
        <v>45901</v>
      </c>
      <c r="B31" s="7" t="n">
        <v>5390000</v>
      </c>
      <c r="C31" s="7" t="n">
        <v>377000</v>
      </c>
      <c r="E31" t="inlineStr">
        <is>
          <t>C-313</t>
        </is>
      </c>
      <c r="F31" s="7" t="n">
        <v>572000</v>
      </c>
      <c r="G31" t="n">
        <v>22</v>
      </c>
      <c r="H31" t="n">
        <v>8</v>
      </c>
    </row>
    <row r="32">
      <c r="A32" s="9" t="n">
        <v>45931</v>
      </c>
      <c r="B32" s="7" t="n">
        <v>6675000</v>
      </c>
      <c r="C32" s="7" t="n">
        <v>481000</v>
      </c>
    </row>
    <row r="33">
      <c r="A33" s="9" t="n">
        <v>45962</v>
      </c>
      <c r="B33" s="7" t="n">
        <v>6821000</v>
      </c>
      <c r="C33" s="7" t="n">
        <v>574000</v>
      </c>
    </row>
    <row r="34">
      <c r="A34" s="9" t="n">
        <v>45992</v>
      </c>
      <c r="B34" s="7" t="n">
        <v>5660000</v>
      </c>
      <c r="C34" s="7" t="n">
        <v>419000</v>
      </c>
    </row>
    <row r="35">
      <c r="A35" s="9" t="n">
        <v>46023</v>
      </c>
      <c r="B35" s="7" t="n">
        <v>5927000</v>
      </c>
      <c r="C35" s="7" t="n">
        <v>446000</v>
      </c>
    </row>
    <row r="36">
      <c r="A36" s="9" t="n">
        <v>46054</v>
      </c>
      <c r="B36" s="7" t="n">
        <v>5827000</v>
      </c>
      <c r="C36" s="7" t="n">
        <v>363000</v>
      </c>
    </row>
    <row r="37">
      <c r="A37" s="9" t="n">
        <v>46082</v>
      </c>
      <c r="B37" s="7" t="n">
        <v>6720000</v>
      </c>
      <c r="C37" s="7" t="n">
        <v>504000</v>
      </c>
    </row>
  </sheetData>
  <pageMargins left="0.75" right="0.75" top="1" bottom="1" header="0.5" footer="0.5"/>
  <drawing xmlns:r="http://schemas.openxmlformats.org/officeDocument/2006/relationships" r:id="rId1"/>
  <tableParts count="2">
    <tablePart xmlns:r="http://schemas.openxmlformats.org/officeDocument/2006/relationships" r:id="rId2"/>
    <tablePart xmlns:r="http://schemas.openxmlformats.org/officeDocument/2006/relationships" r:id="rId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2026-10-23T10:16:04Z</dcterms:created>
  <dcterms:modified xmlns:dcterms="http://purl.org/dc/terms/" xmlns:xsi="http://www.w3.org/2001/XMLSchema-instance" xsi:type="dcterms:W3CDTF">2026-10-23T10:16:04Z</dcterms:modified>
</cp:coreProperties>
</file>