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02-01" sheetId="2" state="visible" r:id="rId2"/>
    <sheet xmlns:r="http://schemas.openxmlformats.org/officeDocument/2006/relationships" name="S02-01 Done" sheetId="3" state="visible" r:id="rId3"/>
    <sheet xmlns:r="http://schemas.openxmlformats.org/officeDocument/2006/relationships" name="S02-02" sheetId="4" state="visible" r:id="rId4"/>
    <sheet xmlns:r="http://schemas.openxmlformats.org/officeDocument/2006/relationships" name="S02-02 Done" sheetId="5" state="visible" r:id="rId5"/>
    <sheet xmlns:r="http://schemas.openxmlformats.org/officeDocument/2006/relationships" name="S02-03" sheetId="6" state="visible" r:id="rId6"/>
    <sheet xmlns:r="http://schemas.openxmlformats.org/officeDocument/2006/relationships" name="S02-03 Done" sheetId="7" state="visible" r:id="rId7"/>
    <sheet xmlns:r="http://schemas.openxmlformats.org/officeDocument/2006/relationships" name="S02-04" sheetId="8" state="visible" r:id="rId8"/>
    <sheet xmlns:r="http://schemas.openxmlformats.org/officeDocument/2006/relationships" name="S02-04 Done" sheetId="9" state="visible" r:id="rId9"/>
    <sheet xmlns:r="http://schemas.openxmlformats.org/officeDocument/2006/relationships" name="S02-05" sheetId="10" state="visible" r:id="rId10"/>
    <sheet xmlns:r="http://schemas.openxmlformats.org/officeDocument/2006/relationships" name="S02-05 Done" sheetId="11" state="visible" r:id="rId11"/>
    <sheet xmlns:r="http://schemas.openxmlformats.org/officeDocument/2006/relationships" name="S02-06" sheetId="12" state="visible" r:id="rId12"/>
    <sheet xmlns:r="http://schemas.openxmlformats.org/officeDocument/2006/relationships" name="S02-06 Done" sheetId="13" state="visible" r:id="rId13"/>
    <sheet xmlns:r="http://schemas.openxmlformats.org/officeDocument/2006/relationships" name="S02-07" sheetId="14" state="visible" r:id="rId14"/>
    <sheet xmlns:r="http://schemas.openxmlformats.org/officeDocument/2006/relationships" name="S02-07 Answer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[&gt;=10000000]&quot;₹&quot;##\,##\,##\,##0;[&gt;=100000]&quot;₹&quot;##\,##\,##0;&quot;₹&quot;##,##0"/>
    <numFmt numFmtId="165" formatCode="0.0%"/>
    <numFmt numFmtId="166" formatCode="yyyy-mm-dd"/>
    <numFmt numFmtId="167" formatCode="dd-mm-yyyy"/>
    <numFmt numFmtId="168" formatCode="dd-mmm-yy"/>
    <numFmt numFmtId="169" formatCode="[$₹-4009]#,##0.00"/>
    <numFmt numFmtId="170" formatCode="_ [$₹-4009]* #,##0.00_ ;_ [$₹-4009]* -#,##0.00_ ;_ [$₹-4009]* &quot;-&quot;??_ ;_ @_ "/>
    <numFmt numFmtId="171" formatCode="&quot;₹&quot;#,##0.0,&quot;K&quot;"/>
    <numFmt numFmtId="172" formatCode="&quot;₹&quot;0.00&quot; Cr&quot;"/>
    <numFmt numFmtId="173" formatCode="0.0%;[Red]-0.0%;&quot;-&quot;"/>
    <numFmt numFmtId="174" formatCode="#,##0&quot; units&quot;"/>
    <numFmt numFmtId="175" formatCode="&quot;₹&quot;0.00&quot; L&quot;"/>
  </numFmts>
  <fonts count="10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6"/>
    </font>
    <font>
      <b val="1"/>
    </font>
    <font>
      <i val="1"/>
    </font>
    <font>
      <b val="1"/>
      <color rgb="00002060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206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</borders>
  <cellStyleXfs count="3">
    <xf numFmtId="0" fontId="0" fillId="0" borderId="0"/>
    <xf numFmtId="0" fontId="7" fillId="0" borderId="0"/>
    <xf numFmtId="0" fontId="8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applyAlignment="1" pivotButton="0" quotePrefix="0" xfId="0">
      <alignment horizontal="centerContinuous"/>
    </xf>
    <xf numFmtId="165" fontId="0" fillId="0" borderId="1" pivotButton="0" quotePrefix="0" xfId="0"/>
    <xf numFmtId="0" fontId="0" fillId="4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65" fontId="0" fillId="4" borderId="0" pivotButton="0" quotePrefix="0" xfId="0"/>
    <xf numFmtId="0" fontId="4" fillId="0" borderId="0" pivotButton="0" quotePrefix="0" xfId="0"/>
    <xf numFmtId="0" fontId="5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5" fontId="0" fillId="4" borderId="0" pivotButton="0" quotePrefix="0" xfId="0"/>
    <xf numFmtId="174" fontId="0" fillId="4" borderId="0" pivotButton="0" quotePrefix="0" xfId="0"/>
    <xf numFmtId="0" fontId="6" fillId="0" borderId="0" pivotButton="0" quotePrefix="0" xfId="0"/>
    <xf numFmtId="164" fontId="0" fillId="4" borderId="0" pivotButton="0" quotePrefix="0" xfId="0"/>
    <xf numFmtId="0" fontId="7" fillId="0" borderId="0" pivotButton="0" quotePrefix="0" xfId="1"/>
    <xf numFmtId="0" fontId="8" fillId="0" borderId="0" pivotButton="0" quotePrefix="0" xfId="2"/>
    <xf numFmtId="0" fontId="3" fillId="0" borderId="0" pivotButton="0" quotePrefix="0" xfId="0"/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3" borderId="1" applyAlignment="1" pivotButton="0" quotePrefix="0" xfId="0">
      <alignment vertical="center" wrapText="1"/>
    </xf>
    <xf numFmtId="167" fontId="0" fillId="0" borderId="1" pivotButton="0" quotePrefix="0" xfId="0"/>
  </cellXfs>
  <cellStyles count="3">
    <cellStyle name="Normal" xfId="0" builtinId="0" hidden="0"/>
    <cellStyle name="Title" xfId="1" builtinId="15" hidden="0"/>
    <cellStyle name="Headline 4" xfId="2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6002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762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762000" cy="76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762000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twoCellAnchor xmlns:a="http://schemas.openxmlformats.org/drawingml/2006/main">
    <from>
      <col>6</col>
      <colOff>0</colOff>
      <row>4</row>
      <rowOff>0</rowOff>
    </from>
    <to>
      <col>9</col>
      <colOff>0</colOff>
      <row>6</row>
      <rowOff>0</rowOff>
    </to>
    <sp macro="" textlink="">
      <nvSpPr>
        <cNvPr id="100" name="Rounded Rectangle 1"/>
        <cNvSpPr/>
      </nvSpPr>
      <spPr>
        <a:prstGeom prst="roundRect">
          <a:avLst/>
        </a:prstGeom>
        <a:solidFill>
          <a:srgbClr val="FFF2CC"/>
        </a:solidFill>
        <a:ln w="12700">
          <a:solidFill>
            <a:srgbClr val="BF9000"/>
          </a:solidFill>
        </a:ln>
      </spPr>
      <txBody>
        <a:bodyPr vertOverflow="clip" wrap="square" rtlCol="0" anchor="ctr"/>
        <a:lstStyle/>
        <a:p>
          <a:pPr algn="ctr"/>
          <a:r>
            <a:rPr lang="en-IN" sz="1200" b="1">
              <a:solidFill>
                <a:srgbClr val="000000"/>
              </a:solidFill>
            </a:rPr>
            <a:t>Prices valid till 31-03-2027</a:t>
          </a:r>
        </a:p>
      </txBody>
    </sp>
    <clientData/>
  </twoCellAnchor>
</wsDr>
</file>

<file path=xl/tables/table1.xml><?xml version="1.0" encoding="utf-8"?>
<table xmlns="http://schemas.openxmlformats.org/spreadsheetml/2006/main" id="1" name="ExpenseClaimsDone" displayName="ExpenseClaimsDone" ref="A3:F16" headerRowCount="1" totalsRowCount="1">
  <autoFilter ref="A3:F15"/>
  <tableColumns count="6">
    <tableColumn id="1" name="Date" totalsRowLabel="Total"/>
    <tableColumn id="2" name="Employee"/>
    <tableColumn id="3" name="City"/>
    <tableColumn id="4" name="Category"/>
    <tableColumn id="5" name="Approved"/>
    <tableColumn id="6" name="Amount (₹)" totalsRowFunction="sum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0" customWidth="1" min="3" max="3"/>
    <col width="15" customWidth="1" min="4" max="4"/>
    <col width="17" customWidth="1" min="5" max="5"/>
  </cols>
  <sheetData>
    <row r="1">
      <c r="A1" s="1" t="inlineStr">
        <is>
          <t>Excel Mastery for Mac | Section S02: Formatting that looks professional</t>
        </is>
      </c>
    </row>
    <row r="2">
      <c r="A2" t="inlineStr">
        <is>
          <t>Each lesson has a practice sheet (same name as the lesson id) and a finished copy ('Done' or 'Answers'). Yellow cells are the ones you fill in.</t>
        </is>
      </c>
    </row>
    <row r="4">
      <c r="A4" s="2" t="inlineStr">
        <is>
          <t>Lesson</t>
        </is>
      </c>
      <c r="B4" s="2" t="inlineStr">
        <is>
          <t>Type</t>
        </is>
      </c>
      <c r="C4" s="2" t="inlineStr">
        <is>
          <t>Title</t>
        </is>
      </c>
      <c r="D4" s="2" t="inlineStr">
        <is>
          <t>Practice sheet</t>
        </is>
      </c>
      <c r="E4" s="2" t="inlineStr">
        <is>
          <t>Finished sheet</t>
        </is>
      </c>
    </row>
    <row r="5">
      <c r="A5" t="inlineStr">
        <is>
          <t>S02-01</t>
        </is>
      </c>
      <c r="B5" t="inlineStr">
        <is>
          <t>demo</t>
        </is>
      </c>
      <c r="C5" t="inlineStr">
        <is>
          <t>Fonts, alignment, borders and fills</t>
        </is>
      </c>
      <c r="D5" t="inlineStr">
        <is>
          <t>S02-01</t>
        </is>
      </c>
      <c r="E5" t="inlineStr">
        <is>
          <t>S02-01 Done</t>
        </is>
      </c>
    </row>
    <row r="6">
      <c r="A6" t="inlineStr">
        <is>
          <t>S02-02</t>
        </is>
      </c>
      <c r="B6" t="inlineStr">
        <is>
          <t>demo</t>
        </is>
      </c>
      <c r="C6" t="inlineStr">
        <is>
          <t>Number formats for rupees, percentages and dates</t>
        </is>
      </c>
      <c r="D6" t="inlineStr">
        <is>
          <t>S02-02</t>
        </is>
      </c>
      <c r="E6" t="inlineStr">
        <is>
          <t>S02-02 Done</t>
        </is>
      </c>
    </row>
    <row r="7">
      <c r="A7" t="inlineStr">
        <is>
          <t>S02-03</t>
        </is>
      </c>
      <c r="B7" t="inlineStr">
        <is>
          <t>demo</t>
        </is>
      </c>
      <c r="C7" t="inlineStr">
        <is>
          <t>Custom number formats, including lakh and crore</t>
        </is>
      </c>
      <c r="D7" t="inlineStr">
        <is>
          <t>S02-03</t>
        </is>
      </c>
      <c r="E7" t="inlineStr">
        <is>
          <t>S02-03 Done</t>
        </is>
      </c>
    </row>
    <row r="8">
      <c r="A8" t="inlineStr">
        <is>
          <t>S02-04</t>
        </is>
      </c>
      <c r="B8" t="inlineStr">
        <is>
          <t>demo</t>
        </is>
      </c>
      <c r="C8" t="inlineStr">
        <is>
          <t>Cell styles, themes and table styles</t>
        </is>
      </c>
      <c r="D8" t="inlineStr">
        <is>
          <t>S02-04</t>
        </is>
      </c>
      <c r="E8" t="inlineStr">
        <is>
          <t>S02-04 Done</t>
        </is>
      </c>
    </row>
    <row r="9">
      <c r="A9" t="inlineStr">
        <is>
          <t>S02-05</t>
        </is>
      </c>
      <c r="B9" t="inlineStr">
        <is>
          <t>demo</t>
        </is>
      </c>
      <c r="C9" t="inlineStr">
        <is>
          <t>Freeze panes, split and views</t>
        </is>
      </c>
      <c r="D9" t="inlineStr">
        <is>
          <t>S02-05</t>
        </is>
      </c>
      <c r="E9" t="inlineStr">
        <is>
          <t>S02-05 Done</t>
        </is>
      </c>
    </row>
    <row r="10">
      <c r="A10" t="inlineStr">
        <is>
          <t>S02-06</t>
        </is>
      </c>
      <c r="B10" t="inlineStr">
        <is>
          <t>demo</t>
        </is>
      </c>
      <c r="C10" t="inlineStr">
        <is>
          <t>Pictures, icons and shapes</t>
        </is>
      </c>
      <c r="D10" t="inlineStr">
        <is>
          <t>S02-06</t>
        </is>
      </c>
      <c r="E10" t="inlineStr">
        <is>
          <t>S02-06 Done</t>
        </is>
      </c>
    </row>
    <row r="11">
      <c r="A11" t="inlineStr">
        <is>
          <t>S02-07</t>
        </is>
      </c>
      <c r="B11" t="inlineStr">
        <is>
          <t>challenge</t>
        </is>
      </c>
      <c r="C11" t="inlineStr">
        <is>
          <t>Challenge 2: format a monthly expense report</t>
        </is>
      </c>
      <c r="D11" t="inlineStr">
        <is>
          <t>S02-07</t>
        </is>
      </c>
      <c r="E11" t="inlineStr">
        <is>
          <t>S02-07 Answers</t>
        </is>
      </c>
    </row>
    <row r="13">
      <c r="A13" t="inlineStr">
        <is>
          <t>Lesson S02-06 uses the picture files S02_logo.png, S02_rice.png, S02_tea.png and S02_masala.png from the same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6" customWidth="1" min="5" max="5"/>
  </cols>
  <sheetData>
    <row r="1">
      <c r="A1" t="inlineStr">
        <is>
          <t>Sahyadri Agro Foods Pvt Ltd</t>
        </is>
      </c>
    </row>
    <row r="2">
      <c r="A2" t="inlineStr">
        <is>
          <t>Branch-wise sales, Q1 FY 2026-27</t>
        </is>
      </c>
    </row>
    <row r="4">
      <c r="A4" t="inlineStr">
        <is>
          <t>Branch</t>
        </is>
      </c>
      <c r="B4" t="inlineStr">
        <is>
          <t>April</t>
        </is>
      </c>
      <c r="C4" t="inlineStr">
        <is>
          <t>May</t>
        </is>
      </c>
      <c r="D4" t="inlineStr">
        <is>
          <t>June</t>
        </is>
      </c>
      <c r="E4" t="inlineStr">
        <is>
          <t>Q1 Total (April to June)</t>
        </is>
      </c>
    </row>
    <row r="5">
      <c r="A5" t="inlineStr">
        <is>
          <t>Pune</t>
        </is>
      </c>
      <c r="B5" s="3" t="n">
        <v>1845000</v>
      </c>
      <c r="C5" s="3" t="n">
        <v>1762500</v>
      </c>
      <c r="D5" s="3" t="n">
        <v>1918400</v>
      </c>
      <c r="E5" s="3">
        <f>SUM(B5:D5)</f>
        <v/>
      </c>
    </row>
    <row r="6">
      <c r="A6" t="inlineStr">
        <is>
          <t>Mumbai</t>
        </is>
      </c>
      <c r="B6" s="3" t="n">
        <v>2612800</v>
      </c>
      <c r="C6" s="3" t="n">
        <v>2540300</v>
      </c>
      <c r="D6" s="3" t="n">
        <v>2787600</v>
      </c>
      <c r="E6" s="3">
        <f>SUM(B6:D6)</f>
        <v/>
      </c>
    </row>
    <row r="7">
      <c r="A7" t="inlineStr">
        <is>
          <t>Nashik</t>
        </is>
      </c>
      <c r="B7" s="3" t="n">
        <v>965400</v>
      </c>
      <c r="C7" s="3" t="n">
        <v>1012300</v>
      </c>
      <c r="D7" s="3" t="n">
        <v>988750</v>
      </c>
      <c r="E7" s="3">
        <f>SUM(B7:D7)</f>
        <v/>
      </c>
    </row>
    <row r="8">
      <c r="A8" t="inlineStr">
        <is>
          <t>Nagpur</t>
        </is>
      </c>
      <c r="B8" s="3" t="n">
        <v>1123600</v>
      </c>
      <c r="C8" s="3" t="n">
        <v>1086900</v>
      </c>
      <c r="D8" s="3" t="n">
        <v>1154200</v>
      </c>
      <c r="E8" s="3">
        <f>SUM(B8:D8)</f>
        <v/>
      </c>
    </row>
    <row r="9">
      <c r="A9" t="inlineStr">
        <is>
          <t>Kolhapur</t>
        </is>
      </c>
      <c r="B9" s="3" t="n">
        <v>684500</v>
      </c>
      <c r="C9" s="3" t="n">
        <v>712800</v>
      </c>
      <c r="D9" s="3" t="n">
        <v>701300</v>
      </c>
      <c r="E9" s="3">
        <f>SUM(B9:D9)</f>
        <v/>
      </c>
    </row>
    <row r="10">
      <c r="A10" t="inlineStr">
        <is>
          <t>Aurangabad</t>
        </is>
      </c>
      <c r="B10" s="3" t="n">
        <v>812300</v>
      </c>
      <c r="C10" s="3" t="n">
        <v>798600</v>
      </c>
      <c r="D10" s="3" t="n">
        <v>845900</v>
      </c>
      <c r="E10" s="3">
        <f>SUM(B10:D10)</f>
        <v/>
      </c>
    </row>
    <row r="11">
      <c r="A11" t="inlineStr">
        <is>
          <t>Total</t>
        </is>
      </c>
      <c r="B11" s="3">
        <f>SUM(B5:B10)</f>
        <v/>
      </c>
      <c r="C11" s="3">
        <f>SUM(C5:C10)</f>
        <v/>
      </c>
      <c r="D11" s="3">
        <f>SUM(D5:D10)</f>
        <v/>
      </c>
      <c r="E11" s="3">
        <f>SUM(E5:E10)</f>
        <v/>
      </c>
    </row>
    <row r="13">
      <c r="A13" t="inlineStr">
        <is>
          <t>Q1 targets</t>
        </is>
      </c>
    </row>
    <row r="14">
      <c r="A14" t="inlineStr">
        <is>
          <t>Branch</t>
        </is>
      </c>
      <c r="B14" t="inlineStr">
        <is>
          <t>Q1 Target (₹)</t>
        </is>
      </c>
      <c r="C14" t="inlineStr">
        <is>
          <t>Achieved %</t>
        </is>
      </c>
    </row>
    <row r="15">
      <c r="A15" t="inlineStr">
        <is>
          <t>Pune</t>
        </is>
      </c>
      <c r="B15" s="3" t="n">
        <v>5600000</v>
      </c>
      <c r="C15" s="4">
        <f>E5/B15</f>
        <v/>
      </c>
    </row>
    <row r="16">
      <c r="A16" t="inlineStr">
        <is>
          <t>Mumbai</t>
        </is>
      </c>
      <c r="B16" s="3" t="n">
        <v>7800000</v>
      </c>
      <c r="C16" s="4">
        <f>E6/B16</f>
        <v/>
      </c>
    </row>
    <row r="17">
      <c r="A17" t="inlineStr">
        <is>
          <t>Nashik</t>
        </is>
      </c>
      <c r="B17" s="3" t="n">
        <v>3000000</v>
      </c>
      <c r="C17" s="4">
        <f>E7/B17</f>
        <v/>
      </c>
    </row>
    <row r="18">
      <c r="A18" t="inlineStr">
        <is>
          <t>Nagpur</t>
        </is>
      </c>
      <c r="B18" s="3" t="n">
        <v>3200000</v>
      </c>
      <c r="C18" s="4">
        <f>E8/B18</f>
        <v/>
      </c>
    </row>
    <row r="19">
      <c r="A19" t="inlineStr">
        <is>
          <t>Kolhapur</t>
        </is>
      </c>
      <c r="B19" s="3" t="n">
        <v>2200000</v>
      </c>
      <c r="C19" s="4">
        <f>E9/B19</f>
        <v/>
      </c>
    </row>
    <row r="20">
      <c r="A20" t="inlineStr">
        <is>
          <t>Aurangabad</t>
        </is>
      </c>
      <c r="B20" s="3" t="n">
        <v>2400000</v>
      </c>
      <c r="C20" s="4">
        <f>E10/B20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6" customWidth="1" min="5" max="5"/>
  </cols>
  <sheetData>
    <row r="1">
      <c r="A1" s="5" t="inlineStr">
        <is>
          <t>Sahyadri Agro Foods Pvt Ltd</t>
        </is>
      </c>
      <c r="B1" s="6" t="n"/>
      <c r="C1" s="6" t="n"/>
      <c r="D1" s="6" t="n"/>
      <c r="E1" s="6" t="n"/>
    </row>
    <row r="2">
      <c r="A2" s="6" t="inlineStr">
        <is>
          <t>Branch-wise sales, Q1 FY 2026-27</t>
        </is>
      </c>
      <c r="B2" s="6" t="n"/>
      <c r="C2" s="6" t="n"/>
      <c r="D2" s="6" t="n"/>
      <c r="E2" s="6" t="n"/>
    </row>
    <row r="4" ht="30" customHeight="1">
      <c r="A4" s="7" t="inlineStr">
        <is>
          <t>Branch</t>
        </is>
      </c>
      <c r="B4" s="8" t="inlineStr">
        <is>
          <t>April</t>
        </is>
      </c>
      <c r="C4" s="8" t="inlineStr">
        <is>
          <t>May</t>
        </is>
      </c>
      <c r="D4" s="8" t="inlineStr">
        <is>
          <t>June</t>
        </is>
      </c>
      <c r="E4" s="9" t="inlineStr">
        <is>
          <t>Q1 Total (April to June)</t>
        </is>
      </c>
    </row>
    <row r="5">
      <c r="A5" s="10" t="inlineStr">
        <is>
          <t>Pune</t>
        </is>
      </c>
      <c r="B5" s="11" t="n">
        <v>1845000</v>
      </c>
      <c r="C5" s="11" t="n">
        <v>1762500</v>
      </c>
      <c r="D5" s="11" t="n">
        <v>1918400</v>
      </c>
      <c r="E5" s="11">
        <f>SUM(B5:D5)</f>
        <v/>
      </c>
    </row>
    <row r="6">
      <c r="A6" s="10" t="inlineStr">
        <is>
          <t>Mumbai</t>
        </is>
      </c>
      <c r="B6" s="11" t="n">
        <v>2612800</v>
      </c>
      <c r="C6" s="11" t="n">
        <v>2540300</v>
      </c>
      <c r="D6" s="11" t="n">
        <v>2787600</v>
      </c>
      <c r="E6" s="11">
        <f>SUM(B6:D6)</f>
        <v/>
      </c>
    </row>
    <row r="7">
      <c r="A7" s="10" t="inlineStr">
        <is>
          <t>Nashik</t>
        </is>
      </c>
      <c r="B7" s="11" t="n">
        <v>965400</v>
      </c>
      <c r="C7" s="11" t="n">
        <v>1012300</v>
      </c>
      <c r="D7" s="11" t="n">
        <v>988750</v>
      </c>
      <c r="E7" s="11">
        <f>SUM(B7:D7)</f>
        <v/>
      </c>
    </row>
    <row r="8">
      <c r="A8" s="10" t="inlineStr">
        <is>
          <t>Nagpur</t>
        </is>
      </c>
      <c r="B8" s="11" t="n">
        <v>1123600</v>
      </c>
      <c r="C8" s="11" t="n">
        <v>1086900</v>
      </c>
      <c r="D8" s="11" t="n">
        <v>1154200</v>
      </c>
      <c r="E8" s="11">
        <f>SUM(B8:D8)</f>
        <v/>
      </c>
    </row>
    <row r="9">
      <c r="A9" s="10" t="inlineStr">
        <is>
          <t>Kolhapur</t>
        </is>
      </c>
      <c r="B9" s="11" t="n">
        <v>684500</v>
      </c>
      <c r="C9" s="11" t="n">
        <v>712800</v>
      </c>
      <c r="D9" s="11" t="n">
        <v>701300</v>
      </c>
      <c r="E9" s="11">
        <f>SUM(B9:D9)</f>
        <v/>
      </c>
    </row>
    <row r="10">
      <c r="A10" s="10" t="inlineStr">
        <is>
          <t>Aurangabad</t>
        </is>
      </c>
      <c r="B10" s="11" t="n">
        <v>812300</v>
      </c>
      <c r="C10" s="11" t="n">
        <v>798600</v>
      </c>
      <c r="D10" s="11" t="n">
        <v>845900</v>
      </c>
      <c r="E10" s="11">
        <f>SUM(B10:D10)</f>
        <v/>
      </c>
    </row>
    <row r="11">
      <c r="A11" s="12" t="inlineStr">
        <is>
          <t>Total</t>
        </is>
      </c>
      <c r="B11" s="13">
        <f>SUM(B5:B10)</f>
        <v/>
      </c>
      <c r="C11" s="13">
        <f>SUM(C5:C10)</f>
        <v/>
      </c>
      <c r="D11" s="13">
        <f>SUM(D5:D10)</f>
        <v/>
      </c>
      <c r="E11" s="13">
        <f>SUM(E5:E10)</f>
        <v/>
      </c>
    </row>
    <row r="13">
      <c r="A13" s="14" t="inlineStr">
        <is>
          <t>Q1 targets</t>
        </is>
      </c>
      <c r="B13" s="6" t="n"/>
      <c r="C13" s="6" t="n"/>
    </row>
    <row r="14">
      <c r="A14" s="7" t="inlineStr">
        <is>
          <t>Branch</t>
        </is>
      </c>
      <c r="B14" s="8" t="inlineStr">
        <is>
          <t>Q1 Target (₹)</t>
        </is>
      </c>
      <c r="C14" s="8" t="inlineStr">
        <is>
          <t>Achieved %</t>
        </is>
      </c>
    </row>
    <row r="15">
      <c r="A15" s="10" t="inlineStr">
        <is>
          <t>Pune</t>
        </is>
      </c>
      <c r="B15" s="11" t="n">
        <v>5600000</v>
      </c>
      <c r="C15" s="15">
        <f>E5/B15</f>
        <v/>
      </c>
    </row>
    <row r="16">
      <c r="A16" s="10" t="inlineStr">
        <is>
          <t>Mumbai</t>
        </is>
      </c>
      <c r="B16" s="11" t="n">
        <v>7800000</v>
      </c>
      <c r="C16" s="15">
        <f>E6/B16</f>
        <v/>
      </c>
    </row>
    <row r="17">
      <c r="A17" s="10" t="inlineStr">
        <is>
          <t>Nashik</t>
        </is>
      </c>
      <c r="B17" s="11" t="n">
        <v>3000000</v>
      </c>
      <c r="C17" s="15">
        <f>E7/B17</f>
        <v/>
      </c>
    </row>
    <row r="18">
      <c r="A18" s="10" t="inlineStr">
        <is>
          <t>Nagpur</t>
        </is>
      </c>
      <c r="B18" s="11" t="n">
        <v>3200000</v>
      </c>
      <c r="C18" s="15">
        <f>E8/B18</f>
        <v/>
      </c>
    </row>
    <row r="19">
      <c r="A19" s="10" t="inlineStr">
        <is>
          <t>Kolhapur</t>
        </is>
      </c>
      <c r="B19" s="11" t="n">
        <v>2200000</v>
      </c>
      <c r="C19" s="15">
        <f>E9/B19</f>
        <v/>
      </c>
    </row>
    <row r="20">
      <c r="A20" s="10" t="inlineStr">
        <is>
          <t>Aurangabad</t>
        </is>
      </c>
      <c r="B20" s="11" t="n">
        <v>2400000</v>
      </c>
      <c r="C20" s="15">
        <f>E10/B20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30" customWidth="1" min="4" max="4"/>
    <col width="17" customWidth="1" min="5" max="5"/>
    <col width="9" customWidth="1" min="6" max="6"/>
    <col width="17" customWidth="1" min="7" max="7"/>
    <col width="18" customWidth="1" min="8" max="8"/>
  </cols>
  <sheetData>
    <row r="1">
      <c r="A1" s="2" t="inlineStr">
        <is>
          <t>Invoice No</t>
        </is>
      </c>
      <c r="B1" s="2" t="inlineStr">
        <is>
          <t>Invoice Date</t>
        </is>
      </c>
      <c r="C1" s="2" t="inlineStr">
        <is>
          <t>Due Date</t>
        </is>
      </c>
      <c r="D1" s="2" t="inlineStr">
        <is>
          <t>Customer</t>
        </is>
      </c>
      <c r="E1" s="2" t="inlineStr">
        <is>
          <t>Taxable Value (₹)</t>
        </is>
      </c>
      <c r="F1" s="2" t="inlineStr">
        <is>
          <t>GST Rate</t>
        </is>
      </c>
      <c r="G1" s="2" t="inlineStr">
        <is>
          <t>GST Amount (₹)</t>
        </is>
      </c>
      <c r="H1" s="2" t="inlineStr">
        <is>
          <t>Invoice Total (₹)</t>
        </is>
      </c>
    </row>
    <row r="2">
      <c r="A2" t="inlineStr">
        <is>
          <t>SAF/26-27/0101</t>
        </is>
      </c>
      <c r="B2" t="n">
        <v>46114</v>
      </c>
      <c r="C2" t="n">
        <v>46144</v>
      </c>
      <c r="D2" t="inlineStr">
        <is>
          <t>Reliance Retail Ltd</t>
        </is>
      </c>
      <c r="E2" t="n">
        <v>284500</v>
      </c>
      <c r="F2" t="n">
        <v>0.18</v>
      </c>
      <c r="G2">
        <f>E2*F2</f>
        <v/>
      </c>
      <c r="H2">
        <f>E2+G2</f>
        <v/>
      </c>
    </row>
    <row r="3">
      <c r="A3" t="inlineStr">
        <is>
          <t>SAF/26-27/0102</t>
        </is>
      </c>
      <c r="B3" t="n">
        <v>46116</v>
      </c>
      <c r="C3" t="n">
        <v>46146</v>
      </c>
      <c r="D3" t="inlineStr">
        <is>
          <t>More Retail Pvt Ltd</t>
        </is>
      </c>
      <c r="E3" t="n">
        <v>126800</v>
      </c>
      <c r="F3" t="n">
        <v>0.05</v>
      </c>
      <c r="G3">
        <f>E3*F3</f>
        <v/>
      </c>
      <c r="H3">
        <f>E3+G3</f>
        <v/>
      </c>
    </row>
    <row r="4">
      <c r="A4" t="inlineStr">
        <is>
          <t>SAF/26-27/0103</t>
        </is>
      </c>
      <c r="B4" t="n">
        <v>46119</v>
      </c>
      <c r="C4" t="n">
        <v>46149</v>
      </c>
      <c r="D4" t="inlineStr">
        <is>
          <t>Spencer's Retail Ltd</t>
        </is>
      </c>
      <c r="E4" t="n">
        <v>94350</v>
      </c>
      <c r="F4" t="n">
        <v>0.12</v>
      </c>
      <c r="G4">
        <f>E4*F4</f>
        <v/>
      </c>
      <c r="H4">
        <f>E4+G4</f>
        <v/>
      </c>
    </row>
    <row r="5">
      <c r="A5" t="inlineStr">
        <is>
          <t>SAF/26-27/0104</t>
        </is>
      </c>
      <c r="B5" t="n">
        <v>46121</v>
      </c>
      <c r="C5" t="n">
        <v>46151</v>
      </c>
      <c r="D5" t="inlineStr">
        <is>
          <t>Star Bazaar (Trent Hypermarket)</t>
        </is>
      </c>
      <c r="E5" t="n">
        <v>158200</v>
      </c>
      <c r="F5" t="n">
        <v>0.18</v>
      </c>
      <c r="G5">
        <f>E5*F5</f>
        <v/>
      </c>
      <c r="H5">
        <f>E5+G5</f>
        <v/>
      </c>
    </row>
    <row r="6">
      <c r="A6" t="inlineStr">
        <is>
          <t>SAF/26-27/0105</t>
        </is>
      </c>
      <c r="B6" t="n">
        <v>46123</v>
      </c>
      <c r="C6" t="n">
        <v>46153</v>
      </c>
      <c r="D6" t="inlineStr">
        <is>
          <t>Pune Fresh Mart</t>
        </is>
      </c>
      <c r="E6" t="n">
        <v>46800</v>
      </c>
      <c r="F6" t="n">
        <v>0</v>
      </c>
      <c r="G6">
        <f>E6*F6</f>
        <v/>
      </c>
      <c r="H6">
        <f>E6+G6</f>
        <v/>
      </c>
    </row>
    <row r="7">
      <c r="A7" t="inlineStr">
        <is>
          <t>SAF/26-27/0106</t>
        </is>
      </c>
      <c r="B7" t="n">
        <v>46127</v>
      </c>
      <c r="C7" t="n">
        <v>46157</v>
      </c>
      <c r="D7" t="inlineStr">
        <is>
          <t>Metro Cash &amp; Carry</t>
        </is>
      </c>
      <c r="E7" t="n">
        <v>312600</v>
      </c>
      <c r="F7" s="16" t="n">
        <v>18</v>
      </c>
      <c r="G7">
        <f>E7*F7</f>
        <v/>
      </c>
      <c r="H7">
        <f>E7+G7</f>
        <v/>
      </c>
    </row>
    <row r="8">
      <c r="A8" t="inlineStr">
        <is>
          <t>SAF/26-27/0107</t>
        </is>
      </c>
      <c r="B8" t="n">
        <v>46130</v>
      </c>
      <c r="C8" t="n">
        <v>46160</v>
      </c>
      <c r="D8" t="inlineStr">
        <is>
          <t>Nature's Basket</t>
        </is>
      </c>
      <c r="E8" t="n">
        <v>72450</v>
      </c>
      <c r="F8" t="n">
        <v>0.05</v>
      </c>
      <c r="G8">
        <f>E8*F8</f>
        <v/>
      </c>
      <c r="H8">
        <f>E8+G8</f>
        <v/>
      </c>
    </row>
    <row r="9">
      <c r="A9" t="inlineStr">
        <is>
          <t>SAF/26-27/0108</t>
        </is>
      </c>
      <c r="B9" t="n">
        <v>46133</v>
      </c>
      <c r="C9" t="n">
        <v>46163</v>
      </c>
      <c r="D9" t="inlineStr">
        <is>
          <t>DMart (Avenue Supermarts)</t>
        </is>
      </c>
      <c r="E9" t="n">
        <v>405900</v>
      </c>
      <c r="F9" t="n">
        <v>0.12</v>
      </c>
      <c r="G9">
        <f>E9*F9</f>
        <v/>
      </c>
      <c r="H9">
        <f>E9+G9</f>
        <v/>
      </c>
    </row>
    <row r="10">
      <c r="A10" t="inlineStr">
        <is>
          <t>SAF/26-27/0109</t>
        </is>
      </c>
      <c r="B10" t="n">
        <v>46136</v>
      </c>
      <c r="C10" t="n">
        <v>46166</v>
      </c>
      <c r="D10" t="inlineStr">
        <is>
          <t>Ratnadeep Supermarket</t>
        </is>
      </c>
      <c r="E10" t="n">
        <v>58700</v>
      </c>
      <c r="F10" t="n">
        <v>0.18</v>
      </c>
      <c r="G10">
        <f>E10*F10</f>
        <v/>
      </c>
      <c r="H10">
        <f>E10+G10</f>
        <v/>
      </c>
    </row>
    <row r="11">
      <c r="A11" t="inlineStr">
        <is>
          <t>SAF/26-27/0110</t>
        </is>
      </c>
      <c r="B11" t="n">
        <v>46140</v>
      </c>
      <c r="C11" t="n">
        <v>46170</v>
      </c>
      <c r="D11" t="inlineStr">
        <is>
          <t>Kolhapur Kirana Wholesale</t>
        </is>
      </c>
      <c r="E11" t="n">
        <v>133250</v>
      </c>
      <c r="F11" t="n">
        <v>0.05</v>
      </c>
      <c r="G11">
        <f>E11*F11</f>
        <v/>
      </c>
      <c r="H11">
        <f>E11+G11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30" customWidth="1" min="4" max="4"/>
    <col width="17" customWidth="1" min="5" max="5"/>
    <col width="9" customWidth="1" min="6" max="6"/>
    <col width="17" customWidth="1" min="7" max="7"/>
    <col width="18" customWidth="1" min="8" max="8"/>
  </cols>
  <sheetData>
    <row r="1">
      <c r="A1" s="2" t="inlineStr">
        <is>
          <t>Invoice No</t>
        </is>
      </c>
      <c r="B1" s="2" t="inlineStr">
        <is>
          <t>Invoice Date</t>
        </is>
      </c>
      <c r="C1" s="2" t="inlineStr">
        <is>
          <t>Due Date</t>
        </is>
      </c>
      <c r="D1" s="2" t="inlineStr">
        <is>
          <t>Customer</t>
        </is>
      </c>
      <c r="E1" s="2" t="inlineStr">
        <is>
          <t>Taxable Value (₹)</t>
        </is>
      </c>
      <c r="F1" s="2" t="inlineStr">
        <is>
          <t>GST Rate</t>
        </is>
      </c>
      <c r="G1" s="2" t="inlineStr">
        <is>
          <t>GST Amount (₹)</t>
        </is>
      </c>
      <c r="H1" s="2" t="inlineStr">
        <is>
          <t>Invoice Total (₹)</t>
        </is>
      </c>
    </row>
    <row r="2">
      <c r="A2" t="inlineStr">
        <is>
          <t>SAF/26-27/0101</t>
        </is>
      </c>
      <c r="B2" s="17" t="n">
        <v>46114</v>
      </c>
      <c r="C2" s="18" t="n">
        <v>46144</v>
      </c>
      <c r="D2" t="inlineStr">
        <is>
          <t>Reliance Retail Ltd</t>
        </is>
      </c>
      <c r="E2" s="19" t="n">
        <v>284500</v>
      </c>
      <c r="F2" s="4" t="n">
        <v>0.18</v>
      </c>
      <c r="G2" s="20">
        <f>E2*F2</f>
        <v/>
      </c>
      <c r="H2" s="20">
        <f>E2+G2</f>
        <v/>
      </c>
    </row>
    <row r="3">
      <c r="A3" t="inlineStr">
        <is>
          <t>SAF/26-27/0102</t>
        </is>
      </c>
      <c r="B3" s="17" t="n">
        <v>46116</v>
      </c>
      <c r="C3" s="18" t="n">
        <v>46146</v>
      </c>
      <c r="D3" t="inlineStr">
        <is>
          <t>More Retail Pvt Ltd</t>
        </is>
      </c>
      <c r="E3" s="19" t="n">
        <v>126800</v>
      </c>
      <c r="F3" s="4" t="n">
        <v>0.05</v>
      </c>
      <c r="G3" s="20">
        <f>E3*F3</f>
        <v/>
      </c>
      <c r="H3" s="20">
        <f>E3+G3</f>
        <v/>
      </c>
    </row>
    <row r="4">
      <c r="A4" t="inlineStr">
        <is>
          <t>SAF/26-27/0103</t>
        </is>
      </c>
      <c r="B4" s="17" t="n">
        <v>46119</v>
      </c>
      <c r="C4" s="18" t="n">
        <v>46149</v>
      </c>
      <c r="D4" t="inlineStr">
        <is>
          <t>Spencer's Retail Ltd</t>
        </is>
      </c>
      <c r="E4" s="19" t="n">
        <v>94350</v>
      </c>
      <c r="F4" s="4" t="n">
        <v>0.12</v>
      </c>
      <c r="G4" s="20">
        <f>E4*F4</f>
        <v/>
      </c>
      <c r="H4" s="20">
        <f>E4+G4</f>
        <v/>
      </c>
    </row>
    <row r="5">
      <c r="A5" t="inlineStr">
        <is>
          <t>SAF/26-27/0104</t>
        </is>
      </c>
      <c r="B5" s="17" t="n">
        <v>46121</v>
      </c>
      <c r="C5" s="18" t="n">
        <v>46151</v>
      </c>
      <c r="D5" t="inlineStr">
        <is>
          <t>Star Bazaar (Trent Hypermarket)</t>
        </is>
      </c>
      <c r="E5" s="19" t="n">
        <v>158200</v>
      </c>
      <c r="F5" s="4" t="n">
        <v>0.18</v>
      </c>
      <c r="G5" s="20">
        <f>E5*F5</f>
        <v/>
      </c>
      <c r="H5" s="20">
        <f>E5+G5</f>
        <v/>
      </c>
    </row>
    <row r="6">
      <c r="A6" t="inlineStr">
        <is>
          <t>SAF/26-27/0105</t>
        </is>
      </c>
      <c r="B6" s="17" t="n">
        <v>46123</v>
      </c>
      <c r="C6" s="18" t="n">
        <v>46153</v>
      </c>
      <c r="D6" t="inlineStr">
        <is>
          <t>Pune Fresh Mart</t>
        </is>
      </c>
      <c r="E6" s="19" t="n">
        <v>46800</v>
      </c>
      <c r="F6" s="4" t="n">
        <v>0</v>
      </c>
      <c r="G6" s="20">
        <f>E6*F6</f>
        <v/>
      </c>
      <c r="H6" s="20">
        <f>E6+G6</f>
        <v/>
      </c>
    </row>
    <row r="7">
      <c r="A7" t="inlineStr">
        <is>
          <t>SAF/26-27/0106</t>
        </is>
      </c>
      <c r="B7" s="17" t="n">
        <v>46127</v>
      </c>
      <c r="C7" s="18" t="n">
        <v>46157</v>
      </c>
      <c r="D7" t="inlineStr">
        <is>
          <t>Metro Cash &amp; Carry</t>
        </is>
      </c>
      <c r="E7" s="19" t="n">
        <v>312600</v>
      </c>
      <c r="F7" s="21" t="n">
        <v>0.18</v>
      </c>
      <c r="G7" s="20">
        <f>E7*F7</f>
        <v/>
      </c>
      <c r="H7" s="20">
        <f>E7+G7</f>
        <v/>
      </c>
    </row>
    <row r="8">
      <c r="A8" t="inlineStr">
        <is>
          <t>SAF/26-27/0107</t>
        </is>
      </c>
      <c r="B8" s="17" t="n">
        <v>46130</v>
      </c>
      <c r="C8" s="18" t="n">
        <v>46160</v>
      </c>
      <c r="D8" t="inlineStr">
        <is>
          <t>Nature's Basket</t>
        </is>
      </c>
      <c r="E8" s="19" t="n">
        <v>72450</v>
      </c>
      <c r="F8" s="4" t="n">
        <v>0.05</v>
      </c>
      <c r="G8" s="20">
        <f>E8*F8</f>
        <v/>
      </c>
      <c r="H8" s="20">
        <f>E8+G8</f>
        <v/>
      </c>
    </row>
    <row r="9">
      <c r="A9" t="inlineStr">
        <is>
          <t>SAF/26-27/0108</t>
        </is>
      </c>
      <c r="B9" s="17" t="n">
        <v>46133</v>
      </c>
      <c r="C9" s="18" t="n">
        <v>46163</v>
      </c>
      <c r="D9" t="inlineStr">
        <is>
          <t>DMart (Avenue Supermarts)</t>
        </is>
      </c>
      <c r="E9" s="19" t="n">
        <v>405900</v>
      </c>
      <c r="F9" s="4" t="n">
        <v>0.12</v>
      </c>
      <c r="G9" s="20">
        <f>E9*F9</f>
        <v/>
      </c>
      <c r="H9" s="20">
        <f>E9+G9</f>
        <v/>
      </c>
    </row>
    <row r="10">
      <c r="A10" t="inlineStr">
        <is>
          <t>SAF/26-27/0109</t>
        </is>
      </c>
      <c r="B10" s="17" t="n">
        <v>46136</v>
      </c>
      <c r="C10" s="18" t="n">
        <v>46166</v>
      </c>
      <c r="D10" t="inlineStr">
        <is>
          <t>Ratnadeep Supermarket</t>
        </is>
      </c>
      <c r="E10" s="19" t="n">
        <v>58700</v>
      </c>
      <c r="F10" s="4" t="n">
        <v>0.18</v>
      </c>
      <c r="G10" s="20">
        <f>E10*F10</f>
        <v/>
      </c>
      <c r="H10" s="20">
        <f>E10+G10</f>
        <v/>
      </c>
    </row>
    <row r="11">
      <c r="A11" t="inlineStr">
        <is>
          <t>SAF/26-27/0110</t>
        </is>
      </c>
      <c r="B11" s="17" t="n">
        <v>46140</v>
      </c>
      <c r="C11" s="18" t="n">
        <v>46170</v>
      </c>
      <c r="D11" t="inlineStr">
        <is>
          <t>Kolhapur Kirana Wholesale</t>
        </is>
      </c>
      <c r="E11" s="19" t="n">
        <v>133250</v>
      </c>
      <c r="F11" s="4" t="n">
        <v>0.05</v>
      </c>
      <c r="G11" s="20">
        <f>E11*F11</f>
        <v/>
      </c>
      <c r="H11" s="20">
        <f>E11+G11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5" customWidth="1" min="4" max="4"/>
    <col width="15" customWidth="1" min="5" max="5"/>
    <col width="13" customWidth="1" min="6" max="6"/>
    <col width="3" customWidth="1" min="7" max="7"/>
    <col width="22" customWidth="1" min="8" max="8"/>
  </cols>
  <sheetData>
    <row r="1">
      <c r="A1" s="2" t="inlineStr">
        <is>
          <t>Branch</t>
        </is>
      </c>
      <c r="B1" s="2" t="inlineStr">
        <is>
          <t>Revenue FY26 (₹)</t>
        </is>
      </c>
      <c r="C1" s="2" t="inlineStr">
        <is>
          <t>Marketing Spend (₹)</t>
        </is>
      </c>
      <c r="D1" s="2" t="inlineStr">
        <is>
          <t>Revenue (₹ Cr)</t>
        </is>
      </c>
      <c r="E1" s="2" t="inlineStr">
        <is>
          <t>Growth vs FY25</t>
        </is>
      </c>
      <c r="F1" s="2" t="inlineStr">
        <is>
          <t>Units Sold</t>
        </is>
      </c>
      <c r="H1" s="2" t="inlineStr">
        <is>
          <t>Marketing Spend (₹ L)</t>
        </is>
      </c>
    </row>
    <row r="2">
      <c r="A2" t="inlineStr">
        <is>
          <t>Pune</t>
        </is>
      </c>
      <c r="B2" t="n">
        <v>184562300</v>
      </c>
      <c r="C2" t="n">
        <v>845000</v>
      </c>
      <c r="D2">
        <f>B2/10000000</f>
        <v/>
      </c>
      <c r="E2" t="n">
        <v>0.124</v>
      </c>
      <c r="F2" t="n">
        <v>4520</v>
      </c>
      <c r="H2" s="16" t="n"/>
    </row>
    <row r="3">
      <c r="A3" t="inlineStr">
        <is>
          <t>Mumbai</t>
        </is>
      </c>
      <c r="B3" t="n">
        <v>312845600</v>
      </c>
      <c r="C3" t="n">
        <v>1268000</v>
      </c>
      <c r="D3">
        <f>B3/10000000</f>
        <v/>
      </c>
      <c r="E3" t="n">
        <v>-0.035</v>
      </c>
      <c r="F3" t="n">
        <v>7810</v>
      </c>
      <c r="H3" s="16" t="n"/>
    </row>
    <row r="4">
      <c r="A4" t="inlineStr">
        <is>
          <t>Nashik</t>
        </is>
      </c>
      <c r="B4" t="n">
        <v>96432150</v>
      </c>
      <c r="C4" t="n">
        <v>412500</v>
      </c>
      <c r="D4">
        <f>B4/10000000</f>
        <v/>
      </c>
      <c r="E4" t="n">
        <v>0.08699999999999999</v>
      </c>
      <c r="F4" t="n">
        <v>2950</v>
      </c>
      <c r="H4" s="16" t="n"/>
    </row>
    <row r="5">
      <c r="A5" t="inlineStr">
        <is>
          <t>Nagpur</t>
        </is>
      </c>
      <c r="B5" t="n">
        <v>78215400</v>
      </c>
      <c r="C5" t="n">
        <v>368000</v>
      </c>
      <c r="D5">
        <f>B5/10000000</f>
        <v/>
      </c>
      <c r="E5" t="n">
        <v>0</v>
      </c>
      <c r="F5" s="16" t="inlineStr">
        <is>
          <t>1250 units</t>
        </is>
      </c>
      <c r="H5" s="16" t="n"/>
    </row>
    <row r="6">
      <c r="A6" t="inlineStr">
        <is>
          <t>Kolhapur</t>
        </is>
      </c>
      <c r="B6" t="n">
        <v>54327800</v>
      </c>
      <c r="C6" t="n">
        <v>291400</v>
      </c>
      <c r="D6">
        <f>B6/10000000</f>
        <v/>
      </c>
      <c r="E6" t="n">
        <v>0.152</v>
      </c>
      <c r="F6" t="n">
        <v>1820</v>
      </c>
      <c r="H6" s="16" t="n"/>
    </row>
    <row r="7">
      <c r="A7" t="inlineStr">
        <is>
          <t>Aurangabad</t>
        </is>
      </c>
      <c r="B7" t="n">
        <v>61598200</v>
      </c>
      <c r="C7" t="n">
        <v>305750</v>
      </c>
      <c r="D7">
        <f>B7/10000000</f>
        <v/>
      </c>
      <c r="E7" t="n">
        <v>-0.061</v>
      </c>
      <c r="F7" t="n">
        <v>1975</v>
      </c>
      <c r="H7" s="16" t="n"/>
    </row>
    <row r="8">
      <c r="A8" t="inlineStr">
        <is>
          <t>Solapur</t>
        </is>
      </c>
      <c r="B8" t="n">
        <v>38764500</v>
      </c>
      <c r="C8" t="n">
        <v>187300</v>
      </c>
      <c r="D8">
        <f>B8/10000000</f>
        <v/>
      </c>
      <c r="E8" t="n">
        <v>0.043</v>
      </c>
      <c r="F8" t="n">
        <v>1410</v>
      </c>
      <c r="H8" s="16" t="n"/>
    </row>
    <row r="9">
      <c r="A9" t="inlineStr">
        <is>
          <t>Satara</t>
        </is>
      </c>
      <c r="B9" t="n">
        <v>27459300</v>
      </c>
      <c r="C9" t="n">
        <v>142800</v>
      </c>
      <c r="D9">
        <f>B9/10000000</f>
        <v/>
      </c>
      <c r="E9" t="n">
        <v>0.098</v>
      </c>
      <c r="F9" t="n">
        <v>1085</v>
      </c>
      <c r="H9" s="16" t="n"/>
    </row>
    <row r="10">
      <c r="A10" t="inlineStr">
        <is>
          <t>Sangli</t>
        </is>
      </c>
      <c r="B10" t="n">
        <v>31286700</v>
      </c>
      <c r="C10" t="n">
        <v>156900</v>
      </c>
      <c r="D10">
        <f>B10/10000000</f>
        <v/>
      </c>
      <c r="E10" t="n">
        <v>0.021</v>
      </c>
      <c r="F10" t="n">
        <v>1190</v>
      </c>
      <c r="H10" s="16" t="n"/>
    </row>
    <row r="11">
      <c r="A11" t="inlineStr">
        <is>
          <t>Ratnagiri</t>
        </is>
      </c>
      <c r="B11" t="n">
        <v>9854600</v>
      </c>
      <c r="C11" t="n">
        <v>64500</v>
      </c>
      <c r="D11">
        <f>B11/10000000</f>
        <v/>
      </c>
      <c r="E11" t="n">
        <v>-0.012</v>
      </c>
      <c r="F11" t="n">
        <v>640</v>
      </c>
      <c r="H11" s="16" t="n"/>
    </row>
    <row r="12">
      <c r="A12" s="22" t="inlineStr">
        <is>
          <t>Total</t>
        </is>
      </c>
      <c r="B12">
        <f>SUM(B2:B11)</f>
        <v/>
      </c>
      <c r="C12">
        <f>SUM(C2:C11)</f>
        <v/>
      </c>
      <c r="D12">
        <f>B12/10000000</f>
        <v/>
      </c>
      <c r="F12">
        <f>SUM(F2:F11)</f>
        <v/>
      </c>
    </row>
    <row r="14">
      <c r="A14" s="23" t="inlineStr">
        <is>
          <t>Challenge: in H2:H11 show the marketing spend in lakh, e.g. ₹8.45 L (a formula like column D, plus a custom format).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5" customWidth="1" min="4" max="4"/>
    <col width="15" customWidth="1" min="5" max="5"/>
    <col width="13" customWidth="1" min="6" max="6"/>
    <col width="3" customWidth="1" min="7" max="7"/>
    <col width="22" customWidth="1" min="8" max="8"/>
  </cols>
  <sheetData>
    <row r="1">
      <c r="A1" s="2" t="inlineStr">
        <is>
          <t>Branch</t>
        </is>
      </c>
      <c r="B1" s="2" t="inlineStr">
        <is>
          <t>Revenue FY26 (₹)</t>
        </is>
      </c>
      <c r="C1" s="2" t="inlineStr">
        <is>
          <t>Marketing Spend (₹)</t>
        </is>
      </c>
      <c r="D1" s="2" t="inlineStr">
        <is>
          <t>Revenue (₹ Cr)</t>
        </is>
      </c>
      <c r="E1" s="2" t="inlineStr">
        <is>
          <t>Growth vs FY25</t>
        </is>
      </c>
      <c r="F1" s="2" t="inlineStr">
        <is>
          <t>Units Sold</t>
        </is>
      </c>
      <c r="H1" s="2" t="inlineStr">
        <is>
          <t>Marketing Spend (₹ L)</t>
        </is>
      </c>
    </row>
    <row r="2">
      <c r="A2" t="inlineStr">
        <is>
          <t>Pune</t>
        </is>
      </c>
      <c r="B2" s="3" t="n">
        <v>184562300</v>
      </c>
      <c r="C2" s="24" t="n">
        <v>845000</v>
      </c>
      <c r="D2" s="25">
        <f>B2/10000000</f>
        <v/>
      </c>
      <c r="E2" s="26" t="n">
        <v>0.124</v>
      </c>
      <c r="F2" s="27" t="n">
        <v>4520</v>
      </c>
      <c r="H2" s="28">
        <f>C2/100000</f>
        <v/>
      </c>
    </row>
    <row r="3">
      <c r="A3" t="inlineStr">
        <is>
          <t>Mumbai</t>
        </is>
      </c>
      <c r="B3" s="3" t="n">
        <v>312845600</v>
      </c>
      <c r="C3" s="24" t="n">
        <v>1268000</v>
      </c>
      <c r="D3" s="25">
        <f>B3/10000000</f>
        <v/>
      </c>
      <c r="E3" s="26" t="n">
        <v>-0.035</v>
      </c>
      <c r="F3" s="27" t="n">
        <v>7810</v>
      </c>
      <c r="H3" s="28">
        <f>C3/100000</f>
        <v/>
      </c>
    </row>
    <row r="4">
      <c r="A4" t="inlineStr">
        <is>
          <t>Nashik</t>
        </is>
      </c>
      <c r="B4" s="3" t="n">
        <v>96432150</v>
      </c>
      <c r="C4" s="24" t="n">
        <v>412500</v>
      </c>
      <c r="D4" s="25">
        <f>B4/10000000</f>
        <v/>
      </c>
      <c r="E4" s="26" t="n">
        <v>0.08699999999999999</v>
      </c>
      <c r="F4" s="27" t="n">
        <v>2950</v>
      </c>
      <c r="H4" s="28">
        <f>C4/100000</f>
        <v/>
      </c>
    </row>
    <row r="5">
      <c r="A5" t="inlineStr">
        <is>
          <t>Nagpur</t>
        </is>
      </c>
      <c r="B5" s="3" t="n">
        <v>78215400</v>
      </c>
      <c r="C5" s="24" t="n">
        <v>368000</v>
      </c>
      <c r="D5" s="25">
        <f>B5/10000000</f>
        <v/>
      </c>
      <c r="E5" s="26" t="n">
        <v>0</v>
      </c>
      <c r="F5" s="29" t="n">
        <v>1250</v>
      </c>
      <c r="H5" s="28">
        <f>C5/100000</f>
        <v/>
      </c>
    </row>
    <row r="6">
      <c r="A6" t="inlineStr">
        <is>
          <t>Kolhapur</t>
        </is>
      </c>
      <c r="B6" s="3" t="n">
        <v>54327800</v>
      </c>
      <c r="C6" s="24" t="n">
        <v>291400</v>
      </c>
      <c r="D6" s="25">
        <f>B6/10000000</f>
        <v/>
      </c>
      <c r="E6" s="26" t="n">
        <v>0.152</v>
      </c>
      <c r="F6" s="27" t="n">
        <v>1820</v>
      </c>
      <c r="H6" s="28">
        <f>C6/100000</f>
        <v/>
      </c>
    </row>
    <row r="7">
      <c r="A7" t="inlineStr">
        <is>
          <t>Aurangabad</t>
        </is>
      </c>
      <c r="B7" s="3" t="n">
        <v>61598200</v>
      </c>
      <c r="C7" s="24" t="n">
        <v>305750</v>
      </c>
      <c r="D7" s="25">
        <f>B7/10000000</f>
        <v/>
      </c>
      <c r="E7" s="26" t="n">
        <v>-0.061</v>
      </c>
      <c r="F7" s="27" t="n">
        <v>1975</v>
      </c>
      <c r="H7" s="28">
        <f>C7/100000</f>
        <v/>
      </c>
    </row>
    <row r="8">
      <c r="A8" t="inlineStr">
        <is>
          <t>Solapur</t>
        </is>
      </c>
      <c r="B8" s="3" t="n">
        <v>38764500</v>
      </c>
      <c r="C8" s="24" t="n">
        <v>187300</v>
      </c>
      <c r="D8" s="25">
        <f>B8/10000000</f>
        <v/>
      </c>
      <c r="E8" s="26" t="n">
        <v>0.043</v>
      </c>
      <c r="F8" s="27" t="n">
        <v>1410</v>
      </c>
      <c r="H8" s="28">
        <f>C8/100000</f>
        <v/>
      </c>
    </row>
    <row r="9">
      <c r="A9" t="inlineStr">
        <is>
          <t>Satara</t>
        </is>
      </c>
      <c r="B9" s="3" t="n">
        <v>27459300</v>
      </c>
      <c r="C9" s="24" t="n">
        <v>142800</v>
      </c>
      <c r="D9" s="25">
        <f>B9/10000000</f>
        <v/>
      </c>
      <c r="E9" s="26" t="n">
        <v>0.098</v>
      </c>
      <c r="F9" s="27" t="n">
        <v>1085</v>
      </c>
      <c r="H9" s="28">
        <f>C9/100000</f>
        <v/>
      </c>
    </row>
    <row r="10">
      <c r="A10" t="inlineStr">
        <is>
          <t>Sangli</t>
        </is>
      </c>
      <c r="B10" s="3" t="n">
        <v>31286700</v>
      </c>
      <c r="C10" s="24" t="n">
        <v>156900</v>
      </c>
      <c r="D10" s="25">
        <f>B10/10000000</f>
        <v/>
      </c>
      <c r="E10" s="26" t="n">
        <v>0.021</v>
      </c>
      <c r="F10" s="27" t="n">
        <v>1190</v>
      </c>
      <c r="H10" s="28">
        <f>C10/100000</f>
        <v/>
      </c>
    </row>
    <row r="11">
      <c r="A11" t="inlineStr">
        <is>
          <t>Ratnagiri</t>
        </is>
      </c>
      <c r="B11" s="3" t="n">
        <v>9854600</v>
      </c>
      <c r="C11" s="24" t="n">
        <v>64500</v>
      </c>
      <c r="D11" s="25">
        <f>B11/10000000</f>
        <v/>
      </c>
      <c r="E11" s="26" t="n">
        <v>-0.012</v>
      </c>
      <c r="F11" s="27" t="n">
        <v>640</v>
      </c>
      <c r="H11" s="28">
        <f>C11/100000</f>
        <v/>
      </c>
    </row>
    <row r="12">
      <c r="A12" s="22" t="inlineStr">
        <is>
          <t>Total</t>
        </is>
      </c>
      <c r="B12" s="3">
        <f>SUM(B2:B11)</f>
        <v/>
      </c>
      <c r="C12" s="24">
        <f>SUM(C2:C11)</f>
        <v/>
      </c>
      <c r="D12" s="25">
        <f>B12/10000000</f>
        <v/>
      </c>
      <c r="F12" s="27">
        <f>SUM(F2:F11)</f>
        <v/>
      </c>
    </row>
    <row r="14">
      <c r="A14" s="23" t="inlineStr">
        <is>
          <t>Challenge: in H2:H11 show the marketing spend in lakh, e.g. ₹8.45 L (a formula like column D, plus a custom format).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4" customWidth="1" min="4" max="4"/>
    <col width="11" customWidth="1" min="5" max="5"/>
    <col width="13" customWidth="1" min="6" max="6"/>
    <col width="3" customWidth="1" min="7" max="7"/>
    <col width="36" customWidth="1" min="8" max="8"/>
    <col width="12" customWidth="1" min="9" max="9"/>
  </cols>
  <sheetData>
    <row r="1">
      <c r="A1" t="inlineStr">
        <is>
          <t>Travel expense claims - April 2026</t>
        </is>
      </c>
    </row>
    <row r="2">
      <c r="A2" s="30" t="inlineStr">
        <is>
          <t>Prepared by Finance, Pune office</t>
        </is>
      </c>
    </row>
    <row r="3">
      <c r="A3" t="inlineStr">
        <is>
          <t>Date</t>
        </is>
      </c>
      <c r="B3" t="inlineStr">
        <is>
          <t>Employee</t>
        </is>
      </c>
      <c r="C3" t="inlineStr">
        <is>
          <t>City</t>
        </is>
      </c>
      <c r="D3" t="inlineStr">
        <is>
          <t>Category</t>
        </is>
      </c>
      <c r="E3" t="inlineStr">
        <is>
          <t>Approved</t>
        </is>
      </c>
      <c r="F3" t="inlineStr">
        <is>
          <t>Amount (₹)</t>
        </is>
      </c>
      <c r="H3" s="22" t="inlineStr">
        <is>
          <t>Challenge: total of approved claims only</t>
        </is>
      </c>
      <c r="I3" s="31" t="n"/>
    </row>
    <row r="4">
      <c r="A4" s="17" t="n">
        <v>46114</v>
      </c>
      <c r="B4" t="inlineStr">
        <is>
          <t>Anil Kapoor</t>
        </is>
      </c>
      <c r="C4" t="inlineStr">
        <is>
          <t>Mumbai</t>
        </is>
      </c>
      <c r="D4" t="inlineStr">
        <is>
          <t>Air travel</t>
        </is>
      </c>
      <c r="E4" t="inlineStr">
        <is>
          <t>Yes</t>
        </is>
      </c>
      <c r="F4" s="3" t="n">
        <v>12450</v>
      </c>
    </row>
    <row r="5">
      <c r="A5" s="17" t="n">
        <v>46115</v>
      </c>
      <c r="B5" t="inlineStr">
        <is>
          <t>Anil Kapoor</t>
        </is>
      </c>
      <c r="C5" t="inlineStr">
        <is>
          <t>Mumbai</t>
        </is>
      </c>
      <c r="D5" t="inlineStr">
        <is>
          <t>Hotel</t>
        </is>
      </c>
      <c r="E5" t="inlineStr">
        <is>
          <t>Yes</t>
        </is>
      </c>
      <c r="F5" s="3" t="n">
        <v>8600</v>
      </c>
    </row>
    <row r="6">
      <c r="A6" s="17" t="n">
        <v>46118</v>
      </c>
      <c r="B6" t="inlineStr">
        <is>
          <t>Sunita Rao</t>
        </is>
      </c>
      <c r="C6" t="inlineStr">
        <is>
          <t>Bengaluru</t>
        </is>
      </c>
      <c r="D6" t="inlineStr">
        <is>
          <t>Local taxi</t>
        </is>
      </c>
      <c r="E6" t="inlineStr">
        <is>
          <t>Yes</t>
        </is>
      </c>
      <c r="F6" s="3" t="n">
        <v>1240</v>
      </c>
    </row>
    <row r="7">
      <c r="A7" s="17" t="n">
        <v>46120</v>
      </c>
      <c r="B7" t="inlineStr">
        <is>
          <t>Sunita Rao</t>
        </is>
      </c>
      <c r="C7" t="inlineStr">
        <is>
          <t>Bengaluru</t>
        </is>
      </c>
      <c r="D7" t="inlineStr">
        <is>
          <t>Meals</t>
        </is>
      </c>
      <c r="E7" t="inlineStr">
        <is>
          <t>No</t>
        </is>
      </c>
      <c r="F7" s="3" t="n">
        <v>2380</v>
      </c>
    </row>
    <row r="8">
      <c r="A8" s="17" t="n">
        <v>46121</v>
      </c>
      <c r="B8" t="inlineStr">
        <is>
          <t>Faisal Ahmed</t>
        </is>
      </c>
      <c r="C8" t="inlineStr">
        <is>
          <t>Delhi</t>
        </is>
      </c>
      <c r="D8" t="inlineStr">
        <is>
          <t>Train travel</t>
        </is>
      </c>
      <c r="E8" t="inlineStr">
        <is>
          <t>Yes</t>
        </is>
      </c>
      <c r="F8" s="3" t="n">
        <v>3150</v>
      </c>
    </row>
    <row r="9">
      <c r="A9" s="17" t="n">
        <v>46125</v>
      </c>
      <c r="B9" t="inlineStr">
        <is>
          <t>Faisal Ahmed</t>
        </is>
      </c>
      <c r="C9" t="inlineStr">
        <is>
          <t>Delhi</t>
        </is>
      </c>
      <c r="D9" t="inlineStr">
        <is>
          <t>Hotel</t>
        </is>
      </c>
      <c r="E9" t="inlineStr">
        <is>
          <t>Yes</t>
        </is>
      </c>
      <c r="F9" s="3" t="n">
        <v>9800</v>
      </c>
    </row>
    <row r="10">
      <c r="A10" s="17" t="n">
        <v>46127</v>
      </c>
      <c r="B10" t="inlineStr">
        <is>
          <t>Meera Pillai</t>
        </is>
      </c>
      <c r="C10" t="inlineStr">
        <is>
          <t>Kochi</t>
        </is>
      </c>
      <c r="D10" t="inlineStr">
        <is>
          <t>Air travel</t>
        </is>
      </c>
      <c r="E10" t="inlineStr">
        <is>
          <t>Yes</t>
        </is>
      </c>
      <c r="F10" s="3" t="n">
        <v>10975</v>
      </c>
    </row>
    <row r="11">
      <c r="A11" s="17" t="n">
        <v>46128</v>
      </c>
      <c r="B11" t="inlineStr">
        <is>
          <t>Meera Pillai</t>
        </is>
      </c>
      <c r="C11" t="inlineStr">
        <is>
          <t>Kochi</t>
        </is>
      </c>
      <c r="D11" t="inlineStr">
        <is>
          <t>Meals</t>
        </is>
      </c>
      <c r="E11" t="inlineStr">
        <is>
          <t>Yes</t>
        </is>
      </c>
      <c r="F11" s="3" t="n">
        <v>1860</v>
      </c>
    </row>
    <row r="12">
      <c r="A12" s="17" t="n">
        <v>46132</v>
      </c>
      <c r="B12" t="inlineStr">
        <is>
          <t>Rohan Desai</t>
        </is>
      </c>
      <c r="C12" t="inlineStr">
        <is>
          <t>Ahmedabad</t>
        </is>
      </c>
      <c r="D12" t="inlineStr">
        <is>
          <t>Local taxi</t>
        </is>
      </c>
      <c r="E12" t="inlineStr">
        <is>
          <t>No</t>
        </is>
      </c>
      <c r="F12" s="3" t="n">
        <v>940</v>
      </c>
    </row>
    <row r="13">
      <c r="A13" s="17" t="n">
        <v>46134</v>
      </c>
      <c r="B13" t="inlineStr">
        <is>
          <t>Rohan Desai</t>
        </is>
      </c>
      <c r="C13" t="inlineStr">
        <is>
          <t>Ahmedabad</t>
        </is>
      </c>
      <c r="D13" t="inlineStr">
        <is>
          <t>Hotel</t>
        </is>
      </c>
      <c r="E13" t="inlineStr">
        <is>
          <t>Yes</t>
        </is>
      </c>
      <c r="F13" s="3" t="n">
        <v>7450</v>
      </c>
    </row>
    <row r="14">
      <c r="A14" s="17" t="n">
        <v>46139</v>
      </c>
      <c r="B14" t="inlineStr">
        <is>
          <t>Kavya Menon</t>
        </is>
      </c>
      <c r="C14" t="inlineStr">
        <is>
          <t>Chennai</t>
        </is>
      </c>
      <c r="D14" t="inlineStr">
        <is>
          <t>Train travel</t>
        </is>
      </c>
      <c r="E14" t="inlineStr">
        <is>
          <t>Yes</t>
        </is>
      </c>
      <c r="F14" s="3" t="n">
        <v>2870</v>
      </c>
    </row>
    <row r="15">
      <c r="A15" s="17" t="n">
        <v>46141</v>
      </c>
      <c r="B15" t="inlineStr">
        <is>
          <t>Kavya Menon</t>
        </is>
      </c>
      <c r="C15" t="inlineStr">
        <is>
          <t>Chennai</t>
        </is>
      </c>
      <c r="D15" t="inlineStr">
        <is>
          <t>Meals</t>
        </is>
      </c>
      <c r="E15" t="inlineStr">
        <is>
          <t>Yes</t>
        </is>
      </c>
      <c r="F15" s="3" t="n">
        <v>1520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4" customWidth="1" min="4" max="4"/>
    <col width="11" customWidth="1" min="5" max="5"/>
    <col width="13" customWidth="1" min="6" max="6"/>
    <col width="3" customWidth="1" min="7" max="7"/>
    <col width="36" customWidth="1" min="8" max="8"/>
    <col width="12" customWidth="1" min="9" max="9"/>
  </cols>
  <sheetData>
    <row r="1">
      <c r="A1" s="32" t="inlineStr">
        <is>
          <t>Travel expense claims - April 2026</t>
        </is>
      </c>
    </row>
    <row r="2">
      <c r="A2" s="33" t="inlineStr">
        <is>
          <t>Prepared by Finance, Pune office</t>
        </is>
      </c>
    </row>
    <row r="3">
      <c r="A3" t="inlineStr">
        <is>
          <t>Date</t>
        </is>
      </c>
      <c r="B3" t="inlineStr">
        <is>
          <t>Employee</t>
        </is>
      </c>
      <c r="C3" t="inlineStr">
        <is>
          <t>City</t>
        </is>
      </c>
      <c r="D3" t="inlineStr">
        <is>
          <t>Category</t>
        </is>
      </c>
      <c r="E3" t="inlineStr">
        <is>
          <t>Approved</t>
        </is>
      </c>
      <c r="F3" t="inlineStr">
        <is>
          <t>Amount (₹)</t>
        </is>
      </c>
      <c r="H3" s="22" t="inlineStr">
        <is>
          <t>Challenge: total of approved claims only</t>
        </is>
      </c>
      <c r="I3" s="31" t="n">
        <v>59915</v>
      </c>
    </row>
    <row r="4">
      <c r="A4" s="17" t="n">
        <v>46114</v>
      </c>
      <c r="B4" t="inlineStr">
        <is>
          <t>Anil Kapoor</t>
        </is>
      </c>
      <c r="C4" t="inlineStr">
        <is>
          <t>Mumbai</t>
        </is>
      </c>
      <c r="D4" t="inlineStr">
        <is>
          <t>Air travel</t>
        </is>
      </c>
      <c r="E4" t="inlineStr">
        <is>
          <t>Yes</t>
        </is>
      </c>
      <c r="F4" s="3" t="n">
        <v>12450</v>
      </c>
    </row>
    <row r="5">
      <c r="A5" s="17" t="n">
        <v>46115</v>
      </c>
      <c r="B5" t="inlineStr">
        <is>
          <t>Anil Kapoor</t>
        </is>
      </c>
      <c r="C5" t="inlineStr">
        <is>
          <t>Mumbai</t>
        </is>
      </c>
      <c r="D5" t="inlineStr">
        <is>
          <t>Hotel</t>
        </is>
      </c>
      <c r="E5" t="inlineStr">
        <is>
          <t>Yes</t>
        </is>
      </c>
      <c r="F5" s="3" t="n">
        <v>8600</v>
      </c>
    </row>
    <row r="6">
      <c r="A6" s="17" t="n">
        <v>46118</v>
      </c>
      <c r="B6" t="inlineStr">
        <is>
          <t>Sunita Rao</t>
        </is>
      </c>
      <c r="C6" t="inlineStr">
        <is>
          <t>Bengaluru</t>
        </is>
      </c>
      <c r="D6" t="inlineStr">
        <is>
          <t>Local taxi</t>
        </is>
      </c>
      <c r="E6" t="inlineStr">
        <is>
          <t>Yes</t>
        </is>
      </c>
      <c r="F6" s="3" t="n">
        <v>1240</v>
      </c>
    </row>
    <row r="7">
      <c r="A7" s="17" t="n">
        <v>46120</v>
      </c>
      <c r="B7" t="inlineStr">
        <is>
          <t>Sunita Rao</t>
        </is>
      </c>
      <c r="C7" t="inlineStr">
        <is>
          <t>Bengaluru</t>
        </is>
      </c>
      <c r="D7" t="inlineStr">
        <is>
          <t>Meals</t>
        </is>
      </c>
      <c r="E7" t="inlineStr">
        <is>
          <t>No</t>
        </is>
      </c>
      <c r="F7" s="3" t="n">
        <v>2380</v>
      </c>
    </row>
    <row r="8">
      <c r="A8" s="17" t="n">
        <v>46121</v>
      </c>
      <c r="B8" t="inlineStr">
        <is>
          <t>Faisal Ahmed</t>
        </is>
      </c>
      <c r="C8" t="inlineStr">
        <is>
          <t>Delhi</t>
        </is>
      </c>
      <c r="D8" t="inlineStr">
        <is>
          <t>Train travel</t>
        </is>
      </c>
      <c r="E8" t="inlineStr">
        <is>
          <t>Yes</t>
        </is>
      </c>
      <c r="F8" s="3" t="n">
        <v>3150</v>
      </c>
    </row>
    <row r="9">
      <c r="A9" s="17" t="n">
        <v>46125</v>
      </c>
      <c r="B9" t="inlineStr">
        <is>
          <t>Faisal Ahmed</t>
        </is>
      </c>
      <c r="C9" t="inlineStr">
        <is>
          <t>Delhi</t>
        </is>
      </c>
      <c r="D9" t="inlineStr">
        <is>
          <t>Hotel</t>
        </is>
      </c>
      <c r="E9" t="inlineStr">
        <is>
          <t>Yes</t>
        </is>
      </c>
      <c r="F9" s="3" t="n">
        <v>9800</v>
      </c>
    </row>
    <row r="10">
      <c r="A10" s="17" t="n">
        <v>46127</v>
      </c>
      <c r="B10" t="inlineStr">
        <is>
          <t>Meera Pillai</t>
        </is>
      </c>
      <c r="C10" t="inlineStr">
        <is>
          <t>Kochi</t>
        </is>
      </c>
      <c r="D10" t="inlineStr">
        <is>
          <t>Air travel</t>
        </is>
      </c>
      <c r="E10" t="inlineStr">
        <is>
          <t>Yes</t>
        </is>
      </c>
      <c r="F10" s="3" t="n">
        <v>10975</v>
      </c>
    </row>
    <row r="11">
      <c r="A11" s="17" t="n">
        <v>46128</v>
      </c>
      <c r="B11" t="inlineStr">
        <is>
          <t>Meera Pillai</t>
        </is>
      </c>
      <c r="C11" t="inlineStr">
        <is>
          <t>Kochi</t>
        </is>
      </c>
      <c r="D11" t="inlineStr">
        <is>
          <t>Meals</t>
        </is>
      </c>
      <c r="E11" t="inlineStr">
        <is>
          <t>Yes</t>
        </is>
      </c>
      <c r="F11" s="3" t="n">
        <v>1860</v>
      </c>
    </row>
    <row r="12">
      <c r="A12" s="17" t="n">
        <v>46132</v>
      </c>
      <c r="B12" t="inlineStr">
        <is>
          <t>Rohan Desai</t>
        </is>
      </c>
      <c r="C12" t="inlineStr">
        <is>
          <t>Ahmedabad</t>
        </is>
      </c>
      <c r="D12" t="inlineStr">
        <is>
          <t>Local taxi</t>
        </is>
      </c>
      <c r="E12" t="inlineStr">
        <is>
          <t>No</t>
        </is>
      </c>
      <c r="F12" s="3" t="n">
        <v>940</v>
      </c>
    </row>
    <row r="13">
      <c r="A13" s="17" t="n">
        <v>46134</v>
      </c>
      <c r="B13" t="inlineStr">
        <is>
          <t>Rohan Desai</t>
        </is>
      </c>
      <c r="C13" t="inlineStr">
        <is>
          <t>Ahmedabad</t>
        </is>
      </c>
      <c r="D13" t="inlineStr">
        <is>
          <t>Hotel</t>
        </is>
      </c>
      <c r="E13" t="inlineStr">
        <is>
          <t>Yes</t>
        </is>
      </c>
      <c r="F13" s="3" t="n">
        <v>7450</v>
      </c>
    </row>
    <row r="14">
      <c r="A14" s="17" t="n">
        <v>46139</v>
      </c>
      <c r="B14" t="inlineStr">
        <is>
          <t>Kavya Menon</t>
        </is>
      </c>
      <c r="C14" t="inlineStr">
        <is>
          <t>Chennai</t>
        </is>
      </c>
      <c r="D14" t="inlineStr">
        <is>
          <t>Train travel</t>
        </is>
      </c>
      <c r="E14" t="inlineStr">
        <is>
          <t>Yes</t>
        </is>
      </c>
      <c r="F14" s="3" t="n">
        <v>2870</v>
      </c>
    </row>
    <row r="15">
      <c r="A15" s="17" t="n">
        <v>46141</v>
      </c>
      <c r="B15" t="inlineStr">
        <is>
          <t>Kavya Menon</t>
        </is>
      </c>
      <c r="C15" t="inlineStr">
        <is>
          <t>Chennai</t>
        </is>
      </c>
      <c r="D15" t="inlineStr">
        <is>
          <t>Meals</t>
        </is>
      </c>
      <c r="E15" t="inlineStr">
        <is>
          <t>Yes</t>
        </is>
      </c>
      <c r="F15" s="3" t="n">
        <v>1520</v>
      </c>
    </row>
    <row r="16">
      <c r="A16" t="inlineStr">
        <is>
          <t>Total</t>
        </is>
      </c>
      <c r="F16" s="3">
        <f>SUBTOTAL(109,F4:F15)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18" customWidth="1" min="4" max="4"/>
    <col width="16" customWidth="1" min="5" max="5"/>
    <col width="10" customWidth="1" min="6" max="6"/>
    <col width="17" customWidth="1" min="7" max="7"/>
    <col width="11" customWidth="1" min="8" max="8"/>
    <col width="11" customWidth="1" min="9" max="9"/>
    <col width="11" customWidth="1" min="10" max="10"/>
    <col width="17" customWidth="1" min="11" max="11"/>
  </cols>
  <sheetData>
    <row r="1">
      <c r="A1" s="2" t="inlineStr">
        <is>
          <t>Invoice No</t>
        </is>
      </c>
      <c r="B1" s="2" t="inlineStr">
        <is>
          <t>Invoice Date</t>
        </is>
      </c>
      <c r="C1" s="2" t="inlineStr">
        <is>
          <t>Customer</t>
        </is>
      </c>
      <c r="D1" s="2" t="inlineStr">
        <is>
          <t>GSTIN</t>
        </is>
      </c>
      <c r="E1" s="2" t="inlineStr">
        <is>
          <t>Place of Supply</t>
        </is>
      </c>
      <c r="F1" s="2" t="inlineStr">
        <is>
          <t>HSN Code</t>
        </is>
      </c>
      <c r="G1" s="2" t="inlineStr">
        <is>
          <t>Taxable Value (₹)</t>
        </is>
      </c>
      <c r="H1" s="2" t="inlineStr">
        <is>
          <t>CGST (₹)</t>
        </is>
      </c>
      <c r="I1" s="2" t="inlineStr">
        <is>
          <t>SGST (₹)</t>
        </is>
      </c>
      <c r="J1" s="2" t="inlineStr">
        <is>
          <t>IGST (₹)</t>
        </is>
      </c>
      <c r="K1" s="2" t="inlineStr">
        <is>
          <t>Invoice Total (₹)</t>
        </is>
      </c>
    </row>
    <row r="2">
      <c r="A2" t="inlineStr">
        <is>
          <t>SAF/26-27/1001</t>
        </is>
      </c>
      <c r="B2" s="17" t="n">
        <v>46115</v>
      </c>
      <c r="C2" t="inlineStr">
        <is>
          <t>Chennai Spice House</t>
        </is>
      </c>
      <c r="D2" t="inlineStr">
        <is>
          <t>33AACFC3305D1Z4</t>
        </is>
      </c>
      <c r="E2" t="inlineStr">
        <is>
          <t>Tamil Nadu</t>
        </is>
      </c>
      <c r="F2" t="inlineStr">
        <is>
          <t>1101</t>
        </is>
      </c>
      <c r="G2" s="3" t="n">
        <v>174250</v>
      </c>
      <c r="H2" s="3">
        <f>IF(E2="Maharashtra",ROUND(G2*9%,0),0)</f>
        <v/>
      </c>
      <c r="I2" s="3">
        <f>IF(E2="Maharashtra",ROUND(G2*9%,0),0)</f>
        <v/>
      </c>
      <c r="J2" s="3">
        <f>IF(E2="Maharashtra",0,ROUND(G2*18%,0))</f>
        <v/>
      </c>
      <c r="K2" s="3">
        <f>SUM(G2:J2)</f>
        <v/>
      </c>
    </row>
    <row r="3">
      <c r="A3" t="inlineStr">
        <is>
          <t>SAF/26-27/1002</t>
        </is>
      </c>
      <c r="B3" s="17" t="n">
        <v>46116</v>
      </c>
      <c r="C3" t="inlineStr">
        <is>
          <t>Konkan Fresh</t>
        </is>
      </c>
      <c r="D3" t="inlineStr">
        <is>
          <t>27AAKCK6638P1Z9</t>
        </is>
      </c>
      <c r="E3" t="inlineStr">
        <is>
          <t>Maharashtra</t>
        </is>
      </c>
      <c r="F3" t="inlineStr">
        <is>
          <t>1006</t>
        </is>
      </c>
      <c r="G3" s="3" t="n">
        <v>362400</v>
      </c>
      <c r="H3" s="3">
        <f>IF(E3="Maharashtra",ROUND(G3*9%,0),0)</f>
        <v/>
      </c>
      <c r="I3" s="3">
        <f>IF(E3="Maharashtra",ROUND(G3*9%,0),0)</f>
        <v/>
      </c>
      <c r="J3" s="3">
        <f>IF(E3="Maharashtra",0,ROUND(G3*18%,0))</f>
        <v/>
      </c>
      <c r="K3" s="3">
        <f>SUM(G3:J3)</f>
        <v/>
      </c>
    </row>
    <row r="4">
      <c r="A4" t="inlineStr">
        <is>
          <t>SAF/26-27/1003</t>
        </is>
      </c>
      <c r="B4" s="17" t="n">
        <v>46118</v>
      </c>
      <c r="C4" t="inlineStr">
        <is>
          <t>Chennai Spice House</t>
        </is>
      </c>
      <c r="D4" t="inlineStr">
        <is>
          <t>33AACFC3305D1Z4</t>
        </is>
      </c>
      <c r="E4" t="inlineStr">
        <is>
          <t>Tamil Nadu</t>
        </is>
      </c>
      <c r="F4" t="inlineStr">
        <is>
          <t>1006</t>
        </is>
      </c>
      <c r="G4" s="3" t="n">
        <v>444350</v>
      </c>
      <c r="H4" s="3">
        <f>IF(E4="Maharashtra",ROUND(G4*9%,0),0)</f>
        <v/>
      </c>
      <c r="I4" s="3">
        <f>IF(E4="Maharashtra",ROUND(G4*9%,0),0)</f>
        <v/>
      </c>
      <c r="J4" s="3">
        <f>IF(E4="Maharashtra",0,ROUND(G4*18%,0))</f>
        <v/>
      </c>
      <c r="K4" s="3">
        <f>SUM(G4:J4)</f>
        <v/>
      </c>
    </row>
    <row r="5">
      <c r="A5" t="inlineStr">
        <is>
          <t>SAF/26-27/1004</t>
        </is>
      </c>
      <c r="B5" s="17" t="n">
        <v>46119</v>
      </c>
      <c r="C5" t="inlineStr">
        <is>
          <t>Gujarat Agro Mart</t>
        </is>
      </c>
      <c r="D5" t="inlineStr">
        <is>
          <t>24AAGCG5530R1Z1</t>
        </is>
      </c>
      <c r="E5" t="inlineStr">
        <is>
          <t>Gujarat</t>
        </is>
      </c>
      <c r="F5" t="inlineStr">
        <is>
          <t>0902</t>
        </is>
      </c>
      <c r="G5" s="3" t="n">
        <v>416900</v>
      </c>
      <c r="H5" s="3">
        <f>IF(E5="Maharashtra",ROUND(G5*9%,0),0)</f>
        <v/>
      </c>
      <c r="I5" s="3">
        <f>IF(E5="Maharashtra",ROUND(G5*9%,0),0)</f>
        <v/>
      </c>
      <c r="J5" s="3">
        <f>IF(E5="Maharashtra",0,ROUND(G5*18%,0))</f>
        <v/>
      </c>
      <c r="K5" s="3">
        <f>SUM(G5:J5)</f>
        <v/>
      </c>
    </row>
    <row r="6">
      <c r="A6" t="inlineStr">
        <is>
          <t>SAF/26-27/1005</t>
        </is>
      </c>
      <c r="B6" s="17" t="n">
        <v>46122</v>
      </c>
      <c r="C6" t="inlineStr">
        <is>
          <t>Gujarat Agro Mart</t>
        </is>
      </c>
      <c r="D6" t="inlineStr">
        <is>
          <t>24AAGCG5530R1Z1</t>
        </is>
      </c>
      <c r="E6" t="inlineStr">
        <is>
          <t>Gujarat</t>
        </is>
      </c>
      <c r="F6" t="inlineStr">
        <is>
          <t>1101</t>
        </is>
      </c>
      <c r="G6" s="3" t="n">
        <v>279650</v>
      </c>
      <c r="H6" s="3">
        <f>IF(E6="Maharashtra",ROUND(G6*9%,0),0)</f>
        <v/>
      </c>
      <c r="I6" s="3">
        <f>IF(E6="Maharashtra",ROUND(G6*9%,0),0)</f>
        <v/>
      </c>
      <c r="J6" s="3">
        <f>IF(E6="Maharashtra",0,ROUND(G6*18%,0))</f>
        <v/>
      </c>
      <c r="K6" s="3">
        <f>SUM(G6:J6)</f>
        <v/>
      </c>
    </row>
    <row r="7">
      <c r="A7" t="inlineStr">
        <is>
          <t>SAF/26-27/1006</t>
        </is>
      </c>
      <c r="B7" s="17" t="n">
        <v>46124</v>
      </c>
      <c r="C7" t="inlineStr">
        <is>
          <t>Annapurna Stores</t>
        </is>
      </c>
      <c r="D7" t="inlineStr">
        <is>
          <t>27AABPA2219L1ZQ</t>
        </is>
      </c>
      <c r="E7" t="inlineStr">
        <is>
          <t>Maharashtra</t>
        </is>
      </c>
      <c r="F7" t="inlineStr">
        <is>
          <t>1101</t>
        </is>
      </c>
      <c r="G7" s="3" t="n">
        <v>392850</v>
      </c>
      <c r="H7" s="3">
        <f>IF(E7="Maharashtra",ROUND(G7*9%,0),0)</f>
        <v/>
      </c>
      <c r="I7" s="3">
        <f>IF(E7="Maharashtra",ROUND(G7*9%,0),0)</f>
        <v/>
      </c>
      <c r="J7" s="3">
        <f>IF(E7="Maharashtra",0,ROUND(G7*18%,0))</f>
        <v/>
      </c>
      <c r="K7" s="3">
        <f>SUM(G7:J7)</f>
        <v/>
      </c>
    </row>
    <row r="8">
      <c r="A8" t="inlineStr">
        <is>
          <t>SAF/26-27/1007</t>
        </is>
      </c>
      <c r="B8" s="17" t="n">
        <v>46124</v>
      </c>
      <c r="C8" t="inlineStr">
        <is>
          <t>Gujarat Agro Mart</t>
        </is>
      </c>
      <c r="D8" t="inlineStr">
        <is>
          <t>24AAGCG5530R1Z1</t>
        </is>
      </c>
      <c r="E8" t="inlineStr">
        <is>
          <t>Gujarat</t>
        </is>
      </c>
      <c r="F8" t="inlineStr">
        <is>
          <t>0910</t>
        </is>
      </c>
      <c r="G8" s="3" t="n">
        <v>378100</v>
      </c>
      <c r="H8" s="3">
        <f>IF(E8="Maharashtra",ROUND(G8*9%,0),0)</f>
        <v/>
      </c>
      <c r="I8" s="3">
        <f>IF(E8="Maharashtra",ROUND(G8*9%,0),0)</f>
        <v/>
      </c>
      <c r="J8" s="3">
        <f>IF(E8="Maharashtra",0,ROUND(G8*18%,0))</f>
        <v/>
      </c>
      <c r="K8" s="3">
        <f>SUM(G8:J8)</f>
        <v/>
      </c>
    </row>
    <row r="9">
      <c r="A9" t="inlineStr">
        <is>
          <t>SAF/26-27/1008</t>
        </is>
      </c>
      <c r="B9" s="17" t="n">
        <v>46126</v>
      </c>
      <c r="C9" t="inlineStr">
        <is>
          <t>Chennai Spice House</t>
        </is>
      </c>
      <c r="D9" t="inlineStr">
        <is>
          <t>33AACFC3305D1Z4</t>
        </is>
      </c>
      <c r="E9" t="inlineStr">
        <is>
          <t>Tamil Nadu</t>
        </is>
      </c>
      <c r="F9" t="inlineStr">
        <is>
          <t>0910</t>
        </is>
      </c>
      <c r="G9" s="3" t="n">
        <v>49550</v>
      </c>
      <c r="H9" s="3">
        <f>IF(E9="Maharashtra",ROUND(G9*9%,0),0)</f>
        <v/>
      </c>
      <c r="I9" s="3">
        <f>IF(E9="Maharashtra",ROUND(G9*9%,0),0)</f>
        <v/>
      </c>
      <c r="J9" s="3">
        <f>IF(E9="Maharashtra",0,ROUND(G9*18%,0))</f>
        <v/>
      </c>
      <c r="K9" s="3">
        <f>SUM(G9:J9)</f>
        <v/>
      </c>
    </row>
    <row r="10">
      <c r="A10" t="inlineStr">
        <is>
          <t>SAF/26-27/1009</t>
        </is>
      </c>
      <c r="B10" s="17" t="n">
        <v>46127</v>
      </c>
      <c r="C10" t="inlineStr">
        <is>
          <t>Balaji Wholesale</t>
        </is>
      </c>
      <c r="D10" t="inlineStr">
        <is>
          <t>29AADFB7314K1Z8</t>
        </is>
      </c>
      <c r="E10" t="inlineStr">
        <is>
          <t>Karnataka</t>
        </is>
      </c>
      <c r="F10" t="inlineStr">
        <is>
          <t>1006</t>
        </is>
      </c>
      <c r="G10" s="3" t="n">
        <v>323250</v>
      </c>
      <c r="H10" s="3">
        <f>IF(E10="Maharashtra",ROUND(G10*9%,0),0)</f>
        <v/>
      </c>
      <c r="I10" s="3">
        <f>IF(E10="Maharashtra",ROUND(G10*9%,0),0)</f>
        <v/>
      </c>
      <c r="J10" s="3">
        <f>IF(E10="Maharashtra",0,ROUND(G10*18%,0))</f>
        <v/>
      </c>
      <c r="K10" s="3">
        <f>SUM(G10:J10)</f>
        <v/>
      </c>
    </row>
    <row r="11">
      <c r="A11" t="inlineStr">
        <is>
          <t>SAF/26-27/1010</t>
        </is>
      </c>
      <c r="B11" s="17" t="n">
        <v>46128</v>
      </c>
      <c r="C11" t="inlineStr">
        <is>
          <t>Shree Krishna Traders</t>
        </is>
      </c>
      <c r="D11" t="inlineStr">
        <is>
          <t>27AAKFS4821M1Z3</t>
        </is>
      </c>
      <c r="E11" t="inlineStr">
        <is>
          <t>Maharashtra</t>
        </is>
      </c>
      <c r="F11" t="inlineStr">
        <is>
          <t>0902</t>
        </is>
      </c>
      <c r="G11" s="3" t="n">
        <v>186450</v>
      </c>
      <c r="H11" s="3">
        <f>IF(E11="Maharashtra",ROUND(G11*9%,0),0)</f>
        <v/>
      </c>
      <c r="I11" s="3">
        <f>IF(E11="Maharashtra",ROUND(G11*9%,0),0)</f>
        <v/>
      </c>
      <c r="J11" s="3">
        <f>IF(E11="Maharashtra",0,ROUND(G11*18%,0))</f>
        <v/>
      </c>
      <c r="K11" s="3">
        <f>SUM(G11:J11)</f>
        <v/>
      </c>
    </row>
    <row r="12">
      <c r="A12" t="inlineStr">
        <is>
          <t>SAF/26-27/1011</t>
        </is>
      </c>
      <c r="B12" s="17" t="n">
        <v>46129</v>
      </c>
      <c r="C12" t="inlineStr">
        <is>
          <t>Balaji Wholesale</t>
        </is>
      </c>
      <c r="D12" t="inlineStr">
        <is>
          <t>29AADFB7314K1Z8</t>
        </is>
      </c>
      <c r="E12" t="inlineStr">
        <is>
          <t>Karnataka</t>
        </is>
      </c>
      <c r="F12" t="inlineStr">
        <is>
          <t>0910</t>
        </is>
      </c>
      <c r="G12" s="3" t="n">
        <v>116400</v>
      </c>
      <c r="H12" s="3">
        <f>IF(E12="Maharashtra",ROUND(G12*9%,0),0)</f>
        <v/>
      </c>
      <c r="I12" s="3">
        <f>IF(E12="Maharashtra",ROUND(G12*9%,0),0)</f>
        <v/>
      </c>
      <c r="J12" s="3">
        <f>IF(E12="Maharashtra",0,ROUND(G12*18%,0))</f>
        <v/>
      </c>
      <c r="K12" s="3">
        <f>SUM(G12:J12)</f>
        <v/>
      </c>
    </row>
    <row r="13">
      <c r="A13" t="inlineStr">
        <is>
          <t>SAF/26-27/1012</t>
        </is>
      </c>
      <c r="B13" s="17" t="n">
        <v>46130</v>
      </c>
      <c r="C13" t="inlineStr">
        <is>
          <t>Gujarat Agro Mart</t>
        </is>
      </c>
      <c r="D13" t="inlineStr">
        <is>
          <t>24AAGCG5530R1Z1</t>
        </is>
      </c>
      <c r="E13" t="inlineStr">
        <is>
          <t>Gujarat</t>
        </is>
      </c>
      <c r="F13" t="inlineStr">
        <is>
          <t>1101</t>
        </is>
      </c>
      <c r="G13" s="3" t="n">
        <v>206750</v>
      </c>
      <c r="H13" s="3">
        <f>IF(E13="Maharashtra",ROUND(G13*9%,0),0)</f>
        <v/>
      </c>
      <c r="I13" s="3">
        <f>IF(E13="Maharashtra",ROUND(G13*9%,0),0)</f>
        <v/>
      </c>
      <c r="J13" s="3">
        <f>IF(E13="Maharashtra",0,ROUND(G13*18%,0))</f>
        <v/>
      </c>
      <c r="K13" s="3">
        <f>SUM(G13:J13)</f>
        <v/>
      </c>
    </row>
    <row r="14">
      <c r="A14" t="inlineStr">
        <is>
          <t>SAF/26-27/1013</t>
        </is>
      </c>
      <c r="B14" s="17" t="n">
        <v>46131</v>
      </c>
      <c r="C14" t="inlineStr">
        <is>
          <t>Malwa Kirana</t>
        </is>
      </c>
      <c r="D14" t="inlineStr">
        <is>
          <t>23AAMFM1147C1ZT</t>
        </is>
      </c>
      <c r="E14" t="inlineStr">
        <is>
          <t>Madhya Pradesh</t>
        </is>
      </c>
      <c r="F14" t="inlineStr">
        <is>
          <t>0902</t>
        </is>
      </c>
      <c r="G14" s="3" t="n">
        <v>256700</v>
      </c>
      <c r="H14" s="3">
        <f>IF(E14="Maharashtra",ROUND(G14*9%,0),0)</f>
        <v/>
      </c>
      <c r="I14" s="3">
        <f>IF(E14="Maharashtra",ROUND(G14*9%,0),0)</f>
        <v/>
      </c>
      <c r="J14" s="3">
        <f>IF(E14="Maharashtra",0,ROUND(G14*18%,0))</f>
        <v/>
      </c>
      <c r="K14" s="3">
        <f>SUM(G14:J14)</f>
        <v/>
      </c>
    </row>
    <row r="15">
      <c r="A15" t="inlineStr">
        <is>
          <t>SAF/26-27/1014</t>
        </is>
      </c>
      <c r="B15" s="17" t="n">
        <v>46132</v>
      </c>
      <c r="C15" t="inlineStr">
        <is>
          <t>Malwa Kirana</t>
        </is>
      </c>
      <c r="D15" t="inlineStr">
        <is>
          <t>23AAMFM1147C1ZT</t>
        </is>
      </c>
      <c r="E15" t="inlineStr">
        <is>
          <t>Madhya Pradesh</t>
        </is>
      </c>
      <c r="F15" t="inlineStr">
        <is>
          <t>1101</t>
        </is>
      </c>
      <c r="G15" s="3" t="n">
        <v>210500</v>
      </c>
      <c r="H15" s="3">
        <f>IF(E15="Maharashtra",ROUND(G15*9%,0),0)</f>
        <v/>
      </c>
      <c r="I15" s="3">
        <f>IF(E15="Maharashtra",ROUND(G15*9%,0),0)</f>
        <v/>
      </c>
      <c r="J15" s="3">
        <f>IF(E15="Maharashtra",0,ROUND(G15*18%,0))</f>
        <v/>
      </c>
      <c r="K15" s="3">
        <f>SUM(G15:J15)</f>
        <v/>
      </c>
    </row>
    <row r="16">
      <c r="A16" t="inlineStr">
        <is>
          <t>SAF/26-27/1015</t>
        </is>
      </c>
      <c r="B16" s="17" t="n">
        <v>46133</v>
      </c>
      <c r="C16" t="inlineStr">
        <is>
          <t>Shree Krishna Traders</t>
        </is>
      </c>
      <c r="D16" t="inlineStr">
        <is>
          <t>27AAKFS4821M1Z3</t>
        </is>
      </c>
      <c r="E16" t="inlineStr">
        <is>
          <t>Maharashtra</t>
        </is>
      </c>
      <c r="F16" t="inlineStr">
        <is>
          <t>0713</t>
        </is>
      </c>
      <c r="G16" s="3" t="n">
        <v>171400</v>
      </c>
      <c r="H16" s="3">
        <f>IF(E16="Maharashtra",ROUND(G16*9%,0),0)</f>
        <v/>
      </c>
      <c r="I16" s="3">
        <f>IF(E16="Maharashtra",ROUND(G16*9%,0),0)</f>
        <v/>
      </c>
      <c r="J16" s="3">
        <f>IF(E16="Maharashtra",0,ROUND(G16*18%,0))</f>
        <v/>
      </c>
      <c r="K16" s="3">
        <f>SUM(G16:J16)</f>
        <v/>
      </c>
    </row>
    <row r="17">
      <c r="A17" t="inlineStr">
        <is>
          <t>SAF/26-27/1016</t>
        </is>
      </c>
      <c r="B17" s="17" t="n">
        <v>46135</v>
      </c>
      <c r="C17" t="inlineStr">
        <is>
          <t>Konkan Fresh</t>
        </is>
      </c>
      <c r="D17" t="inlineStr">
        <is>
          <t>27AAKCK6638P1Z9</t>
        </is>
      </c>
      <c r="E17" t="inlineStr">
        <is>
          <t>Maharashtra</t>
        </is>
      </c>
      <c r="F17" t="inlineStr">
        <is>
          <t>0713</t>
        </is>
      </c>
      <c r="G17" s="3" t="n">
        <v>295550</v>
      </c>
      <c r="H17" s="3">
        <f>IF(E17="Maharashtra",ROUND(G17*9%,0),0)</f>
        <v/>
      </c>
      <c r="I17" s="3">
        <f>IF(E17="Maharashtra",ROUND(G17*9%,0),0)</f>
        <v/>
      </c>
      <c r="J17" s="3">
        <f>IF(E17="Maharashtra",0,ROUND(G17*18%,0))</f>
        <v/>
      </c>
      <c r="K17" s="3">
        <f>SUM(G17:J17)</f>
        <v/>
      </c>
    </row>
    <row r="18">
      <c r="A18" t="inlineStr">
        <is>
          <t>SAF/26-27/1017</t>
        </is>
      </c>
      <c r="B18" s="17" t="n">
        <v>46136</v>
      </c>
      <c r="C18" t="inlineStr">
        <is>
          <t>Konkan Fresh</t>
        </is>
      </c>
      <c r="D18" t="inlineStr">
        <is>
          <t>27AAKCK6638P1Z9</t>
        </is>
      </c>
      <c r="E18" t="inlineStr">
        <is>
          <t>Maharashtra</t>
        </is>
      </c>
      <c r="F18" t="inlineStr">
        <is>
          <t>0902</t>
        </is>
      </c>
      <c r="G18" s="3" t="n">
        <v>209100</v>
      </c>
      <c r="H18" s="3">
        <f>IF(E18="Maharashtra",ROUND(G18*9%,0),0)</f>
        <v/>
      </c>
      <c r="I18" s="3">
        <f>IF(E18="Maharashtra",ROUND(G18*9%,0),0)</f>
        <v/>
      </c>
      <c r="J18" s="3">
        <f>IF(E18="Maharashtra",0,ROUND(G18*18%,0))</f>
        <v/>
      </c>
      <c r="K18" s="3">
        <f>SUM(G18:J18)</f>
        <v/>
      </c>
    </row>
    <row r="19">
      <c r="A19" t="inlineStr">
        <is>
          <t>SAF/26-27/1018</t>
        </is>
      </c>
      <c r="B19" s="17" t="n">
        <v>46139</v>
      </c>
      <c r="C19" t="inlineStr">
        <is>
          <t>Malwa Kirana</t>
        </is>
      </c>
      <c r="D19" t="inlineStr">
        <is>
          <t>23AAMFM1147C1ZT</t>
        </is>
      </c>
      <c r="E19" t="inlineStr">
        <is>
          <t>Madhya Pradesh</t>
        </is>
      </c>
      <c r="F19" t="inlineStr">
        <is>
          <t>0910</t>
        </is>
      </c>
      <c r="G19" s="3" t="n">
        <v>102950</v>
      </c>
      <c r="H19" s="3">
        <f>IF(E19="Maharashtra",ROUND(G19*9%,0),0)</f>
        <v/>
      </c>
      <c r="I19" s="3">
        <f>IF(E19="Maharashtra",ROUND(G19*9%,0),0)</f>
        <v/>
      </c>
      <c r="J19" s="3">
        <f>IF(E19="Maharashtra",0,ROUND(G19*18%,0))</f>
        <v/>
      </c>
      <c r="K19" s="3">
        <f>SUM(G19:J19)</f>
        <v/>
      </c>
    </row>
    <row r="20">
      <c r="A20" t="inlineStr">
        <is>
          <t>SAF/26-27/1019</t>
        </is>
      </c>
      <c r="B20" s="17" t="n">
        <v>46140</v>
      </c>
      <c r="C20" t="inlineStr">
        <is>
          <t>Malwa Kirana</t>
        </is>
      </c>
      <c r="D20" t="inlineStr">
        <is>
          <t>23AAMFM1147C1ZT</t>
        </is>
      </c>
      <c r="E20" t="inlineStr">
        <is>
          <t>Madhya Pradesh</t>
        </is>
      </c>
      <c r="F20" t="inlineStr">
        <is>
          <t>1006</t>
        </is>
      </c>
      <c r="G20" s="3" t="n">
        <v>78250</v>
      </c>
      <c r="H20" s="3">
        <f>IF(E20="Maharashtra",ROUND(G20*9%,0),0)</f>
        <v/>
      </c>
      <c r="I20" s="3">
        <f>IF(E20="Maharashtra",ROUND(G20*9%,0),0)</f>
        <v/>
      </c>
      <c r="J20" s="3">
        <f>IF(E20="Maharashtra",0,ROUND(G20*18%,0))</f>
        <v/>
      </c>
      <c r="K20" s="3">
        <f>SUM(G20:J20)</f>
        <v/>
      </c>
    </row>
    <row r="21">
      <c r="A21" t="inlineStr">
        <is>
          <t>SAF/26-27/1020</t>
        </is>
      </c>
      <c r="B21" s="17" t="n">
        <v>46143</v>
      </c>
      <c r="C21" t="inlineStr">
        <is>
          <t>Konkan Fresh</t>
        </is>
      </c>
      <c r="D21" t="inlineStr">
        <is>
          <t>27AAKCK6638P1Z9</t>
        </is>
      </c>
      <c r="E21" t="inlineStr">
        <is>
          <t>Maharashtra</t>
        </is>
      </c>
      <c r="F21" t="inlineStr">
        <is>
          <t>0713</t>
        </is>
      </c>
      <c r="G21" s="3" t="n">
        <v>273400</v>
      </c>
      <c r="H21" s="3">
        <f>IF(E21="Maharashtra",ROUND(G21*9%,0),0)</f>
        <v/>
      </c>
      <c r="I21" s="3">
        <f>IF(E21="Maharashtra",ROUND(G21*9%,0),0)</f>
        <v/>
      </c>
      <c r="J21" s="3">
        <f>IF(E21="Maharashtra",0,ROUND(G21*18%,0))</f>
        <v/>
      </c>
      <c r="K21" s="3">
        <f>SUM(G21:J21)</f>
        <v/>
      </c>
    </row>
    <row r="22">
      <c r="A22" t="inlineStr">
        <is>
          <t>SAF/26-27/1021</t>
        </is>
      </c>
      <c r="B22" s="17" t="n">
        <v>46143</v>
      </c>
      <c r="C22" t="inlineStr">
        <is>
          <t>Deccan Retail</t>
        </is>
      </c>
      <c r="D22" t="inlineStr">
        <is>
          <t>36AAECD9902H1Z6</t>
        </is>
      </c>
      <c r="E22" t="inlineStr">
        <is>
          <t>Telangana</t>
        </is>
      </c>
      <c r="F22" t="inlineStr">
        <is>
          <t>0902</t>
        </is>
      </c>
      <c r="G22" s="3" t="n">
        <v>218300</v>
      </c>
      <c r="H22" s="3">
        <f>IF(E22="Maharashtra",ROUND(G22*9%,0),0)</f>
        <v/>
      </c>
      <c r="I22" s="3">
        <f>IF(E22="Maharashtra",ROUND(G22*9%,0),0)</f>
        <v/>
      </c>
      <c r="J22" s="3">
        <f>IF(E22="Maharashtra",0,ROUND(G22*18%,0))</f>
        <v/>
      </c>
      <c r="K22" s="3">
        <f>SUM(G22:J22)</f>
        <v/>
      </c>
    </row>
    <row r="23">
      <c r="A23" t="inlineStr">
        <is>
          <t>SAF/26-27/1022</t>
        </is>
      </c>
      <c r="B23" s="17" t="n">
        <v>46146</v>
      </c>
      <c r="C23" t="inlineStr">
        <is>
          <t>Chennai Spice House</t>
        </is>
      </c>
      <c r="D23" t="inlineStr">
        <is>
          <t>33AACFC3305D1Z4</t>
        </is>
      </c>
      <c r="E23" t="inlineStr">
        <is>
          <t>Tamil Nadu</t>
        </is>
      </c>
      <c r="F23" t="inlineStr">
        <is>
          <t>0910</t>
        </is>
      </c>
      <c r="G23" s="3" t="n">
        <v>117550</v>
      </c>
      <c r="H23" s="3">
        <f>IF(E23="Maharashtra",ROUND(G23*9%,0),0)</f>
        <v/>
      </c>
      <c r="I23" s="3">
        <f>IF(E23="Maharashtra",ROUND(G23*9%,0),0)</f>
        <v/>
      </c>
      <c r="J23" s="3">
        <f>IF(E23="Maharashtra",0,ROUND(G23*18%,0))</f>
        <v/>
      </c>
      <c r="K23" s="3">
        <f>SUM(G23:J23)</f>
        <v/>
      </c>
    </row>
    <row r="24">
      <c r="A24" t="inlineStr">
        <is>
          <t>SAF/26-27/1023</t>
        </is>
      </c>
      <c r="B24" s="17" t="n">
        <v>46149</v>
      </c>
      <c r="C24" t="inlineStr">
        <is>
          <t>Annapurna Stores</t>
        </is>
      </c>
      <c r="D24" t="inlineStr">
        <is>
          <t>27AABPA2219L1ZQ</t>
        </is>
      </c>
      <c r="E24" t="inlineStr">
        <is>
          <t>Maharashtra</t>
        </is>
      </c>
      <c r="F24" t="inlineStr">
        <is>
          <t>0713</t>
        </is>
      </c>
      <c r="G24" s="3" t="n">
        <v>394350</v>
      </c>
      <c r="H24" s="3">
        <f>IF(E24="Maharashtra",ROUND(G24*9%,0),0)</f>
        <v/>
      </c>
      <c r="I24" s="3">
        <f>IF(E24="Maharashtra",ROUND(G24*9%,0),0)</f>
        <v/>
      </c>
      <c r="J24" s="3">
        <f>IF(E24="Maharashtra",0,ROUND(G24*18%,0))</f>
        <v/>
      </c>
      <c r="K24" s="3">
        <f>SUM(G24:J24)</f>
        <v/>
      </c>
    </row>
    <row r="25">
      <c r="A25" t="inlineStr">
        <is>
          <t>SAF/26-27/1024</t>
        </is>
      </c>
      <c r="B25" s="17" t="n">
        <v>46150</v>
      </c>
      <c r="C25" t="inlineStr">
        <is>
          <t>Chennai Spice House</t>
        </is>
      </c>
      <c r="D25" t="inlineStr">
        <is>
          <t>33AACFC3305D1Z4</t>
        </is>
      </c>
      <c r="E25" t="inlineStr">
        <is>
          <t>Tamil Nadu</t>
        </is>
      </c>
      <c r="F25" t="inlineStr">
        <is>
          <t>1006</t>
        </is>
      </c>
      <c r="G25" s="3" t="n">
        <v>24700</v>
      </c>
      <c r="H25" s="3">
        <f>IF(E25="Maharashtra",ROUND(G25*9%,0),0)</f>
        <v/>
      </c>
      <c r="I25" s="3">
        <f>IF(E25="Maharashtra",ROUND(G25*9%,0),0)</f>
        <v/>
      </c>
      <c r="J25" s="3">
        <f>IF(E25="Maharashtra",0,ROUND(G25*18%,0))</f>
        <v/>
      </c>
      <c r="K25" s="3">
        <f>SUM(G25:J25)</f>
        <v/>
      </c>
    </row>
    <row r="26">
      <c r="A26" t="inlineStr">
        <is>
          <t>SAF/26-27/1025</t>
        </is>
      </c>
      <c r="B26" s="17" t="n">
        <v>46151</v>
      </c>
      <c r="C26" t="inlineStr">
        <is>
          <t>Malwa Kirana</t>
        </is>
      </c>
      <c r="D26" t="inlineStr">
        <is>
          <t>23AAMFM1147C1ZT</t>
        </is>
      </c>
      <c r="E26" t="inlineStr">
        <is>
          <t>Madhya Pradesh</t>
        </is>
      </c>
      <c r="F26" t="inlineStr">
        <is>
          <t>1101</t>
        </is>
      </c>
      <c r="G26" s="3" t="n">
        <v>393600</v>
      </c>
      <c r="H26" s="3">
        <f>IF(E26="Maharashtra",ROUND(G26*9%,0),0)</f>
        <v/>
      </c>
      <c r="I26" s="3">
        <f>IF(E26="Maharashtra",ROUND(G26*9%,0),0)</f>
        <v/>
      </c>
      <c r="J26" s="3">
        <f>IF(E26="Maharashtra",0,ROUND(G26*18%,0))</f>
        <v/>
      </c>
      <c r="K26" s="3">
        <f>SUM(G26:J26)</f>
        <v/>
      </c>
    </row>
    <row r="27">
      <c r="A27" t="inlineStr">
        <is>
          <t>SAF/26-27/1026</t>
        </is>
      </c>
      <c r="B27" s="17" t="n">
        <v>46154</v>
      </c>
      <c r="C27" t="inlineStr">
        <is>
          <t>Annapurna Stores</t>
        </is>
      </c>
      <c r="D27" t="inlineStr">
        <is>
          <t>27AABPA2219L1ZQ</t>
        </is>
      </c>
      <c r="E27" t="inlineStr">
        <is>
          <t>Maharashtra</t>
        </is>
      </c>
      <c r="F27" t="inlineStr">
        <is>
          <t>1006</t>
        </is>
      </c>
      <c r="G27" s="3" t="n">
        <v>421450</v>
      </c>
      <c r="H27" s="3">
        <f>IF(E27="Maharashtra",ROUND(G27*9%,0),0)</f>
        <v/>
      </c>
      <c r="I27" s="3">
        <f>IF(E27="Maharashtra",ROUND(G27*9%,0),0)</f>
        <v/>
      </c>
      <c r="J27" s="3">
        <f>IF(E27="Maharashtra",0,ROUND(G27*18%,0))</f>
        <v/>
      </c>
      <c r="K27" s="3">
        <f>SUM(G27:J27)</f>
        <v/>
      </c>
    </row>
    <row r="28">
      <c r="A28" t="inlineStr">
        <is>
          <t>SAF/26-27/1027</t>
        </is>
      </c>
      <c r="B28" s="17" t="n">
        <v>46154</v>
      </c>
      <c r="C28" t="inlineStr">
        <is>
          <t>Gujarat Agro Mart</t>
        </is>
      </c>
      <c r="D28" t="inlineStr">
        <is>
          <t>24AAGCG5530R1Z1</t>
        </is>
      </c>
      <c r="E28" t="inlineStr">
        <is>
          <t>Gujarat</t>
        </is>
      </c>
      <c r="F28" t="inlineStr">
        <is>
          <t>0713</t>
        </is>
      </c>
      <c r="G28" s="3" t="n">
        <v>140450</v>
      </c>
      <c r="H28" s="3">
        <f>IF(E28="Maharashtra",ROUND(G28*9%,0),0)</f>
        <v/>
      </c>
      <c r="I28" s="3">
        <f>IF(E28="Maharashtra",ROUND(G28*9%,0),0)</f>
        <v/>
      </c>
      <c r="J28" s="3">
        <f>IF(E28="Maharashtra",0,ROUND(G28*18%,0))</f>
        <v/>
      </c>
      <c r="K28" s="3">
        <f>SUM(G28:J28)</f>
        <v/>
      </c>
    </row>
    <row r="29">
      <c r="A29" t="inlineStr">
        <is>
          <t>SAF/26-27/1028</t>
        </is>
      </c>
      <c r="B29" s="17" t="n">
        <v>46154</v>
      </c>
      <c r="C29" t="inlineStr">
        <is>
          <t>Shree Krishna Traders</t>
        </is>
      </c>
      <c r="D29" t="inlineStr">
        <is>
          <t>27AAKFS4821M1Z3</t>
        </is>
      </c>
      <c r="E29" t="inlineStr">
        <is>
          <t>Maharashtra</t>
        </is>
      </c>
      <c r="F29" t="inlineStr">
        <is>
          <t>1006</t>
        </is>
      </c>
      <c r="G29" s="3" t="n">
        <v>418550</v>
      </c>
      <c r="H29" s="3">
        <f>IF(E29="Maharashtra",ROUND(G29*9%,0),0)</f>
        <v/>
      </c>
      <c r="I29" s="3">
        <f>IF(E29="Maharashtra",ROUND(G29*9%,0),0)</f>
        <v/>
      </c>
      <c r="J29" s="3">
        <f>IF(E29="Maharashtra",0,ROUND(G29*18%,0))</f>
        <v/>
      </c>
      <c r="K29" s="3">
        <f>SUM(G29:J29)</f>
        <v/>
      </c>
    </row>
    <row r="30">
      <c r="A30" t="inlineStr">
        <is>
          <t>SAF/26-27/1029</t>
        </is>
      </c>
      <c r="B30" s="17" t="n">
        <v>46156</v>
      </c>
      <c r="C30" t="inlineStr">
        <is>
          <t>Shree Krishna Traders</t>
        </is>
      </c>
      <c r="D30" t="inlineStr">
        <is>
          <t>27AAKFS4821M1Z3</t>
        </is>
      </c>
      <c r="E30" t="inlineStr">
        <is>
          <t>Maharashtra</t>
        </is>
      </c>
      <c r="F30" t="inlineStr">
        <is>
          <t>0910</t>
        </is>
      </c>
      <c r="G30" s="3" t="n">
        <v>171550</v>
      </c>
      <c r="H30" s="3">
        <f>IF(E30="Maharashtra",ROUND(G30*9%,0),0)</f>
        <v/>
      </c>
      <c r="I30" s="3">
        <f>IF(E30="Maharashtra",ROUND(G30*9%,0),0)</f>
        <v/>
      </c>
      <c r="J30" s="3">
        <f>IF(E30="Maharashtra",0,ROUND(G30*18%,0))</f>
        <v/>
      </c>
      <c r="K30" s="3">
        <f>SUM(G30:J30)</f>
        <v/>
      </c>
    </row>
    <row r="31">
      <c r="A31" t="inlineStr">
        <is>
          <t>SAF/26-27/1030</t>
        </is>
      </c>
      <c r="B31" s="17" t="n">
        <v>46159</v>
      </c>
      <c r="C31" t="inlineStr">
        <is>
          <t>Balaji Wholesale</t>
        </is>
      </c>
      <c r="D31" t="inlineStr">
        <is>
          <t>29AADFB7314K1Z8</t>
        </is>
      </c>
      <c r="E31" t="inlineStr">
        <is>
          <t>Karnataka</t>
        </is>
      </c>
      <c r="F31" t="inlineStr">
        <is>
          <t>0902</t>
        </is>
      </c>
      <c r="G31" s="3" t="n">
        <v>349650</v>
      </c>
      <c r="H31" s="3">
        <f>IF(E31="Maharashtra",ROUND(G31*9%,0),0)</f>
        <v/>
      </c>
      <c r="I31" s="3">
        <f>IF(E31="Maharashtra",ROUND(G31*9%,0),0)</f>
        <v/>
      </c>
      <c r="J31" s="3">
        <f>IF(E31="Maharashtra",0,ROUND(G31*18%,0))</f>
        <v/>
      </c>
      <c r="K31" s="3">
        <f>SUM(G31:J31)</f>
        <v/>
      </c>
    </row>
    <row r="32">
      <c r="A32" t="inlineStr">
        <is>
          <t>SAF/26-27/1031</t>
        </is>
      </c>
      <c r="B32" s="17" t="n">
        <v>46161</v>
      </c>
      <c r="C32" t="inlineStr">
        <is>
          <t>Shree Krishna Traders</t>
        </is>
      </c>
      <c r="D32" t="inlineStr">
        <is>
          <t>27AAKFS4821M1Z3</t>
        </is>
      </c>
      <c r="E32" t="inlineStr">
        <is>
          <t>Maharashtra</t>
        </is>
      </c>
      <c r="F32" t="inlineStr">
        <is>
          <t>0713</t>
        </is>
      </c>
      <c r="G32" s="3" t="n">
        <v>220150</v>
      </c>
      <c r="H32" s="3">
        <f>IF(E32="Maharashtra",ROUND(G32*9%,0),0)</f>
        <v/>
      </c>
      <c r="I32" s="3">
        <f>IF(E32="Maharashtra",ROUND(G32*9%,0),0)</f>
        <v/>
      </c>
      <c r="J32" s="3">
        <f>IF(E32="Maharashtra",0,ROUND(G32*18%,0))</f>
        <v/>
      </c>
      <c r="K32" s="3">
        <f>SUM(G32:J32)</f>
        <v/>
      </c>
    </row>
    <row r="33">
      <c r="A33" t="inlineStr">
        <is>
          <t>SAF/26-27/1032</t>
        </is>
      </c>
      <c r="B33" s="17" t="n">
        <v>46163</v>
      </c>
      <c r="C33" t="inlineStr">
        <is>
          <t>Chennai Spice House</t>
        </is>
      </c>
      <c r="D33" t="inlineStr">
        <is>
          <t>33AACFC3305D1Z4</t>
        </is>
      </c>
      <c r="E33" t="inlineStr">
        <is>
          <t>Tamil Nadu</t>
        </is>
      </c>
      <c r="F33" t="inlineStr">
        <is>
          <t>0902</t>
        </is>
      </c>
      <c r="G33" s="3" t="n">
        <v>203850</v>
      </c>
      <c r="H33" s="3">
        <f>IF(E33="Maharashtra",ROUND(G33*9%,0),0)</f>
        <v/>
      </c>
      <c r="I33" s="3">
        <f>IF(E33="Maharashtra",ROUND(G33*9%,0),0)</f>
        <v/>
      </c>
      <c r="J33" s="3">
        <f>IF(E33="Maharashtra",0,ROUND(G33*18%,0))</f>
        <v/>
      </c>
      <c r="K33" s="3">
        <f>SUM(G33:J33)</f>
        <v/>
      </c>
    </row>
    <row r="34">
      <c r="A34" t="inlineStr">
        <is>
          <t>SAF/26-27/1033</t>
        </is>
      </c>
      <c r="B34" s="17" t="n">
        <v>46165</v>
      </c>
      <c r="C34" t="inlineStr">
        <is>
          <t>Annapurna Stores</t>
        </is>
      </c>
      <c r="D34" t="inlineStr">
        <is>
          <t>27AABPA2219L1ZQ</t>
        </is>
      </c>
      <c r="E34" t="inlineStr">
        <is>
          <t>Maharashtra</t>
        </is>
      </c>
      <c r="F34" t="inlineStr">
        <is>
          <t>1006</t>
        </is>
      </c>
      <c r="G34" s="3" t="n">
        <v>196100</v>
      </c>
      <c r="H34" s="3">
        <f>IF(E34="Maharashtra",ROUND(G34*9%,0),0)</f>
        <v/>
      </c>
      <c r="I34" s="3">
        <f>IF(E34="Maharashtra",ROUND(G34*9%,0),0)</f>
        <v/>
      </c>
      <c r="J34" s="3">
        <f>IF(E34="Maharashtra",0,ROUND(G34*18%,0))</f>
        <v/>
      </c>
      <c r="K34" s="3">
        <f>SUM(G34:J34)</f>
        <v/>
      </c>
    </row>
    <row r="35">
      <c r="A35" t="inlineStr">
        <is>
          <t>SAF/26-27/1034</t>
        </is>
      </c>
      <c r="B35" s="17" t="n">
        <v>46167</v>
      </c>
      <c r="C35" t="inlineStr">
        <is>
          <t>Chennai Spice House</t>
        </is>
      </c>
      <c r="D35" t="inlineStr">
        <is>
          <t>33AACFC3305D1Z4</t>
        </is>
      </c>
      <c r="E35" t="inlineStr">
        <is>
          <t>Tamil Nadu</t>
        </is>
      </c>
      <c r="F35" t="inlineStr">
        <is>
          <t>0713</t>
        </is>
      </c>
      <c r="G35" s="3" t="n">
        <v>203800</v>
      </c>
      <c r="H35" s="3">
        <f>IF(E35="Maharashtra",ROUND(G35*9%,0),0)</f>
        <v/>
      </c>
      <c r="I35" s="3">
        <f>IF(E35="Maharashtra",ROUND(G35*9%,0),0)</f>
        <v/>
      </c>
      <c r="J35" s="3">
        <f>IF(E35="Maharashtra",0,ROUND(G35*18%,0))</f>
        <v/>
      </c>
      <c r="K35" s="3">
        <f>SUM(G35:J35)</f>
        <v/>
      </c>
    </row>
    <row r="36">
      <c r="A36" t="inlineStr">
        <is>
          <t>SAF/26-27/1035</t>
        </is>
      </c>
      <c r="B36" s="17" t="n">
        <v>46167</v>
      </c>
      <c r="C36" t="inlineStr">
        <is>
          <t>Gujarat Agro Mart</t>
        </is>
      </c>
      <c r="D36" t="inlineStr">
        <is>
          <t>24AAGCG5530R1Z1</t>
        </is>
      </c>
      <c r="E36" t="inlineStr">
        <is>
          <t>Gujarat</t>
        </is>
      </c>
      <c r="F36" t="inlineStr">
        <is>
          <t>1006</t>
        </is>
      </c>
      <c r="G36" s="3" t="n">
        <v>46650</v>
      </c>
      <c r="H36" s="3">
        <f>IF(E36="Maharashtra",ROUND(G36*9%,0),0)</f>
        <v/>
      </c>
      <c r="I36" s="3">
        <f>IF(E36="Maharashtra",ROUND(G36*9%,0),0)</f>
        <v/>
      </c>
      <c r="J36" s="3">
        <f>IF(E36="Maharashtra",0,ROUND(G36*18%,0))</f>
        <v/>
      </c>
      <c r="K36" s="3">
        <f>SUM(G36:J36)</f>
        <v/>
      </c>
    </row>
    <row r="37">
      <c r="A37" t="inlineStr">
        <is>
          <t>SAF/26-27/1036</t>
        </is>
      </c>
      <c r="B37" s="17" t="n">
        <v>46169</v>
      </c>
      <c r="C37" t="inlineStr">
        <is>
          <t>Shree Krishna Traders</t>
        </is>
      </c>
      <c r="D37" t="inlineStr">
        <is>
          <t>27AAKFS4821M1Z3</t>
        </is>
      </c>
      <c r="E37" t="inlineStr">
        <is>
          <t>Maharashtra</t>
        </is>
      </c>
      <c r="F37" t="inlineStr">
        <is>
          <t>0910</t>
        </is>
      </c>
      <c r="G37" s="3" t="n">
        <v>426600</v>
      </c>
      <c r="H37" s="3">
        <f>IF(E37="Maharashtra",ROUND(G37*9%,0),0)</f>
        <v/>
      </c>
      <c r="I37" s="3">
        <f>IF(E37="Maharashtra",ROUND(G37*9%,0),0)</f>
        <v/>
      </c>
      <c r="J37" s="3">
        <f>IF(E37="Maharashtra",0,ROUND(G37*18%,0))</f>
        <v/>
      </c>
      <c r="K37" s="3">
        <f>SUM(G37:J37)</f>
        <v/>
      </c>
    </row>
    <row r="38">
      <c r="A38" t="inlineStr">
        <is>
          <t>SAF/26-27/1037</t>
        </is>
      </c>
      <c r="B38" s="17" t="n">
        <v>46172</v>
      </c>
      <c r="C38" t="inlineStr">
        <is>
          <t>Konkan Fresh</t>
        </is>
      </c>
      <c r="D38" t="inlineStr">
        <is>
          <t>27AAKCK6638P1Z9</t>
        </is>
      </c>
      <c r="E38" t="inlineStr">
        <is>
          <t>Maharashtra</t>
        </is>
      </c>
      <c r="F38" t="inlineStr">
        <is>
          <t>1101</t>
        </is>
      </c>
      <c r="G38" s="3" t="n">
        <v>474250</v>
      </c>
      <c r="H38" s="3">
        <f>IF(E38="Maharashtra",ROUND(G38*9%,0),0)</f>
        <v/>
      </c>
      <c r="I38" s="3">
        <f>IF(E38="Maharashtra",ROUND(G38*9%,0),0)</f>
        <v/>
      </c>
      <c r="J38" s="3">
        <f>IF(E38="Maharashtra",0,ROUND(G38*18%,0))</f>
        <v/>
      </c>
      <c r="K38" s="3">
        <f>SUM(G38:J38)</f>
        <v/>
      </c>
    </row>
    <row r="39">
      <c r="A39" t="inlineStr">
        <is>
          <t>SAF/26-27/1038</t>
        </is>
      </c>
      <c r="B39" s="17" t="n">
        <v>46174</v>
      </c>
      <c r="C39" t="inlineStr">
        <is>
          <t>Malwa Kirana</t>
        </is>
      </c>
      <c r="D39" t="inlineStr">
        <is>
          <t>23AAMFM1147C1ZT</t>
        </is>
      </c>
      <c r="E39" t="inlineStr">
        <is>
          <t>Madhya Pradesh</t>
        </is>
      </c>
      <c r="F39" t="inlineStr">
        <is>
          <t>0910</t>
        </is>
      </c>
      <c r="G39" s="3" t="n">
        <v>137150</v>
      </c>
      <c r="H39" s="3">
        <f>IF(E39="Maharashtra",ROUND(G39*9%,0),0)</f>
        <v/>
      </c>
      <c r="I39" s="3">
        <f>IF(E39="Maharashtra",ROUND(G39*9%,0),0)</f>
        <v/>
      </c>
      <c r="J39" s="3">
        <f>IF(E39="Maharashtra",0,ROUND(G39*18%,0))</f>
        <v/>
      </c>
      <c r="K39" s="3">
        <f>SUM(G39:J39)</f>
        <v/>
      </c>
    </row>
    <row r="40">
      <c r="A40" t="inlineStr">
        <is>
          <t>SAF/26-27/1039</t>
        </is>
      </c>
      <c r="B40" s="17" t="n">
        <v>46175</v>
      </c>
      <c r="C40" t="inlineStr">
        <is>
          <t>Gujarat Agro Mart</t>
        </is>
      </c>
      <c r="D40" t="inlineStr">
        <is>
          <t>24AAGCG5530R1Z1</t>
        </is>
      </c>
      <c r="E40" t="inlineStr">
        <is>
          <t>Gujarat</t>
        </is>
      </c>
      <c r="F40" t="inlineStr">
        <is>
          <t>1006</t>
        </is>
      </c>
      <c r="G40" s="3" t="n">
        <v>463550</v>
      </c>
      <c r="H40" s="3">
        <f>IF(E40="Maharashtra",ROUND(G40*9%,0),0)</f>
        <v/>
      </c>
      <c r="I40" s="3">
        <f>IF(E40="Maharashtra",ROUND(G40*9%,0),0)</f>
        <v/>
      </c>
      <c r="J40" s="3">
        <f>IF(E40="Maharashtra",0,ROUND(G40*18%,0))</f>
        <v/>
      </c>
      <c r="K40" s="3">
        <f>SUM(G40:J40)</f>
        <v/>
      </c>
    </row>
    <row r="41">
      <c r="A41" t="inlineStr">
        <is>
          <t>SAF/26-27/1040</t>
        </is>
      </c>
      <c r="B41" s="17" t="n">
        <v>46178</v>
      </c>
      <c r="C41" t="inlineStr">
        <is>
          <t>Chennai Spice House</t>
        </is>
      </c>
      <c r="D41" t="inlineStr">
        <is>
          <t>33AACFC3305D1Z4</t>
        </is>
      </c>
      <c r="E41" t="inlineStr">
        <is>
          <t>Tamil Nadu</t>
        </is>
      </c>
      <c r="F41" t="inlineStr">
        <is>
          <t>1101</t>
        </is>
      </c>
      <c r="G41" s="3" t="n">
        <v>326950</v>
      </c>
      <c r="H41" s="3">
        <f>IF(E41="Maharashtra",ROUND(G41*9%,0),0)</f>
        <v/>
      </c>
      <c r="I41" s="3">
        <f>IF(E41="Maharashtra",ROUND(G41*9%,0),0)</f>
        <v/>
      </c>
      <c r="J41" s="3">
        <f>IF(E41="Maharashtra",0,ROUND(G41*18%,0))</f>
        <v/>
      </c>
      <c r="K41" s="3">
        <f>SUM(G41:J41)</f>
        <v/>
      </c>
    </row>
    <row r="42">
      <c r="A42" t="inlineStr">
        <is>
          <t>SAF/26-27/1041</t>
        </is>
      </c>
      <c r="B42" s="17" t="n">
        <v>46181</v>
      </c>
      <c r="C42" t="inlineStr">
        <is>
          <t>Balaji Wholesale</t>
        </is>
      </c>
      <c r="D42" t="inlineStr">
        <is>
          <t>29AADFB7314K1Z8</t>
        </is>
      </c>
      <c r="E42" t="inlineStr">
        <is>
          <t>Karnataka</t>
        </is>
      </c>
      <c r="F42" t="inlineStr">
        <is>
          <t>0910</t>
        </is>
      </c>
      <c r="G42" s="3" t="n">
        <v>213200</v>
      </c>
      <c r="H42" s="3">
        <f>IF(E42="Maharashtra",ROUND(G42*9%,0),0)</f>
        <v/>
      </c>
      <c r="I42" s="3">
        <f>IF(E42="Maharashtra",ROUND(G42*9%,0),0)</f>
        <v/>
      </c>
      <c r="J42" s="3">
        <f>IF(E42="Maharashtra",0,ROUND(G42*18%,0))</f>
        <v/>
      </c>
      <c r="K42" s="3">
        <f>SUM(G42:J42)</f>
        <v/>
      </c>
    </row>
    <row r="43">
      <c r="A43" t="inlineStr">
        <is>
          <t>SAF/26-27/1042</t>
        </is>
      </c>
      <c r="B43" s="17" t="n">
        <v>46182</v>
      </c>
      <c r="C43" t="inlineStr">
        <is>
          <t>Chennai Spice House</t>
        </is>
      </c>
      <c r="D43" t="inlineStr">
        <is>
          <t>33AACFC3305D1Z4</t>
        </is>
      </c>
      <c r="E43" t="inlineStr">
        <is>
          <t>Tamil Nadu</t>
        </is>
      </c>
      <c r="F43" t="inlineStr">
        <is>
          <t>0713</t>
        </is>
      </c>
      <c r="G43" s="3" t="n">
        <v>110350</v>
      </c>
      <c r="H43" s="3">
        <f>IF(E43="Maharashtra",ROUND(G43*9%,0),0)</f>
        <v/>
      </c>
      <c r="I43" s="3">
        <f>IF(E43="Maharashtra",ROUND(G43*9%,0),0)</f>
        <v/>
      </c>
      <c r="J43" s="3">
        <f>IF(E43="Maharashtra",0,ROUND(G43*18%,0))</f>
        <v/>
      </c>
      <c r="K43" s="3">
        <f>SUM(G43:J43)</f>
        <v/>
      </c>
    </row>
    <row r="44">
      <c r="A44" t="inlineStr">
        <is>
          <t>SAF/26-27/1043</t>
        </is>
      </c>
      <c r="B44" s="17" t="n">
        <v>46185</v>
      </c>
      <c r="C44" t="inlineStr">
        <is>
          <t>Deccan Retail</t>
        </is>
      </c>
      <c r="D44" t="inlineStr">
        <is>
          <t>36AAECD9902H1Z6</t>
        </is>
      </c>
      <c r="E44" t="inlineStr">
        <is>
          <t>Telangana</t>
        </is>
      </c>
      <c r="F44" t="inlineStr">
        <is>
          <t>0902</t>
        </is>
      </c>
      <c r="G44" s="3" t="n">
        <v>312900</v>
      </c>
      <c r="H44" s="3">
        <f>IF(E44="Maharashtra",ROUND(G44*9%,0),0)</f>
        <v/>
      </c>
      <c r="I44" s="3">
        <f>IF(E44="Maharashtra",ROUND(G44*9%,0),0)</f>
        <v/>
      </c>
      <c r="J44" s="3">
        <f>IF(E44="Maharashtra",0,ROUND(G44*18%,0))</f>
        <v/>
      </c>
      <c r="K44" s="3">
        <f>SUM(G44:J44)</f>
        <v/>
      </c>
    </row>
    <row r="45">
      <c r="A45" t="inlineStr">
        <is>
          <t>SAF/26-27/1044</t>
        </is>
      </c>
      <c r="B45" s="17" t="n">
        <v>46188</v>
      </c>
      <c r="C45" t="inlineStr">
        <is>
          <t>Konkan Fresh</t>
        </is>
      </c>
      <c r="D45" t="inlineStr">
        <is>
          <t>27AAKCK6638P1Z9</t>
        </is>
      </c>
      <c r="E45" t="inlineStr">
        <is>
          <t>Maharashtra</t>
        </is>
      </c>
      <c r="F45" t="inlineStr">
        <is>
          <t>0713</t>
        </is>
      </c>
      <c r="G45" s="3" t="n">
        <v>393000</v>
      </c>
      <c r="H45" s="3">
        <f>IF(E45="Maharashtra",ROUND(G45*9%,0),0)</f>
        <v/>
      </c>
      <c r="I45" s="3">
        <f>IF(E45="Maharashtra",ROUND(G45*9%,0),0)</f>
        <v/>
      </c>
      <c r="J45" s="3">
        <f>IF(E45="Maharashtra",0,ROUND(G45*18%,0))</f>
        <v/>
      </c>
      <c r="K45" s="3">
        <f>SUM(G45:J45)</f>
        <v/>
      </c>
    </row>
    <row r="46">
      <c r="A46" t="inlineStr">
        <is>
          <t>SAF/26-27/1045</t>
        </is>
      </c>
      <c r="B46" s="17" t="n">
        <v>46189</v>
      </c>
      <c r="C46" t="inlineStr">
        <is>
          <t>Shree Krishna Traders</t>
        </is>
      </c>
      <c r="D46" t="inlineStr">
        <is>
          <t>27AAKFS4821M1Z3</t>
        </is>
      </c>
      <c r="E46" t="inlineStr">
        <is>
          <t>Maharashtra</t>
        </is>
      </c>
      <c r="F46" t="inlineStr">
        <is>
          <t>0713</t>
        </is>
      </c>
      <c r="G46" s="3" t="n">
        <v>464400</v>
      </c>
      <c r="H46" s="3">
        <f>IF(E46="Maharashtra",ROUND(G46*9%,0),0)</f>
        <v/>
      </c>
      <c r="I46" s="3">
        <f>IF(E46="Maharashtra",ROUND(G46*9%,0),0)</f>
        <v/>
      </c>
      <c r="J46" s="3">
        <f>IF(E46="Maharashtra",0,ROUND(G46*18%,0))</f>
        <v/>
      </c>
      <c r="K46" s="3">
        <f>SUM(G46:J46)</f>
        <v/>
      </c>
    </row>
    <row r="47">
      <c r="A47" t="inlineStr">
        <is>
          <t>SAF/26-27/1046</t>
        </is>
      </c>
      <c r="B47" s="17" t="n">
        <v>46190</v>
      </c>
      <c r="C47" t="inlineStr">
        <is>
          <t>Chennai Spice House</t>
        </is>
      </c>
      <c r="D47" t="inlineStr">
        <is>
          <t>33AACFC3305D1Z4</t>
        </is>
      </c>
      <c r="E47" t="inlineStr">
        <is>
          <t>Tamil Nadu</t>
        </is>
      </c>
      <c r="F47" t="inlineStr">
        <is>
          <t>0910</t>
        </is>
      </c>
      <c r="G47" s="3" t="n">
        <v>291850</v>
      </c>
      <c r="H47" s="3">
        <f>IF(E47="Maharashtra",ROUND(G47*9%,0),0)</f>
        <v/>
      </c>
      <c r="I47" s="3">
        <f>IF(E47="Maharashtra",ROUND(G47*9%,0),0)</f>
        <v/>
      </c>
      <c r="J47" s="3">
        <f>IF(E47="Maharashtra",0,ROUND(G47*18%,0))</f>
        <v/>
      </c>
      <c r="K47" s="3">
        <f>SUM(G47:J47)</f>
        <v/>
      </c>
    </row>
    <row r="48">
      <c r="A48" t="inlineStr">
        <is>
          <t>SAF/26-27/1047</t>
        </is>
      </c>
      <c r="B48" s="17" t="n">
        <v>46191</v>
      </c>
      <c r="C48" t="inlineStr">
        <is>
          <t>Gujarat Agro Mart</t>
        </is>
      </c>
      <c r="D48" t="inlineStr">
        <is>
          <t>24AAGCG5530R1Z1</t>
        </is>
      </c>
      <c r="E48" t="inlineStr">
        <is>
          <t>Gujarat</t>
        </is>
      </c>
      <c r="F48" t="inlineStr">
        <is>
          <t>0902</t>
        </is>
      </c>
      <c r="G48" s="3" t="n">
        <v>79600</v>
      </c>
      <c r="H48" s="3">
        <f>IF(E48="Maharashtra",ROUND(G48*9%,0),0)</f>
        <v/>
      </c>
      <c r="I48" s="3">
        <f>IF(E48="Maharashtra",ROUND(G48*9%,0),0)</f>
        <v/>
      </c>
      <c r="J48" s="3">
        <f>IF(E48="Maharashtra",0,ROUND(G48*18%,0))</f>
        <v/>
      </c>
      <c r="K48" s="3">
        <f>SUM(G48:J48)</f>
        <v/>
      </c>
    </row>
    <row r="49">
      <c r="A49" t="inlineStr">
        <is>
          <t>SAF/26-27/1048</t>
        </is>
      </c>
      <c r="B49" s="17" t="n">
        <v>46192</v>
      </c>
      <c r="C49" t="inlineStr">
        <is>
          <t>Deccan Retail</t>
        </is>
      </c>
      <c r="D49" t="inlineStr">
        <is>
          <t>36AAECD9902H1Z6</t>
        </is>
      </c>
      <c r="E49" t="inlineStr">
        <is>
          <t>Telangana</t>
        </is>
      </c>
      <c r="F49" t="inlineStr">
        <is>
          <t>0902</t>
        </is>
      </c>
      <c r="G49" s="3" t="n">
        <v>174300</v>
      </c>
      <c r="H49" s="3">
        <f>IF(E49="Maharashtra",ROUND(G49*9%,0),0)</f>
        <v/>
      </c>
      <c r="I49" s="3">
        <f>IF(E49="Maharashtra",ROUND(G49*9%,0),0)</f>
        <v/>
      </c>
      <c r="J49" s="3">
        <f>IF(E49="Maharashtra",0,ROUND(G49*18%,0))</f>
        <v/>
      </c>
      <c r="K49" s="3">
        <f>SUM(G49:J49)</f>
        <v/>
      </c>
    </row>
    <row r="50">
      <c r="A50" t="inlineStr">
        <is>
          <t>SAF/26-27/1049</t>
        </is>
      </c>
      <c r="B50" s="17" t="n">
        <v>46193</v>
      </c>
      <c r="C50" t="inlineStr">
        <is>
          <t>Gujarat Agro Mart</t>
        </is>
      </c>
      <c r="D50" t="inlineStr">
        <is>
          <t>24AAGCG5530R1Z1</t>
        </is>
      </c>
      <c r="E50" t="inlineStr">
        <is>
          <t>Gujarat</t>
        </is>
      </c>
      <c r="F50" t="inlineStr">
        <is>
          <t>0902</t>
        </is>
      </c>
      <c r="G50" s="3" t="n">
        <v>374800</v>
      </c>
      <c r="H50" s="3">
        <f>IF(E50="Maharashtra",ROUND(G50*9%,0),0)</f>
        <v/>
      </c>
      <c r="I50" s="3">
        <f>IF(E50="Maharashtra",ROUND(G50*9%,0),0)</f>
        <v/>
      </c>
      <c r="J50" s="3">
        <f>IF(E50="Maharashtra",0,ROUND(G50*18%,0))</f>
        <v/>
      </c>
      <c r="K50" s="3">
        <f>SUM(G50:J50)</f>
        <v/>
      </c>
    </row>
    <row r="51">
      <c r="A51" t="inlineStr">
        <is>
          <t>SAF/26-27/1050</t>
        </is>
      </c>
      <c r="B51" s="17" t="n">
        <v>46193</v>
      </c>
      <c r="C51" t="inlineStr">
        <is>
          <t>Shree Krishna Traders</t>
        </is>
      </c>
      <c r="D51" t="inlineStr">
        <is>
          <t>27AAKFS4821M1Z3</t>
        </is>
      </c>
      <c r="E51" t="inlineStr">
        <is>
          <t>Maharashtra</t>
        </is>
      </c>
      <c r="F51" t="inlineStr">
        <is>
          <t>0910</t>
        </is>
      </c>
      <c r="G51" s="3" t="n">
        <v>248600</v>
      </c>
      <c r="H51" s="3">
        <f>IF(E51="Maharashtra",ROUND(G51*9%,0),0)</f>
        <v/>
      </c>
      <c r="I51" s="3">
        <f>IF(E51="Maharashtra",ROUND(G51*9%,0),0)</f>
        <v/>
      </c>
      <c r="J51" s="3">
        <f>IF(E51="Maharashtra",0,ROUND(G51*18%,0))</f>
        <v/>
      </c>
      <c r="K51" s="3">
        <f>SUM(G51:J51)</f>
        <v/>
      </c>
    </row>
    <row r="52">
      <c r="A52" t="inlineStr">
        <is>
          <t>SAF/26-27/1051</t>
        </is>
      </c>
      <c r="B52" s="17" t="n">
        <v>46194</v>
      </c>
      <c r="C52" t="inlineStr">
        <is>
          <t>Gujarat Agro Mart</t>
        </is>
      </c>
      <c r="D52" t="inlineStr">
        <is>
          <t>24AAGCG5530R1Z1</t>
        </is>
      </c>
      <c r="E52" t="inlineStr">
        <is>
          <t>Gujarat</t>
        </is>
      </c>
      <c r="F52" t="inlineStr">
        <is>
          <t>0902</t>
        </is>
      </c>
      <c r="G52" s="3" t="n">
        <v>127250</v>
      </c>
      <c r="H52" s="3">
        <f>IF(E52="Maharashtra",ROUND(G52*9%,0),0)</f>
        <v/>
      </c>
      <c r="I52" s="3">
        <f>IF(E52="Maharashtra",ROUND(G52*9%,0),0)</f>
        <v/>
      </c>
      <c r="J52" s="3">
        <f>IF(E52="Maharashtra",0,ROUND(G52*18%,0))</f>
        <v/>
      </c>
      <c r="K52" s="3">
        <f>SUM(G52:J52)</f>
        <v/>
      </c>
    </row>
    <row r="53">
      <c r="A53" t="inlineStr">
        <is>
          <t>SAF/26-27/1052</t>
        </is>
      </c>
      <c r="B53" s="17" t="n">
        <v>46196</v>
      </c>
      <c r="C53" t="inlineStr">
        <is>
          <t>Shree Krishna Traders</t>
        </is>
      </c>
      <c r="D53" t="inlineStr">
        <is>
          <t>27AAKFS4821M1Z3</t>
        </is>
      </c>
      <c r="E53" t="inlineStr">
        <is>
          <t>Maharashtra</t>
        </is>
      </c>
      <c r="F53" t="inlineStr">
        <is>
          <t>1006</t>
        </is>
      </c>
      <c r="G53" s="3" t="n">
        <v>43550</v>
      </c>
      <c r="H53" s="3">
        <f>IF(E53="Maharashtra",ROUND(G53*9%,0),0)</f>
        <v/>
      </c>
      <c r="I53" s="3">
        <f>IF(E53="Maharashtra",ROUND(G53*9%,0),0)</f>
        <v/>
      </c>
      <c r="J53" s="3">
        <f>IF(E53="Maharashtra",0,ROUND(G53*18%,0))</f>
        <v/>
      </c>
      <c r="K53" s="3">
        <f>SUM(G53:J53)</f>
        <v/>
      </c>
    </row>
    <row r="54">
      <c r="A54" t="inlineStr">
        <is>
          <t>SAF/26-27/1053</t>
        </is>
      </c>
      <c r="B54" s="17" t="n">
        <v>46197</v>
      </c>
      <c r="C54" t="inlineStr">
        <is>
          <t>Konkan Fresh</t>
        </is>
      </c>
      <c r="D54" t="inlineStr">
        <is>
          <t>27AAKCK6638P1Z9</t>
        </is>
      </c>
      <c r="E54" t="inlineStr">
        <is>
          <t>Maharashtra</t>
        </is>
      </c>
      <c r="F54" t="inlineStr">
        <is>
          <t>0910</t>
        </is>
      </c>
      <c r="G54" s="3" t="n">
        <v>126250</v>
      </c>
      <c r="H54" s="3">
        <f>IF(E54="Maharashtra",ROUND(G54*9%,0),0)</f>
        <v/>
      </c>
      <c r="I54" s="3">
        <f>IF(E54="Maharashtra",ROUND(G54*9%,0),0)</f>
        <v/>
      </c>
      <c r="J54" s="3">
        <f>IF(E54="Maharashtra",0,ROUND(G54*18%,0))</f>
        <v/>
      </c>
      <c r="K54" s="3">
        <f>SUM(G54:J54)</f>
        <v/>
      </c>
    </row>
    <row r="55">
      <c r="A55" t="inlineStr">
        <is>
          <t>SAF/26-27/1054</t>
        </is>
      </c>
      <c r="B55" s="17" t="n">
        <v>46200</v>
      </c>
      <c r="C55" t="inlineStr">
        <is>
          <t>Balaji Wholesale</t>
        </is>
      </c>
      <c r="D55" t="inlineStr">
        <is>
          <t>29AADFB7314K1Z8</t>
        </is>
      </c>
      <c r="E55" t="inlineStr">
        <is>
          <t>Karnataka</t>
        </is>
      </c>
      <c r="F55" t="inlineStr">
        <is>
          <t>1101</t>
        </is>
      </c>
      <c r="G55" s="3" t="n">
        <v>52450</v>
      </c>
      <c r="H55" s="3">
        <f>IF(E55="Maharashtra",ROUND(G55*9%,0),0)</f>
        <v/>
      </c>
      <c r="I55" s="3">
        <f>IF(E55="Maharashtra",ROUND(G55*9%,0),0)</f>
        <v/>
      </c>
      <c r="J55" s="3">
        <f>IF(E55="Maharashtra",0,ROUND(G55*18%,0))</f>
        <v/>
      </c>
      <c r="K55" s="3">
        <f>SUM(G55:J55)</f>
        <v/>
      </c>
    </row>
    <row r="56">
      <c r="A56" t="inlineStr">
        <is>
          <t>SAF/26-27/1055</t>
        </is>
      </c>
      <c r="B56" s="17" t="n">
        <v>46203</v>
      </c>
      <c r="C56" t="inlineStr">
        <is>
          <t>Chennai Spice House</t>
        </is>
      </c>
      <c r="D56" t="inlineStr">
        <is>
          <t>33AACFC3305D1Z4</t>
        </is>
      </c>
      <c r="E56" t="inlineStr">
        <is>
          <t>Tamil Nadu</t>
        </is>
      </c>
      <c r="F56" t="inlineStr">
        <is>
          <t>0910</t>
        </is>
      </c>
      <c r="G56" s="3" t="n">
        <v>115050</v>
      </c>
      <c r="H56" s="3">
        <f>IF(E56="Maharashtra",ROUND(G56*9%,0),0)</f>
        <v/>
      </c>
      <c r="I56" s="3">
        <f>IF(E56="Maharashtra",ROUND(G56*9%,0),0)</f>
        <v/>
      </c>
      <c r="J56" s="3">
        <f>IF(E56="Maharashtra",0,ROUND(G56*18%,0))</f>
        <v/>
      </c>
      <c r="K56" s="3">
        <f>SUM(G56:J56)</f>
        <v/>
      </c>
    </row>
    <row r="57">
      <c r="A57" t="inlineStr">
        <is>
          <t>SAF/26-27/1056</t>
        </is>
      </c>
      <c r="B57" s="17" t="n">
        <v>46204</v>
      </c>
      <c r="C57" t="inlineStr">
        <is>
          <t>Deccan Retail</t>
        </is>
      </c>
      <c r="D57" t="inlineStr">
        <is>
          <t>36AAECD9902H1Z6</t>
        </is>
      </c>
      <c r="E57" t="inlineStr">
        <is>
          <t>Telangana</t>
        </is>
      </c>
      <c r="F57" t="inlineStr">
        <is>
          <t>0713</t>
        </is>
      </c>
      <c r="G57" s="3" t="n">
        <v>361350</v>
      </c>
      <c r="H57" s="3">
        <f>IF(E57="Maharashtra",ROUND(G57*9%,0),0)</f>
        <v/>
      </c>
      <c r="I57" s="3">
        <f>IF(E57="Maharashtra",ROUND(G57*9%,0),0)</f>
        <v/>
      </c>
      <c r="J57" s="3">
        <f>IF(E57="Maharashtra",0,ROUND(G57*18%,0))</f>
        <v/>
      </c>
      <c r="K57" s="3">
        <f>SUM(G57:J57)</f>
        <v/>
      </c>
    </row>
    <row r="58">
      <c r="A58" t="inlineStr">
        <is>
          <t>SAF/26-27/1057</t>
        </is>
      </c>
      <c r="B58" s="17" t="n">
        <v>46205</v>
      </c>
      <c r="C58" t="inlineStr">
        <is>
          <t>Annapurna Stores</t>
        </is>
      </c>
      <c r="D58" t="inlineStr">
        <is>
          <t>27AABPA2219L1ZQ</t>
        </is>
      </c>
      <c r="E58" t="inlineStr">
        <is>
          <t>Maharashtra</t>
        </is>
      </c>
      <c r="F58" t="inlineStr">
        <is>
          <t>0902</t>
        </is>
      </c>
      <c r="G58" s="3" t="n">
        <v>225550</v>
      </c>
      <c r="H58" s="3">
        <f>IF(E58="Maharashtra",ROUND(G58*9%,0),0)</f>
        <v/>
      </c>
      <c r="I58" s="3">
        <f>IF(E58="Maharashtra",ROUND(G58*9%,0),0)</f>
        <v/>
      </c>
      <c r="J58" s="3">
        <f>IF(E58="Maharashtra",0,ROUND(G58*18%,0))</f>
        <v/>
      </c>
      <c r="K58" s="3">
        <f>SUM(G58:J58)</f>
        <v/>
      </c>
    </row>
    <row r="59">
      <c r="A59" t="inlineStr">
        <is>
          <t>SAF/26-27/1058</t>
        </is>
      </c>
      <c r="B59" s="17" t="n">
        <v>46206</v>
      </c>
      <c r="C59" t="inlineStr">
        <is>
          <t>Konkan Fresh</t>
        </is>
      </c>
      <c r="D59" t="inlineStr">
        <is>
          <t>27AAKCK6638P1Z9</t>
        </is>
      </c>
      <c r="E59" t="inlineStr">
        <is>
          <t>Maharashtra</t>
        </is>
      </c>
      <c r="F59" t="inlineStr">
        <is>
          <t>0910</t>
        </is>
      </c>
      <c r="G59" s="3" t="n">
        <v>381900</v>
      </c>
      <c r="H59" s="3">
        <f>IF(E59="Maharashtra",ROUND(G59*9%,0),0)</f>
        <v/>
      </c>
      <c r="I59" s="3">
        <f>IF(E59="Maharashtra",ROUND(G59*9%,0),0)</f>
        <v/>
      </c>
      <c r="J59" s="3">
        <f>IF(E59="Maharashtra",0,ROUND(G59*18%,0))</f>
        <v/>
      </c>
      <c r="K59" s="3">
        <f>SUM(G59:J59)</f>
        <v/>
      </c>
    </row>
    <row r="60">
      <c r="A60" t="inlineStr">
        <is>
          <t>SAF/26-27/1059</t>
        </is>
      </c>
      <c r="B60" s="17" t="n">
        <v>46207</v>
      </c>
      <c r="C60" t="inlineStr">
        <is>
          <t>Deccan Retail</t>
        </is>
      </c>
      <c r="D60" t="inlineStr">
        <is>
          <t>36AAECD9902H1Z6</t>
        </is>
      </c>
      <c r="E60" t="inlineStr">
        <is>
          <t>Telangana</t>
        </is>
      </c>
      <c r="F60" t="inlineStr">
        <is>
          <t>0902</t>
        </is>
      </c>
      <c r="G60" s="3" t="n">
        <v>29700</v>
      </c>
      <c r="H60" s="3">
        <f>IF(E60="Maharashtra",ROUND(G60*9%,0),0)</f>
        <v/>
      </c>
      <c r="I60" s="3">
        <f>IF(E60="Maharashtra",ROUND(G60*9%,0),0)</f>
        <v/>
      </c>
      <c r="J60" s="3">
        <f>IF(E60="Maharashtra",0,ROUND(G60*18%,0))</f>
        <v/>
      </c>
      <c r="K60" s="3">
        <f>SUM(G60:J60)</f>
        <v/>
      </c>
    </row>
    <row r="61">
      <c r="A61" t="inlineStr">
        <is>
          <t>SAF/26-27/1060</t>
        </is>
      </c>
      <c r="B61" s="17" t="n">
        <v>46210</v>
      </c>
      <c r="C61" t="inlineStr">
        <is>
          <t>Chennai Spice House</t>
        </is>
      </c>
      <c r="D61" t="inlineStr">
        <is>
          <t>33AACFC3305D1Z4</t>
        </is>
      </c>
      <c r="E61" t="inlineStr">
        <is>
          <t>Tamil Nadu</t>
        </is>
      </c>
      <c r="F61" t="inlineStr">
        <is>
          <t>0902</t>
        </is>
      </c>
      <c r="G61" s="3" t="n">
        <v>180800</v>
      </c>
      <c r="H61" s="3">
        <f>IF(E61="Maharashtra",ROUND(G61*9%,0),0)</f>
        <v/>
      </c>
      <c r="I61" s="3">
        <f>IF(E61="Maharashtra",ROUND(G61*9%,0),0)</f>
        <v/>
      </c>
      <c r="J61" s="3">
        <f>IF(E61="Maharashtra",0,ROUND(G61*18%,0))</f>
        <v/>
      </c>
      <c r="K61" s="3">
        <f>SUM(G61:J61)</f>
        <v/>
      </c>
    </row>
    <row r="62">
      <c r="A62" t="inlineStr">
        <is>
          <t>SAF/26-27/1061</t>
        </is>
      </c>
      <c r="B62" s="17" t="n">
        <v>46213</v>
      </c>
      <c r="C62" t="inlineStr">
        <is>
          <t>Shree Krishna Traders</t>
        </is>
      </c>
      <c r="D62" t="inlineStr">
        <is>
          <t>27AAKFS4821M1Z3</t>
        </is>
      </c>
      <c r="E62" t="inlineStr">
        <is>
          <t>Maharashtra</t>
        </is>
      </c>
      <c r="F62" t="inlineStr">
        <is>
          <t>0910</t>
        </is>
      </c>
      <c r="G62" s="3" t="n">
        <v>287800</v>
      </c>
      <c r="H62" s="3">
        <f>IF(E62="Maharashtra",ROUND(G62*9%,0),0)</f>
        <v/>
      </c>
      <c r="I62" s="3">
        <f>IF(E62="Maharashtra",ROUND(G62*9%,0),0)</f>
        <v/>
      </c>
      <c r="J62" s="3">
        <f>IF(E62="Maharashtra",0,ROUND(G62*18%,0))</f>
        <v/>
      </c>
      <c r="K62" s="3">
        <f>SUM(G62:J62)</f>
        <v/>
      </c>
    </row>
    <row r="63">
      <c r="A63" t="inlineStr">
        <is>
          <t>SAF/26-27/1062</t>
        </is>
      </c>
      <c r="B63" s="17" t="n">
        <v>46214</v>
      </c>
      <c r="C63" t="inlineStr">
        <is>
          <t>Balaji Wholesale</t>
        </is>
      </c>
      <c r="D63" t="inlineStr">
        <is>
          <t>29AADFB7314K1Z8</t>
        </is>
      </c>
      <c r="E63" t="inlineStr">
        <is>
          <t>Karnataka</t>
        </is>
      </c>
      <c r="F63" t="inlineStr">
        <is>
          <t>0713</t>
        </is>
      </c>
      <c r="G63" s="3" t="n">
        <v>204950</v>
      </c>
      <c r="H63" s="3">
        <f>IF(E63="Maharashtra",ROUND(G63*9%,0),0)</f>
        <v/>
      </c>
      <c r="I63" s="3">
        <f>IF(E63="Maharashtra",ROUND(G63*9%,0),0)</f>
        <v/>
      </c>
      <c r="J63" s="3">
        <f>IF(E63="Maharashtra",0,ROUND(G63*18%,0))</f>
        <v/>
      </c>
      <c r="K63" s="3">
        <f>SUM(G63:J63)</f>
        <v/>
      </c>
    </row>
    <row r="64">
      <c r="A64" t="inlineStr">
        <is>
          <t>SAF/26-27/1063</t>
        </is>
      </c>
      <c r="B64" s="17" t="n">
        <v>46215</v>
      </c>
      <c r="C64" t="inlineStr">
        <is>
          <t>Deccan Retail</t>
        </is>
      </c>
      <c r="D64" t="inlineStr">
        <is>
          <t>36AAECD9902H1Z6</t>
        </is>
      </c>
      <c r="E64" t="inlineStr">
        <is>
          <t>Telangana</t>
        </is>
      </c>
      <c r="F64" t="inlineStr">
        <is>
          <t>0902</t>
        </is>
      </c>
      <c r="G64" s="3" t="n">
        <v>311250</v>
      </c>
      <c r="H64" s="3">
        <f>IF(E64="Maharashtra",ROUND(G64*9%,0),0)</f>
        <v/>
      </c>
      <c r="I64" s="3">
        <f>IF(E64="Maharashtra",ROUND(G64*9%,0),0)</f>
        <v/>
      </c>
      <c r="J64" s="3">
        <f>IF(E64="Maharashtra",0,ROUND(G64*18%,0))</f>
        <v/>
      </c>
      <c r="K64" s="3">
        <f>SUM(G64:J64)</f>
        <v/>
      </c>
    </row>
    <row r="65">
      <c r="A65" t="inlineStr">
        <is>
          <t>SAF/26-27/1064</t>
        </is>
      </c>
      <c r="B65" s="17" t="n">
        <v>46218</v>
      </c>
      <c r="C65" t="inlineStr">
        <is>
          <t>Deccan Retail</t>
        </is>
      </c>
      <c r="D65" t="inlineStr">
        <is>
          <t>36AAECD9902H1Z6</t>
        </is>
      </c>
      <c r="E65" t="inlineStr">
        <is>
          <t>Telangana</t>
        </is>
      </c>
      <c r="F65" t="inlineStr">
        <is>
          <t>0902</t>
        </is>
      </c>
      <c r="G65" s="3" t="n">
        <v>378300</v>
      </c>
      <c r="H65" s="3">
        <f>IF(E65="Maharashtra",ROUND(G65*9%,0),0)</f>
        <v/>
      </c>
      <c r="I65" s="3">
        <f>IF(E65="Maharashtra",ROUND(G65*9%,0),0)</f>
        <v/>
      </c>
      <c r="J65" s="3">
        <f>IF(E65="Maharashtra",0,ROUND(G65*18%,0))</f>
        <v/>
      </c>
      <c r="K65" s="3">
        <f>SUM(G65:J65)</f>
        <v/>
      </c>
    </row>
    <row r="66">
      <c r="A66" t="inlineStr">
        <is>
          <t>SAF/26-27/1065</t>
        </is>
      </c>
      <c r="B66" s="17" t="n">
        <v>46221</v>
      </c>
      <c r="C66" t="inlineStr">
        <is>
          <t>Konkan Fresh</t>
        </is>
      </c>
      <c r="D66" t="inlineStr">
        <is>
          <t>27AAKCK6638P1Z9</t>
        </is>
      </c>
      <c r="E66" t="inlineStr">
        <is>
          <t>Maharashtra</t>
        </is>
      </c>
      <c r="F66" t="inlineStr">
        <is>
          <t>0910</t>
        </is>
      </c>
      <c r="G66" s="3" t="n">
        <v>366650</v>
      </c>
      <c r="H66" s="3">
        <f>IF(E66="Maharashtra",ROUND(G66*9%,0),0)</f>
        <v/>
      </c>
      <c r="I66" s="3">
        <f>IF(E66="Maharashtra",ROUND(G66*9%,0),0)</f>
        <v/>
      </c>
      <c r="J66" s="3">
        <f>IF(E66="Maharashtra",0,ROUND(G66*18%,0))</f>
        <v/>
      </c>
      <c r="K66" s="3">
        <f>SUM(G66:J66)</f>
        <v/>
      </c>
    </row>
    <row r="67">
      <c r="A67" t="inlineStr">
        <is>
          <t>SAF/26-27/1066</t>
        </is>
      </c>
      <c r="B67" s="17" t="n">
        <v>46223</v>
      </c>
      <c r="C67" t="inlineStr">
        <is>
          <t>Deccan Retail</t>
        </is>
      </c>
      <c r="D67" t="inlineStr">
        <is>
          <t>36AAECD9902H1Z6</t>
        </is>
      </c>
      <c r="E67" t="inlineStr">
        <is>
          <t>Telangana</t>
        </is>
      </c>
      <c r="F67" t="inlineStr">
        <is>
          <t>0713</t>
        </is>
      </c>
      <c r="G67" s="3" t="n">
        <v>449700</v>
      </c>
      <c r="H67" s="3">
        <f>IF(E67="Maharashtra",ROUND(G67*9%,0),0)</f>
        <v/>
      </c>
      <c r="I67" s="3">
        <f>IF(E67="Maharashtra",ROUND(G67*9%,0),0)</f>
        <v/>
      </c>
      <c r="J67" s="3">
        <f>IF(E67="Maharashtra",0,ROUND(G67*18%,0))</f>
        <v/>
      </c>
      <c r="K67" s="3">
        <f>SUM(G67:J67)</f>
        <v/>
      </c>
    </row>
    <row r="68">
      <c r="A68" t="inlineStr">
        <is>
          <t>SAF/26-27/1067</t>
        </is>
      </c>
      <c r="B68" s="17" t="n">
        <v>46224</v>
      </c>
      <c r="C68" t="inlineStr">
        <is>
          <t>Balaji Wholesale</t>
        </is>
      </c>
      <c r="D68" t="inlineStr">
        <is>
          <t>29AADFB7314K1Z8</t>
        </is>
      </c>
      <c r="E68" t="inlineStr">
        <is>
          <t>Karnataka</t>
        </is>
      </c>
      <c r="F68" t="inlineStr">
        <is>
          <t>1006</t>
        </is>
      </c>
      <c r="G68" s="3" t="n">
        <v>313750</v>
      </c>
      <c r="H68" s="3">
        <f>IF(E68="Maharashtra",ROUND(G68*9%,0),0)</f>
        <v/>
      </c>
      <c r="I68" s="3">
        <f>IF(E68="Maharashtra",ROUND(G68*9%,0),0)</f>
        <v/>
      </c>
      <c r="J68" s="3">
        <f>IF(E68="Maharashtra",0,ROUND(G68*18%,0))</f>
        <v/>
      </c>
      <c r="K68" s="3">
        <f>SUM(G68:J68)</f>
        <v/>
      </c>
    </row>
    <row r="69">
      <c r="A69" t="inlineStr">
        <is>
          <t>SAF/26-27/1068</t>
        </is>
      </c>
      <c r="B69" s="17" t="n">
        <v>46225</v>
      </c>
      <c r="C69" t="inlineStr">
        <is>
          <t>Gujarat Agro Mart</t>
        </is>
      </c>
      <c r="D69" t="inlineStr">
        <is>
          <t>24AAGCG5530R1Z1</t>
        </is>
      </c>
      <c r="E69" t="inlineStr">
        <is>
          <t>Gujarat</t>
        </is>
      </c>
      <c r="F69" t="inlineStr">
        <is>
          <t>0902</t>
        </is>
      </c>
      <c r="G69" s="3" t="n">
        <v>47700</v>
      </c>
      <c r="H69" s="3">
        <f>IF(E69="Maharashtra",ROUND(G69*9%,0),0)</f>
        <v/>
      </c>
      <c r="I69" s="3">
        <f>IF(E69="Maharashtra",ROUND(G69*9%,0),0)</f>
        <v/>
      </c>
      <c r="J69" s="3">
        <f>IF(E69="Maharashtra",0,ROUND(G69*18%,0))</f>
        <v/>
      </c>
      <c r="K69" s="3">
        <f>SUM(G69:J69)</f>
        <v/>
      </c>
    </row>
    <row r="70">
      <c r="A70" t="inlineStr">
        <is>
          <t>SAF/26-27/1069</t>
        </is>
      </c>
      <c r="B70" s="17" t="n">
        <v>46226</v>
      </c>
      <c r="C70" t="inlineStr">
        <is>
          <t>Konkan Fresh</t>
        </is>
      </c>
      <c r="D70" t="inlineStr">
        <is>
          <t>27AAKCK6638P1Z9</t>
        </is>
      </c>
      <c r="E70" t="inlineStr">
        <is>
          <t>Maharashtra</t>
        </is>
      </c>
      <c r="F70" t="inlineStr">
        <is>
          <t>0713</t>
        </is>
      </c>
      <c r="G70" s="3" t="n">
        <v>224050</v>
      </c>
      <c r="H70" s="3">
        <f>IF(E70="Maharashtra",ROUND(G70*9%,0),0)</f>
        <v/>
      </c>
      <c r="I70" s="3">
        <f>IF(E70="Maharashtra",ROUND(G70*9%,0),0)</f>
        <v/>
      </c>
      <c r="J70" s="3">
        <f>IF(E70="Maharashtra",0,ROUND(G70*18%,0))</f>
        <v/>
      </c>
      <c r="K70" s="3">
        <f>SUM(G70:J70)</f>
        <v/>
      </c>
    </row>
    <row r="71">
      <c r="A71" t="inlineStr">
        <is>
          <t>SAF/26-27/1070</t>
        </is>
      </c>
      <c r="B71" s="17" t="n">
        <v>46228</v>
      </c>
      <c r="C71" t="inlineStr">
        <is>
          <t>Gujarat Agro Mart</t>
        </is>
      </c>
      <c r="D71" t="inlineStr">
        <is>
          <t>24AAGCG5530R1Z1</t>
        </is>
      </c>
      <c r="E71" t="inlineStr">
        <is>
          <t>Gujarat</t>
        </is>
      </c>
      <c r="F71" t="inlineStr">
        <is>
          <t>1006</t>
        </is>
      </c>
      <c r="G71" s="3" t="n">
        <v>66400</v>
      </c>
      <c r="H71" s="3">
        <f>IF(E71="Maharashtra",ROUND(G71*9%,0),0)</f>
        <v/>
      </c>
      <c r="I71" s="3">
        <f>IF(E71="Maharashtra",ROUND(G71*9%,0),0)</f>
        <v/>
      </c>
      <c r="J71" s="3">
        <f>IF(E71="Maharashtra",0,ROUND(G71*18%,0))</f>
        <v/>
      </c>
      <c r="K71" s="3">
        <f>SUM(G71:J71)</f>
        <v/>
      </c>
    </row>
    <row r="72">
      <c r="A72" t="inlineStr">
        <is>
          <t>SAF/26-27/1071</t>
        </is>
      </c>
      <c r="B72" s="17" t="n">
        <v>46228</v>
      </c>
      <c r="C72" t="inlineStr">
        <is>
          <t>Chennai Spice House</t>
        </is>
      </c>
      <c r="D72" t="inlineStr">
        <is>
          <t>33AACFC3305D1Z4</t>
        </is>
      </c>
      <c r="E72" t="inlineStr">
        <is>
          <t>Tamil Nadu</t>
        </is>
      </c>
      <c r="F72" t="inlineStr">
        <is>
          <t>1006</t>
        </is>
      </c>
      <c r="G72" s="3" t="n">
        <v>54450</v>
      </c>
      <c r="H72" s="3">
        <f>IF(E72="Maharashtra",ROUND(G72*9%,0),0)</f>
        <v/>
      </c>
      <c r="I72" s="3">
        <f>IF(E72="Maharashtra",ROUND(G72*9%,0),0)</f>
        <v/>
      </c>
      <c r="J72" s="3">
        <f>IF(E72="Maharashtra",0,ROUND(G72*18%,0))</f>
        <v/>
      </c>
      <c r="K72" s="3">
        <f>SUM(G72:J72)</f>
        <v/>
      </c>
    </row>
    <row r="73">
      <c r="A73" t="inlineStr">
        <is>
          <t>SAF/26-27/1072</t>
        </is>
      </c>
      <c r="B73" s="17" t="n">
        <v>46229</v>
      </c>
      <c r="C73" t="inlineStr">
        <is>
          <t>Konkan Fresh</t>
        </is>
      </c>
      <c r="D73" t="inlineStr">
        <is>
          <t>27AAKCK6638P1Z9</t>
        </is>
      </c>
      <c r="E73" t="inlineStr">
        <is>
          <t>Maharashtra</t>
        </is>
      </c>
      <c r="F73" t="inlineStr">
        <is>
          <t>0910</t>
        </is>
      </c>
      <c r="G73" s="3" t="n">
        <v>436800</v>
      </c>
      <c r="H73" s="3">
        <f>IF(E73="Maharashtra",ROUND(G73*9%,0),0)</f>
        <v/>
      </c>
      <c r="I73" s="3">
        <f>IF(E73="Maharashtra",ROUND(G73*9%,0),0)</f>
        <v/>
      </c>
      <c r="J73" s="3">
        <f>IF(E73="Maharashtra",0,ROUND(G73*18%,0))</f>
        <v/>
      </c>
      <c r="K73" s="3">
        <f>SUM(G73:J73)</f>
        <v/>
      </c>
    </row>
    <row r="74">
      <c r="A74" t="inlineStr">
        <is>
          <t>SAF/26-27/1073</t>
        </is>
      </c>
      <c r="B74" s="17" t="n">
        <v>46230</v>
      </c>
      <c r="C74" t="inlineStr">
        <is>
          <t>Gujarat Agro Mart</t>
        </is>
      </c>
      <c r="D74" t="inlineStr">
        <is>
          <t>24AAGCG5530R1Z1</t>
        </is>
      </c>
      <c r="E74" t="inlineStr">
        <is>
          <t>Gujarat</t>
        </is>
      </c>
      <c r="F74" t="inlineStr">
        <is>
          <t>0910</t>
        </is>
      </c>
      <c r="G74" s="3" t="n">
        <v>30300</v>
      </c>
      <c r="H74" s="3">
        <f>IF(E74="Maharashtra",ROUND(G74*9%,0),0)</f>
        <v/>
      </c>
      <c r="I74" s="3">
        <f>IF(E74="Maharashtra",ROUND(G74*9%,0),0)</f>
        <v/>
      </c>
      <c r="J74" s="3">
        <f>IF(E74="Maharashtra",0,ROUND(G74*18%,0))</f>
        <v/>
      </c>
      <c r="K74" s="3">
        <f>SUM(G74:J74)</f>
        <v/>
      </c>
    </row>
    <row r="75">
      <c r="A75" t="inlineStr">
        <is>
          <t>SAF/26-27/1074</t>
        </is>
      </c>
      <c r="B75" s="17" t="n">
        <v>46231</v>
      </c>
      <c r="C75" t="inlineStr">
        <is>
          <t>Gujarat Agro Mart</t>
        </is>
      </c>
      <c r="D75" t="inlineStr">
        <is>
          <t>24AAGCG5530R1Z1</t>
        </is>
      </c>
      <c r="E75" t="inlineStr">
        <is>
          <t>Gujarat</t>
        </is>
      </c>
      <c r="F75" t="inlineStr">
        <is>
          <t>1006</t>
        </is>
      </c>
      <c r="G75" s="3" t="n">
        <v>175350</v>
      </c>
      <c r="H75" s="3">
        <f>IF(E75="Maharashtra",ROUND(G75*9%,0),0)</f>
        <v/>
      </c>
      <c r="I75" s="3">
        <f>IF(E75="Maharashtra",ROUND(G75*9%,0),0)</f>
        <v/>
      </c>
      <c r="J75" s="3">
        <f>IF(E75="Maharashtra",0,ROUND(G75*18%,0))</f>
        <v/>
      </c>
      <c r="K75" s="3">
        <f>SUM(G75:J75)</f>
        <v/>
      </c>
    </row>
    <row r="76">
      <c r="A76" t="inlineStr">
        <is>
          <t>SAF/26-27/1075</t>
        </is>
      </c>
      <c r="B76" s="17" t="n">
        <v>46232</v>
      </c>
      <c r="C76" t="inlineStr">
        <is>
          <t>Konkan Fresh</t>
        </is>
      </c>
      <c r="D76" t="inlineStr">
        <is>
          <t>27AAKCK6638P1Z9</t>
        </is>
      </c>
      <c r="E76" t="inlineStr">
        <is>
          <t>Maharashtra</t>
        </is>
      </c>
      <c r="F76" t="inlineStr">
        <is>
          <t>0713</t>
        </is>
      </c>
      <c r="G76" s="3" t="n">
        <v>175200</v>
      </c>
      <c r="H76" s="3">
        <f>IF(E76="Maharashtra",ROUND(G76*9%,0),0)</f>
        <v/>
      </c>
      <c r="I76" s="3">
        <f>IF(E76="Maharashtra",ROUND(G76*9%,0),0)</f>
        <v/>
      </c>
      <c r="J76" s="3">
        <f>IF(E76="Maharashtra",0,ROUND(G76*18%,0))</f>
        <v/>
      </c>
      <c r="K76" s="3">
        <f>SUM(G76:J76)</f>
        <v/>
      </c>
    </row>
    <row r="77">
      <c r="A77" t="inlineStr">
        <is>
          <t>SAF/26-27/1076</t>
        </is>
      </c>
      <c r="B77" s="17" t="n">
        <v>46235</v>
      </c>
      <c r="C77" t="inlineStr">
        <is>
          <t>Malwa Kirana</t>
        </is>
      </c>
      <c r="D77" t="inlineStr">
        <is>
          <t>23AAMFM1147C1ZT</t>
        </is>
      </c>
      <c r="E77" t="inlineStr">
        <is>
          <t>Madhya Pradesh</t>
        </is>
      </c>
      <c r="F77" t="inlineStr">
        <is>
          <t>0902</t>
        </is>
      </c>
      <c r="G77" s="3" t="n">
        <v>172650</v>
      </c>
      <c r="H77" s="3">
        <f>IF(E77="Maharashtra",ROUND(G77*9%,0),0)</f>
        <v/>
      </c>
      <c r="I77" s="3">
        <f>IF(E77="Maharashtra",ROUND(G77*9%,0),0)</f>
        <v/>
      </c>
      <c r="J77" s="3">
        <f>IF(E77="Maharashtra",0,ROUND(G77*18%,0))</f>
        <v/>
      </c>
      <c r="K77" s="3">
        <f>SUM(G77:J77)</f>
        <v/>
      </c>
    </row>
    <row r="78">
      <c r="A78" t="inlineStr">
        <is>
          <t>SAF/26-27/1077</t>
        </is>
      </c>
      <c r="B78" s="17" t="n">
        <v>46236</v>
      </c>
      <c r="C78" t="inlineStr">
        <is>
          <t>Chennai Spice House</t>
        </is>
      </c>
      <c r="D78" t="inlineStr">
        <is>
          <t>33AACFC3305D1Z4</t>
        </is>
      </c>
      <c r="E78" t="inlineStr">
        <is>
          <t>Tamil Nadu</t>
        </is>
      </c>
      <c r="F78" t="inlineStr">
        <is>
          <t>1006</t>
        </is>
      </c>
      <c r="G78" s="3" t="n">
        <v>425200</v>
      </c>
      <c r="H78" s="3">
        <f>IF(E78="Maharashtra",ROUND(G78*9%,0),0)</f>
        <v/>
      </c>
      <c r="I78" s="3">
        <f>IF(E78="Maharashtra",ROUND(G78*9%,0),0)</f>
        <v/>
      </c>
      <c r="J78" s="3">
        <f>IF(E78="Maharashtra",0,ROUND(G78*18%,0))</f>
        <v/>
      </c>
      <c r="K78" s="3">
        <f>SUM(G78:J78)</f>
        <v/>
      </c>
    </row>
    <row r="79">
      <c r="A79" t="inlineStr">
        <is>
          <t>SAF/26-27/1078</t>
        </is>
      </c>
      <c r="B79" s="17" t="n">
        <v>46237</v>
      </c>
      <c r="C79" t="inlineStr">
        <is>
          <t>Shree Krishna Traders</t>
        </is>
      </c>
      <c r="D79" t="inlineStr">
        <is>
          <t>27AAKFS4821M1Z3</t>
        </is>
      </c>
      <c r="E79" t="inlineStr">
        <is>
          <t>Maharashtra</t>
        </is>
      </c>
      <c r="F79" t="inlineStr">
        <is>
          <t>1006</t>
        </is>
      </c>
      <c r="G79" s="3" t="n">
        <v>128700</v>
      </c>
      <c r="H79" s="3">
        <f>IF(E79="Maharashtra",ROUND(G79*9%,0),0)</f>
        <v/>
      </c>
      <c r="I79" s="3">
        <f>IF(E79="Maharashtra",ROUND(G79*9%,0),0)</f>
        <v/>
      </c>
      <c r="J79" s="3">
        <f>IF(E79="Maharashtra",0,ROUND(G79*18%,0))</f>
        <v/>
      </c>
      <c r="K79" s="3">
        <f>SUM(G79:J79)</f>
        <v/>
      </c>
    </row>
    <row r="80">
      <c r="A80" t="inlineStr">
        <is>
          <t>SAF/26-27/1079</t>
        </is>
      </c>
      <c r="B80" s="17" t="n">
        <v>46240</v>
      </c>
      <c r="C80" t="inlineStr">
        <is>
          <t>Gujarat Agro Mart</t>
        </is>
      </c>
      <c r="D80" t="inlineStr">
        <is>
          <t>24AAGCG5530R1Z1</t>
        </is>
      </c>
      <c r="E80" t="inlineStr">
        <is>
          <t>Gujarat</t>
        </is>
      </c>
      <c r="F80" t="inlineStr">
        <is>
          <t>1101</t>
        </is>
      </c>
      <c r="G80" s="3" t="n">
        <v>416750</v>
      </c>
      <c r="H80" s="3">
        <f>IF(E80="Maharashtra",ROUND(G80*9%,0),0)</f>
        <v/>
      </c>
      <c r="I80" s="3">
        <f>IF(E80="Maharashtra",ROUND(G80*9%,0),0)</f>
        <v/>
      </c>
      <c r="J80" s="3">
        <f>IF(E80="Maharashtra",0,ROUND(G80*18%,0))</f>
        <v/>
      </c>
      <c r="K80" s="3">
        <f>SUM(G80:J80)</f>
        <v/>
      </c>
    </row>
    <row r="81">
      <c r="A81" t="inlineStr">
        <is>
          <t>SAF/26-27/1080</t>
        </is>
      </c>
      <c r="B81" s="17" t="n">
        <v>46243</v>
      </c>
      <c r="C81" t="inlineStr">
        <is>
          <t>Deccan Retail</t>
        </is>
      </c>
      <c r="D81" t="inlineStr">
        <is>
          <t>36AAECD9902H1Z6</t>
        </is>
      </c>
      <c r="E81" t="inlineStr">
        <is>
          <t>Telangana</t>
        </is>
      </c>
      <c r="F81" t="inlineStr">
        <is>
          <t>0910</t>
        </is>
      </c>
      <c r="G81" s="3" t="n">
        <v>256550</v>
      </c>
      <c r="H81" s="3">
        <f>IF(E81="Maharashtra",ROUND(G81*9%,0),0)</f>
        <v/>
      </c>
      <c r="I81" s="3">
        <f>IF(E81="Maharashtra",ROUND(G81*9%,0),0)</f>
        <v/>
      </c>
      <c r="J81" s="3">
        <f>IF(E81="Maharashtra",0,ROUND(G81*18%,0))</f>
        <v/>
      </c>
      <c r="K81" s="3">
        <f>SUM(G81:J81)</f>
        <v/>
      </c>
    </row>
    <row r="82">
      <c r="A82" t="inlineStr">
        <is>
          <t>SAF/26-27/1081</t>
        </is>
      </c>
      <c r="B82" s="17" t="n">
        <v>46245</v>
      </c>
      <c r="C82" t="inlineStr">
        <is>
          <t>Deccan Retail</t>
        </is>
      </c>
      <c r="D82" t="inlineStr">
        <is>
          <t>36AAECD9902H1Z6</t>
        </is>
      </c>
      <c r="E82" t="inlineStr">
        <is>
          <t>Telangana</t>
        </is>
      </c>
      <c r="F82" t="inlineStr">
        <is>
          <t>0902</t>
        </is>
      </c>
      <c r="G82" s="3" t="n">
        <v>36950</v>
      </c>
      <c r="H82" s="3">
        <f>IF(E82="Maharashtra",ROUND(G82*9%,0),0)</f>
        <v/>
      </c>
      <c r="I82" s="3">
        <f>IF(E82="Maharashtra",ROUND(G82*9%,0),0)</f>
        <v/>
      </c>
      <c r="J82" s="3">
        <f>IF(E82="Maharashtra",0,ROUND(G82*18%,0))</f>
        <v/>
      </c>
      <c r="K82" s="3">
        <f>SUM(G82:J82)</f>
        <v/>
      </c>
    </row>
    <row r="83">
      <c r="A83" t="inlineStr">
        <is>
          <t>SAF/26-27/1082</t>
        </is>
      </c>
      <c r="B83" s="17" t="n">
        <v>46246</v>
      </c>
      <c r="C83" t="inlineStr">
        <is>
          <t>Malwa Kirana</t>
        </is>
      </c>
      <c r="D83" t="inlineStr">
        <is>
          <t>23AAMFM1147C1ZT</t>
        </is>
      </c>
      <c r="E83" t="inlineStr">
        <is>
          <t>Madhya Pradesh</t>
        </is>
      </c>
      <c r="F83" t="inlineStr">
        <is>
          <t>0713</t>
        </is>
      </c>
      <c r="G83" s="3" t="n">
        <v>183550</v>
      </c>
      <c r="H83" s="3">
        <f>IF(E83="Maharashtra",ROUND(G83*9%,0),0)</f>
        <v/>
      </c>
      <c r="I83" s="3">
        <f>IF(E83="Maharashtra",ROUND(G83*9%,0),0)</f>
        <v/>
      </c>
      <c r="J83" s="3">
        <f>IF(E83="Maharashtra",0,ROUND(G83*18%,0))</f>
        <v/>
      </c>
      <c r="K83" s="3">
        <f>SUM(G83:J83)</f>
        <v/>
      </c>
    </row>
    <row r="84">
      <c r="A84" t="inlineStr">
        <is>
          <t>SAF/26-27/1083</t>
        </is>
      </c>
      <c r="B84" s="17" t="n">
        <v>46247</v>
      </c>
      <c r="C84" t="inlineStr">
        <is>
          <t>Chennai Spice House</t>
        </is>
      </c>
      <c r="D84" t="inlineStr">
        <is>
          <t>33AACFC3305D1Z4</t>
        </is>
      </c>
      <c r="E84" t="inlineStr">
        <is>
          <t>Tamil Nadu</t>
        </is>
      </c>
      <c r="F84" t="inlineStr">
        <is>
          <t>1006</t>
        </is>
      </c>
      <c r="G84" s="3" t="n">
        <v>374650</v>
      </c>
      <c r="H84" s="3">
        <f>IF(E84="Maharashtra",ROUND(G84*9%,0),0)</f>
        <v/>
      </c>
      <c r="I84" s="3">
        <f>IF(E84="Maharashtra",ROUND(G84*9%,0),0)</f>
        <v/>
      </c>
      <c r="J84" s="3">
        <f>IF(E84="Maharashtra",0,ROUND(G84*18%,0))</f>
        <v/>
      </c>
      <c r="K84" s="3">
        <f>SUM(G84:J84)</f>
        <v/>
      </c>
    </row>
    <row r="85">
      <c r="A85" t="inlineStr">
        <is>
          <t>SAF/26-27/1084</t>
        </is>
      </c>
      <c r="B85" s="17" t="n">
        <v>46247</v>
      </c>
      <c r="C85" t="inlineStr">
        <is>
          <t>Konkan Fresh</t>
        </is>
      </c>
      <c r="D85" t="inlineStr">
        <is>
          <t>27AAKCK6638P1Z9</t>
        </is>
      </c>
      <c r="E85" t="inlineStr">
        <is>
          <t>Maharashtra</t>
        </is>
      </c>
      <c r="F85" t="inlineStr">
        <is>
          <t>1101</t>
        </is>
      </c>
      <c r="G85" s="3" t="n">
        <v>401800</v>
      </c>
      <c r="H85" s="3">
        <f>IF(E85="Maharashtra",ROUND(G85*9%,0),0)</f>
        <v/>
      </c>
      <c r="I85" s="3">
        <f>IF(E85="Maharashtra",ROUND(G85*9%,0),0)</f>
        <v/>
      </c>
      <c r="J85" s="3">
        <f>IF(E85="Maharashtra",0,ROUND(G85*18%,0))</f>
        <v/>
      </c>
      <c r="K85" s="3">
        <f>SUM(G85:J85)</f>
        <v/>
      </c>
    </row>
    <row r="86">
      <c r="A86" t="inlineStr">
        <is>
          <t>SAF/26-27/1085</t>
        </is>
      </c>
      <c r="B86" s="17" t="n">
        <v>46248</v>
      </c>
      <c r="C86" t="inlineStr">
        <is>
          <t>Gujarat Agro Mart</t>
        </is>
      </c>
      <c r="D86" t="inlineStr">
        <is>
          <t>24AAGCG5530R1Z1</t>
        </is>
      </c>
      <c r="E86" t="inlineStr">
        <is>
          <t>Gujarat</t>
        </is>
      </c>
      <c r="F86" t="inlineStr">
        <is>
          <t>0902</t>
        </is>
      </c>
      <c r="G86" s="3" t="n">
        <v>329950</v>
      </c>
      <c r="H86" s="3">
        <f>IF(E86="Maharashtra",ROUND(G86*9%,0),0)</f>
        <v/>
      </c>
      <c r="I86" s="3">
        <f>IF(E86="Maharashtra",ROUND(G86*9%,0),0)</f>
        <v/>
      </c>
      <c r="J86" s="3">
        <f>IF(E86="Maharashtra",0,ROUND(G86*18%,0))</f>
        <v/>
      </c>
      <c r="K86" s="3">
        <f>SUM(G86:J86)</f>
        <v/>
      </c>
    </row>
    <row r="87">
      <c r="A87" t="inlineStr">
        <is>
          <t>SAF/26-27/1086</t>
        </is>
      </c>
      <c r="B87" s="17" t="n">
        <v>46249</v>
      </c>
      <c r="C87" t="inlineStr">
        <is>
          <t>Annapurna Stores</t>
        </is>
      </c>
      <c r="D87" t="inlineStr">
        <is>
          <t>27AABPA2219L1ZQ</t>
        </is>
      </c>
      <c r="E87" t="inlineStr">
        <is>
          <t>Maharashtra</t>
        </is>
      </c>
      <c r="F87" t="inlineStr">
        <is>
          <t>0713</t>
        </is>
      </c>
      <c r="G87" s="3" t="n">
        <v>299200</v>
      </c>
      <c r="H87" s="3">
        <f>IF(E87="Maharashtra",ROUND(G87*9%,0),0)</f>
        <v/>
      </c>
      <c r="I87" s="3">
        <f>IF(E87="Maharashtra",ROUND(G87*9%,0),0)</f>
        <v/>
      </c>
      <c r="J87" s="3">
        <f>IF(E87="Maharashtra",0,ROUND(G87*18%,0))</f>
        <v/>
      </c>
      <c r="K87" s="3">
        <f>SUM(G87:J87)</f>
        <v/>
      </c>
    </row>
    <row r="88">
      <c r="A88" t="inlineStr">
        <is>
          <t>SAF/26-27/1087</t>
        </is>
      </c>
      <c r="B88" s="17" t="n">
        <v>46249</v>
      </c>
      <c r="C88" t="inlineStr">
        <is>
          <t>Balaji Wholesale</t>
        </is>
      </c>
      <c r="D88" t="inlineStr">
        <is>
          <t>29AADFB7314K1Z8</t>
        </is>
      </c>
      <c r="E88" t="inlineStr">
        <is>
          <t>Karnataka</t>
        </is>
      </c>
      <c r="F88" t="inlineStr">
        <is>
          <t>0910</t>
        </is>
      </c>
      <c r="G88" s="3" t="n">
        <v>354400</v>
      </c>
      <c r="H88" s="3">
        <f>IF(E88="Maharashtra",ROUND(G88*9%,0),0)</f>
        <v/>
      </c>
      <c r="I88" s="3">
        <f>IF(E88="Maharashtra",ROUND(G88*9%,0),0)</f>
        <v/>
      </c>
      <c r="J88" s="3">
        <f>IF(E88="Maharashtra",0,ROUND(G88*18%,0))</f>
        <v/>
      </c>
      <c r="K88" s="3">
        <f>SUM(G88:J88)</f>
        <v/>
      </c>
    </row>
    <row r="89">
      <c r="A89" t="inlineStr">
        <is>
          <t>SAF/26-27/1088</t>
        </is>
      </c>
      <c r="B89" s="17" t="n">
        <v>46249</v>
      </c>
      <c r="C89" t="inlineStr">
        <is>
          <t>Malwa Kirana</t>
        </is>
      </c>
      <c r="D89" t="inlineStr">
        <is>
          <t>23AAMFM1147C1ZT</t>
        </is>
      </c>
      <c r="E89" t="inlineStr">
        <is>
          <t>Madhya Pradesh</t>
        </is>
      </c>
      <c r="F89" t="inlineStr">
        <is>
          <t>0902</t>
        </is>
      </c>
      <c r="G89" s="3" t="n">
        <v>146900</v>
      </c>
      <c r="H89" s="3">
        <f>IF(E89="Maharashtra",ROUND(G89*9%,0),0)</f>
        <v/>
      </c>
      <c r="I89" s="3">
        <f>IF(E89="Maharashtra",ROUND(G89*9%,0),0)</f>
        <v/>
      </c>
      <c r="J89" s="3">
        <f>IF(E89="Maharashtra",0,ROUND(G89*18%,0))</f>
        <v/>
      </c>
      <c r="K89" s="3">
        <f>SUM(G89:J89)</f>
        <v/>
      </c>
    </row>
    <row r="90">
      <c r="A90" t="inlineStr">
        <is>
          <t>SAF/26-27/1089</t>
        </is>
      </c>
      <c r="B90" s="17" t="n">
        <v>46250</v>
      </c>
      <c r="C90" t="inlineStr">
        <is>
          <t>Balaji Wholesale</t>
        </is>
      </c>
      <c r="D90" t="inlineStr">
        <is>
          <t>29AADFB7314K1Z8</t>
        </is>
      </c>
      <c r="E90" t="inlineStr">
        <is>
          <t>Karnataka</t>
        </is>
      </c>
      <c r="F90" t="inlineStr">
        <is>
          <t>1006</t>
        </is>
      </c>
      <c r="G90" s="3" t="n">
        <v>300150</v>
      </c>
      <c r="H90" s="3">
        <f>IF(E90="Maharashtra",ROUND(G90*9%,0),0)</f>
        <v/>
      </c>
      <c r="I90" s="3">
        <f>IF(E90="Maharashtra",ROUND(G90*9%,0),0)</f>
        <v/>
      </c>
      <c r="J90" s="3">
        <f>IF(E90="Maharashtra",0,ROUND(G90*18%,0))</f>
        <v/>
      </c>
      <c r="K90" s="3">
        <f>SUM(G90:J90)</f>
        <v/>
      </c>
    </row>
    <row r="91">
      <c r="A91" t="inlineStr">
        <is>
          <t>SAF/26-27/1090</t>
        </is>
      </c>
      <c r="B91" s="17" t="n">
        <v>46253</v>
      </c>
      <c r="C91" t="inlineStr">
        <is>
          <t>Shree Krishna Traders</t>
        </is>
      </c>
      <c r="D91" t="inlineStr">
        <is>
          <t>27AAKFS4821M1Z3</t>
        </is>
      </c>
      <c r="E91" t="inlineStr">
        <is>
          <t>Maharashtra</t>
        </is>
      </c>
      <c r="F91" t="inlineStr">
        <is>
          <t>1006</t>
        </is>
      </c>
      <c r="G91" s="3" t="n">
        <v>71550</v>
      </c>
      <c r="H91" s="3">
        <f>IF(E91="Maharashtra",ROUND(G91*9%,0),0)</f>
        <v/>
      </c>
      <c r="I91" s="3">
        <f>IF(E91="Maharashtra",ROUND(G91*9%,0),0)</f>
        <v/>
      </c>
      <c r="J91" s="3">
        <f>IF(E91="Maharashtra",0,ROUND(G91*18%,0))</f>
        <v/>
      </c>
      <c r="K91" s="3">
        <f>SUM(G91:J91)</f>
        <v/>
      </c>
    </row>
    <row r="92">
      <c r="A92" t="inlineStr">
        <is>
          <t>SAF/26-27/1091</t>
        </is>
      </c>
      <c r="B92" s="17" t="n">
        <v>46256</v>
      </c>
      <c r="C92" t="inlineStr">
        <is>
          <t>Deccan Retail</t>
        </is>
      </c>
      <c r="D92" t="inlineStr">
        <is>
          <t>36AAECD9902H1Z6</t>
        </is>
      </c>
      <c r="E92" t="inlineStr">
        <is>
          <t>Telangana</t>
        </is>
      </c>
      <c r="F92" t="inlineStr">
        <is>
          <t>1101</t>
        </is>
      </c>
      <c r="G92" s="3" t="n">
        <v>251250</v>
      </c>
      <c r="H92" s="3">
        <f>IF(E92="Maharashtra",ROUND(G92*9%,0),0)</f>
        <v/>
      </c>
      <c r="I92" s="3">
        <f>IF(E92="Maharashtra",ROUND(G92*9%,0),0)</f>
        <v/>
      </c>
      <c r="J92" s="3">
        <f>IF(E92="Maharashtra",0,ROUND(G92*18%,0))</f>
        <v/>
      </c>
      <c r="K92" s="3">
        <f>SUM(G92:J92)</f>
        <v/>
      </c>
    </row>
    <row r="93">
      <c r="A93" t="inlineStr">
        <is>
          <t>SAF/26-27/1092</t>
        </is>
      </c>
      <c r="B93" s="17" t="n">
        <v>46258</v>
      </c>
      <c r="C93" t="inlineStr">
        <is>
          <t>Gujarat Agro Mart</t>
        </is>
      </c>
      <c r="D93" t="inlineStr">
        <is>
          <t>24AAGCG5530R1Z1</t>
        </is>
      </c>
      <c r="E93" t="inlineStr">
        <is>
          <t>Gujarat</t>
        </is>
      </c>
      <c r="F93" t="inlineStr">
        <is>
          <t>0713</t>
        </is>
      </c>
      <c r="G93" s="3" t="n">
        <v>66150</v>
      </c>
      <c r="H93" s="3">
        <f>IF(E93="Maharashtra",ROUND(G93*9%,0),0)</f>
        <v/>
      </c>
      <c r="I93" s="3">
        <f>IF(E93="Maharashtra",ROUND(G93*9%,0),0)</f>
        <v/>
      </c>
      <c r="J93" s="3">
        <f>IF(E93="Maharashtra",0,ROUND(G93*18%,0))</f>
        <v/>
      </c>
      <c r="K93" s="3">
        <f>SUM(G93:J93)</f>
        <v/>
      </c>
    </row>
    <row r="94">
      <c r="A94" t="inlineStr">
        <is>
          <t>SAF/26-27/1093</t>
        </is>
      </c>
      <c r="B94" s="17" t="n">
        <v>46260</v>
      </c>
      <c r="C94" t="inlineStr">
        <is>
          <t>Deccan Retail</t>
        </is>
      </c>
      <c r="D94" t="inlineStr">
        <is>
          <t>36AAECD9902H1Z6</t>
        </is>
      </c>
      <c r="E94" t="inlineStr">
        <is>
          <t>Telangana</t>
        </is>
      </c>
      <c r="F94" t="inlineStr">
        <is>
          <t>1006</t>
        </is>
      </c>
      <c r="G94" s="3" t="n">
        <v>25800</v>
      </c>
      <c r="H94" s="3">
        <f>IF(E94="Maharashtra",ROUND(G94*9%,0),0)</f>
        <v/>
      </c>
      <c r="I94" s="3">
        <f>IF(E94="Maharashtra",ROUND(G94*9%,0),0)</f>
        <v/>
      </c>
      <c r="J94" s="3">
        <f>IF(E94="Maharashtra",0,ROUND(G94*18%,0))</f>
        <v/>
      </c>
      <c r="K94" s="3">
        <f>SUM(G94:J94)</f>
        <v/>
      </c>
    </row>
    <row r="95">
      <c r="A95" t="inlineStr">
        <is>
          <t>SAF/26-27/1094</t>
        </is>
      </c>
      <c r="B95" s="17" t="n">
        <v>46263</v>
      </c>
      <c r="C95" t="inlineStr">
        <is>
          <t>Konkan Fresh</t>
        </is>
      </c>
      <c r="D95" t="inlineStr">
        <is>
          <t>27AAKCK6638P1Z9</t>
        </is>
      </c>
      <c r="E95" t="inlineStr">
        <is>
          <t>Maharashtra</t>
        </is>
      </c>
      <c r="F95" t="inlineStr">
        <is>
          <t>0902</t>
        </is>
      </c>
      <c r="G95" s="3" t="n">
        <v>327700</v>
      </c>
      <c r="H95" s="3">
        <f>IF(E95="Maharashtra",ROUND(G95*9%,0),0)</f>
        <v/>
      </c>
      <c r="I95" s="3">
        <f>IF(E95="Maharashtra",ROUND(G95*9%,0),0)</f>
        <v/>
      </c>
      <c r="J95" s="3">
        <f>IF(E95="Maharashtra",0,ROUND(G95*18%,0))</f>
        <v/>
      </c>
      <c r="K95" s="3">
        <f>SUM(G95:J95)</f>
        <v/>
      </c>
    </row>
    <row r="96">
      <c r="A96" t="inlineStr">
        <is>
          <t>SAF/26-27/1095</t>
        </is>
      </c>
      <c r="B96" s="17" t="n">
        <v>46264</v>
      </c>
      <c r="C96" t="inlineStr">
        <is>
          <t>Balaji Wholesale</t>
        </is>
      </c>
      <c r="D96" t="inlineStr">
        <is>
          <t>29AADFB7314K1Z8</t>
        </is>
      </c>
      <c r="E96" t="inlineStr">
        <is>
          <t>Karnataka</t>
        </is>
      </c>
      <c r="F96" t="inlineStr">
        <is>
          <t>0713</t>
        </is>
      </c>
      <c r="G96" s="3" t="n">
        <v>132150</v>
      </c>
      <c r="H96" s="3">
        <f>IF(E96="Maharashtra",ROUND(G96*9%,0),0)</f>
        <v/>
      </c>
      <c r="I96" s="3">
        <f>IF(E96="Maharashtra",ROUND(G96*9%,0),0)</f>
        <v/>
      </c>
      <c r="J96" s="3">
        <f>IF(E96="Maharashtra",0,ROUND(G96*18%,0))</f>
        <v/>
      </c>
      <c r="K96" s="3">
        <f>SUM(G96:J96)</f>
        <v/>
      </c>
    </row>
    <row r="97">
      <c r="A97" t="inlineStr">
        <is>
          <t>SAF/26-27/1096</t>
        </is>
      </c>
      <c r="B97" s="17" t="n">
        <v>46264</v>
      </c>
      <c r="C97" t="inlineStr">
        <is>
          <t>Malwa Kirana</t>
        </is>
      </c>
      <c r="D97" t="inlineStr">
        <is>
          <t>23AAMFM1147C1ZT</t>
        </is>
      </c>
      <c r="E97" t="inlineStr">
        <is>
          <t>Madhya Pradesh</t>
        </is>
      </c>
      <c r="F97" t="inlineStr">
        <is>
          <t>1101</t>
        </is>
      </c>
      <c r="G97" s="3" t="n">
        <v>150200</v>
      </c>
      <c r="H97" s="3">
        <f>IF(E97="Maharashtra",ROUND(G97*9%,0),0)</f>
        <v/>
      </c>
      <c r="I97" s="3">
        <f>IF(E97="Maharashtra",ROUND(G97*9%,0),0)</f>
        <v/>
      </c>
      <c r="J97" s="3">
        <f>IF(E97="Maharashtra",0,ROUND(G97*18%,0))</f>
        <v/>
      </c>
      <c r="K97" s="3">
        <f>SUM(G97:J97)</f>
        <v/>
      </c>
    </row>
    <row r="98">
      <c r="A98" t="inlineStr">
        <is>
          <t>SAF/26-27/1097</t>
        </is>
      </c>
      <c r="B98" s="17" t="n">
        <v>46264</v>
      </c>
      <c r="C98" t="inlineStr">
        <is>
          <t>Malwa Kirana</t>
        </is>
      </c>
      <c r="D98" t="inlineStr">
        <is>
          <t>23AAMFM1147C1ZT</t>
        </is>
      </c>
      <c r="E98" t="inlineStr">
        <is>
          <t>Madhya Pradesh</t>
        </is>
      </c>
      <c r="F98" t="inlineStr">
        <is>
          <t>1101</t>
        </is>
      </c>
      <c r="G98" s="3" t="n">
        <v>465500</v>
      </c>
      <c r="H98" s="3">
        <f>IF(E98="Maharashtra",ROUND(G98*9%,0),0)</f>
        <v/>
      </c>
      <c r="I98" s="3">
        <f>IF(E98="Maharashtra",ROUND(G98*9%,0),0)</f>
        <v/>
      </c>
      <c r="J98" s="3">
        <f>IF(E98="Maharashtra",0,ROUND(G98*18%,0))</f>
        <v/>
      </c>
      <c r="K98" s="3">
        <f>SUM(G98:J98)</f>
        <v/>
      </c>
    </row>
    <row r="99">
      <c r="A99" t="inlineStr">
        <is>
          <t>SAF/26-27/1098</t>
        </is>
      </c>
      <c r="B99" s="17" t="n">
        <v>46265</v>
      </c>
      <c r="C99" t="inlineStr">
        <is>
          <t>Malwa Kirana</t>
        </is>
      </c>
      <c r="D99" t="inlineStr">
        <is>
          <t>23AAMFM1147C1ZT</t>
        </is>
      </c>
      <c r="E99" t="inlineStr">
        <is>
          <t>Madhya Pradesh</t>
        </is>
      </c>
      <c r="F99" t="inlineStr">
        <is>
          <t>0910</t>
        </is>
      </c>
      <c r="G99" s="3" t="n">
        <v>140900</v>
      </c>
      <c r="H99" s="3">
        <f>IF(E99="Maharashtra",ROUND(G99*9%,0),0)</f>
        <v/>
      </c>
      <c r="I99" s="3">
        <f>IF(E99="Maharashtra",ROUND(G99*9%,0),0)</f>
        <v/>
      </c>
      <c r="J99" s="3">
        <f>IF(E99="Maharashtra",0,ROUND(G99*18%,0))</f>
        <v/>
      </c>
      <c r="K99" s="3">
        <f>SUM(G99:J99)</f>
        <v/>
      </c>
    </row>
    <row r="100">
      <c r="A100" t="inlineStr">
        <is>
          <t>SAF/26-27/1099</t>
        </is>
      </c>
      <c r="B100" s="17" t="n">
        <v>46266</v>
      </c>
      <c r="C100" t="inlineStr">
        <is>
          <t>Shree Krishna Traders</t>
        </is>
      </c>
      <c r="D100" t="inlineStr">
        <is>
          <t>27AAKFS4821M1Z3</t>
        </is>
      </c>
      <c r="E100" t="inlineStr">
        <is>
          <t>Maharashtra</t>
        </is>
      </c>
      <c r="F100" t="inlineStr">
        <is>
          <t>0902</t>
        </is>
      </c>
      <c r="G100" s="3" t="n">
        <v>224050</v>
      </c>
      <c r="H100" s="3">
        <f>IF(E100="Maharashtra",ROUND(G100*9%,0),0)</f>
        <v/>
      </c>
      <c r="I100" s="3">
        <f>IF(E100="Maharashtra",ROUND(G100*9%,0),0)</f>
        <v/>
      </c>
      <c r="J100" s="3">
        <f>IF(E100="Maharashtra",0,ROUND(G100*18%,0))</f>
        <v/>
      </c>
      <c r="K100" s="3">
        <f>SUM(G100:J100)</f>
        <v/>
      </c>
    </row>
    <row r="101">
      <c r="A101" t="inlineStr">
        <is>
          <t>SAF/26-27/1100</t>
        </is>
      </c>
      <c r="B101" s="17" t="n">
        <v>46269</v>
      </c>
      <c r="C101" t="inlineStr">
        <is>
          <t>Balaji Wholesale</t>
        </is>
      </c>
      <c r="D101" t="inlineStr">
        <is>
          <t>29AADFB7314K1Z8</t>
        </is>
      </c>
      <c r="E101" t="inlineStr">
        <is>
          <t>Karnataka</t>
        </is>
      </c>
      <c r="F101" t="inlineStr">
        <is>
          <t>0902</t>
        </is>
      </c>
      <c r="G101" s="3" t="n">
        <v>305000</v>
      </c>
      <c r="H101" s="3">
        <f>IF(E101="Maharashtra",ROUND(G101*9%,0),0)</f>
        <v/>
      </c>
      <c r="I101" s="3">
        <f>IF(E101="Maharashtra",ROUND(G101*9%,0),0)</f>
        <v/>
      </c>
      <c r="J101" s="3">
        <f>IF(E101="Maharashtra",0,ROUND(G101*18%,0))</f>
        <v/>
      </c>
      <c r="K101" s="3">
        <f>SUM(G101:J101)</f>
        <v/>
      </c>
    </row>
    <row r="102">
      <c r="A102" t="inlineStr">
        <is>
          <t>SAF/26-27/1101</t>
        </is>
      </c>
      <c r="B102" s="17" t="n">
        <v>46272</v>
      </c>
      <c r="C102" t="inlineStr">
        <is>
          <t>Konkan Fresh</t>
        </is>
      </c>
      <c r="D102" t="inlineStr">
        <is>
          <t>27AAKCK6638P1Z9</t>
        </is>
      </c>
      <c r="E102" t="inlineStr">
        <is>
          <t>Maharashtra</t>
        </is>
      </c>
      <c r="F102" t="inlineStr">
        <is>
          <t>0902</t>
        </is>
      </c>
      <c r="G102" s="3" t="n">
        <v>95050</v>
      </c>
      <c r="H102" s="3">
        <f>IF(E102="Maharashtra",ROUND(G102*9%,0),0)</f>
        <v/>
      </c>
      <c r="I102" s="3">
        <f>IF(E102="Maharashtra",ROUND(G102*9%,0),0)</f>
        <v/>
      </c>
      <c r="J102" s="3">
        <f>IF(E102="Maharashtra",0,ROUND(G102*18%,0))</f>
        <v/>
      </c>
      <c r="K102" s="3">
        <f>SUM(G102:J102)</f>
        <v/>
      </c>
    </row>
    <row r="103">
      <c r="A103" t="inlineStr">
        <is>
          <t>SAF/26-27/1102</t>
        </is>
      </c>
      <c r="B103" s="17" t="n">
        <v>46273</v>
      </c>
      <c r="C103" t="inlineStr">
        <is>
          <t>Annapurna Stores</t>
        </is>
      </c>
      <c r="D103" t="inlineStr">
        <is>
          <t>27AABPA2219L1ZQ</t>
        </is>
      </c>
      <c r="E103" t="inlineStr">
        <is>
          <t>Maharashtra</t>
        </is>
      </c>
      <c r="F103" t="inlineStr">
        <is>
          <t>1006</t>
        </is>
      </c>
      <c r="G103" s="3" t="n">
        <v>376600</v>
      </c>
      <c r="H103" s="3">
        <f>IF(E103="Maharashtra",ROUND(G103*9%,0),0)</f>
        <v/>
      </c>
      <c r="I103" s="3">
        <f>IF(E103="Maharashtra",ROUND(G103*9%,0),0)</f>
        <v/>
      </c>
      <c r="J103" s="3">
        <f>IF(E103="Maharashtra",0,ROUND(G103*18%,0))</f>
        <v/>
      </c>
      <c r="K103" s="3">
        <f>SUM(G103:J103)</f>
        <v/>
      </c>
    </row>
    <row r="104">
      <c r="A104" t="inlineStr">
        <is>
          <t>SAF/26-27/1103</t>
        </is>
      </c>
      <c r="B104" s="17" t="n">
        <v>46276</v>
      </c>
      <c r="C104" t="inlineStr">
        <is>
          <t>Konkan Fresh</t>
        </is>
      </c>
      <c r="D104" t="inlineStr">
        <is>
          <t>27AAKCK6638P1Z9</t>
        </is>
      </c>
      <c r="E104" t="inlineStr">
        <is>
          <t>Maharashtra</t>
        </is>
      </c>
      <c r="F104" t="inlineStr">
        <is>
          <t>1101</t>
        </is>
      </c>
      <c r="G104" s="3" t="n">
        <v>42650</v>
      </c>
      <c r="H104" s="3">
        <f>IF(E104="Maharashtra",ROUND(G104*9%,0),0)</f>
        <v/>
      </c>
      <c r="I104" s="3">
        <f>IF(E104="Maharashtra",ROUND(G104*9%,0),0)</f>
        <v/>
      </c>
      <c r="J104" s="3">
        <f>IF(E104="Maharashtra",0,ROUND(G104*18%,0))</f>
        <v/>
      </c>
      <c r="K104" s="3">
        <f>SUM(G104:J104)</f>
        <v/>
      </c>
    </row>
    <row r="105">
      <c r="A105" t="inlineStr">
        <is>
          <t>SAF/26-27/1104</t>
        </is>
      </c>
      <c r="B105" s="17" t="n">
        <v>46278</v>
      </c>
      <c r="C105" t="inlineStr">
        <is>
          <t>Deccan Retail</t>
        </is>
      </c>
      <c r="D105" t="inlineStr">
        <is>
          <t>36AAECD9902H1Z6</t>
        </is>
      </c>
      <c r="E105" t="inlineStr">
        <is>
          <t>Telangana</t>
        </is>
      </c>
      <c r="F105" t="inlineStr">
        <is>
          <t>0902</t>
        </is>
      </c>
      <c r="G105" s="3" t="n">
        <v>52200</v>
      </c>
      <c r="H105" s="3">
        <f>IF(E105="Maharashtra",ROUND(G105*9%,0),0)</f>
        <v/>
      </c>
      <c r="I105" s="3">
        <f>IF(E105="Maharashtra",ROUND(G105*9%,0),0)</f>
        <v/>
      </c>
      <c r="J105" s="3">
        <f>IF(E105="Maharashtra",0,ROUND(G105*18%,0))</f>
        <v/>
      </c>
      <c r="K105" s="3">
        <f>SUM(G105:J105)</f>
        <v/>
      </c>
    </row>
    <row r="106">
      <c r="A106" t="inlineStr">
        <is>
          <t>SAF/26-27/1105</t>
        </is>
      </c>
      <c r="B106" s="17" t="n">
        <v>46279</v>
      </c>
      <c r="C106" t="inlineStr">
        <is>
          <t>Shree Krishna Traders</t>
        </is>
      </c>
      <c r="D106" t="inlineStr">
        <is>
          <t>27AAKFS4821M1Z3</t>
        </is>
      </c>
      <c r="E106" t="inlineStr">
        <is>
          <t>Maharashtra</t>
        </is>
      </c>
      <c r="F106" t="inlineStr">
        <is>
          <t>1006</t>
        </is>
      </c>
      <c r="G106" s="3" t="n">
        <v>39250</v>
      </c>
      <c r="H106" s="3">
        <f>IF(E106="Maharashtra",ROUND(G106*9%,0),0)</f>
        <v/>
      </c>
      <c r="I106" s="3">
        <f>IF(E106="Maharashtra",ROUND(G106*9%,0),0)</f>
        <v/>
      </c>
      <c r="J106" s="3">
        <f>IF(E106="Maharashtra",0,ROUND(G106*18%,0))</f>
        <v/>
      </c>
      <c r="K106" s="3">
        <f>SUM(G106:J106)</f>
        <v/>
      </c>
    </row>
    <row r="107">
      <c r="A107" t="inlineStr">
        <is>
          <t>SAF/26-27/1106</t>
        </is>
      </c>
      <c r="B107" s="17" t="n">
        <v>46282</v>
      </c>
      <c r="C107" t="inlineStr">
        <is>
          <t>Konkan Fresh</t>
        </is>
      </c>
      <c r="D107" t="inlineStr">
        <is>
          <t>27AAKCK6638P1Z9</t>
        </is>
      </c>
      <c r="E107" t="inlineStr">
        <is>
          <t>Maharashtra</t>
        </is>
      </c>
      <c r="F107" t="inlineStr">
        <is>
          <t>0713</t>
        </is>
      </c>
      <c r="G107" s="3" t="n">
        <v>132100</v>
      </c>
      <c r="H107" s="3">
        <f>IF(E107="Maharashtra",ROUND(G107*9%,0),0)</f>
        <v/>
      </c>
      <c r="I107" s="3">
        <f>IF(E107="Maharashtra",ROUND(G107*9%,0),0)</f>
        <v/>
      </c>
      <c r="J107" s="3">
        <f>IF(E107="Maharashtra",0,ROUND(G107*18%,0))</f>
        <v/>
      </c>
      <c r="K107" s="3">
        <f>SUM(G107:J107)</f>
        <v/>
      </c>
    </row>
    <row r="108">
      <c r="A108" t="inlineStr">
        <is>
          <t>SAF/26-27/1107</t>
        </is>
      </c>
      <c r="B108" s="17" t="n">
        <v>46283</v>
      </c>
      <c r="C108" t="inlineStr">
        <is>
          <t>Chennai Spice House</t>
        </is>
      </c>
      <c r="D108" t="inlineStr">
        <is>
          <t>33AACFC3305D1Z4</t>
        </is>
      </c>
      <c r="E108" t="inlineStr">
        <is>
          <t>Tamil Nadu</t>
        </is>
      </c>
      <c r="F108" t="inlineStr">
        <is>
          <t>0910</t>
        </is>
      </c>
      <c r="G108" s="3" t="n">
        <v>265900</v>
      </c>
      <c r="H108" s="3">
        <f>IF(E108="Maharashtra",ROUND(G108*9%,0),0)</f>
        <v/>
      </c>
      <c r="I108" s="3">
        <f>IF(E108="Maharashtra",ROUND(G108*9%,0),0)</f>
        <v/>
      </c>
      <c r="J108" s="3">
        <f>IF(E108="Maharashtra",0,ROUND(G108*18%,0))</f>
        <v/>
      </c>
      <c r="K108" s="3">
        <f>SUM(G108:J108)</f>
        <v/>
      </c>
    </row>
    <row r="109">
      <c r="A109" t="inlineStr">
        <is>
          <t>SAF/26-27/1108</t>
        </is>
      </c>
      <c r="B109" s="17" t="n">
        <v>46286</v>
      </c>
      <c r="C109" t="inlineStr">
        <is>
          <t>Chennai Spice House</t>
        </is>
      </c>
      <c r="D109" t="inlineStr">
        <is>
          <t>33AACFC3305D1Z4</t>
        </is>
      </c>
      <c r="E109" t="inlineStr">
        <is>
          <t>Tamil Nadu</t>
        </is>
      </c>
      <c r="F109" t="inlineStr">
        <is>
          <t>1101</t>
        </is>
      </c>
      <c r="G109" s="3" t="n">
        <v>459850</v>
      </c>
      <c r="H109" s="3">
        <f>IF(E109="Maharashtra",ROUND(G109*9%,0),0)</f>
        <v/>
      </c>
      <c r="I109" s="3">
        <f>IF(E109="Maharashtra",ROUND(G109*9%,0),0)</f>
        <v/>
      </c>
      <c r="J109" s="3">
        <f>IF(E109="Maharashtra",0,ROUND(G109*18%,0))</f>
        <v/>
      </c>
      <c r="K109" s="3">
        <f>SUM(G109:J109)</f>
        <v/>
      </c>
    </row>
    <row r="110">
      <c r="A110" t="inlineStr">
        <is>
          <t>SAF/26-27/1109</t>
        </is>
      </c>
      <c r="B110" s="17" t="n">
        <v>46286</v>
      </c>
      <c r="C110" t="inlineStr">
        <is>
          <t>Chennai Spice House</t>
        </is>
      </c>
      <c r="D110" t="inlineStr">
        <is>
          <t>33AACFC3305D1Z4</t>
        </is>
      </c>
      <c r="E110" t="inlineStr">
        <is>
          <t>Tamil Nadu</t>
        </is>
      </c>
      <c r="F110" t="inlineStr">
        <is>
          <t>1006</t>
        </is>
      </c>
      <c r="G110" s="3" t="n">
        <v>357700</v>
      </c>
      <c r="H110" s="3">
        <f>IF(E110="Maharashtra",ROUND(G110*9%,0),0)</f>
        <v/>
      </c>
      <c r="I110" s="3">
        <f>IF(E110="Maharashtra",ROUND(G110*9%,0),0)</f>
        <v/>
      </c>
      <c r="J110" s="3">
        <f>IF(E110="Maharashtra",0,ROUND(G110*18%,0))</f>
        <v/>
      </c>
      <c r="K110" s="3">
        <f>SUM(G110:J110)</f>
        <v/>
      </c>
    </row>
    <row r="111">
      <c r="A111" t="inlineStr">
        <is>
          <t>SAF/26-27/1110</t>
        </is>
      </c>
      <c r="B111" s="17" t="n">
        <v>46286</v>
      </c>
      <c r="C111" t="inlineStr">
        <is>
          <t>Annapurna Stores</t>
        </is>
      </c>
      <c r="D111" t="inlineStr">
        <is>
          <t>27AABPA2219L1ZQ</t>
        </is>
      </c>
      <c r="E111" t="inlineStr">
        <is>
          <t>Maharashtra</t>
        </is>
      </c>
      <c r="F111" t="inlineStr">
        <is>
          <t>0910</t>
        </is>
      </c>
      <c r="G111" s="3" t="n">
        <v>152750</v>
      </c>
      <c r="H111" s="3">
        <f>IF(E111="Maharashtra",ROUND(G111*9%,0),0)</f>
        <v/>
      </c>
      <c r="I111" s="3">
        <f>IF(E111="Maharashtra",ROUND(G111*9%,0),0)</f>
        <v/>
      </c>
      <c r="J111" s="3">
        <f>IF(E111="Maharashtra",0,ROUND(G111*18%,0))</f>
        <v/>
      </c>
      <c r="K111" s="3">
        <f>SUM(G111:J111)</f>
        <v/>
      </c>
    </row>
    <row r="112">
      <c r="A112" t="inlineStr">
        <is>
          <t>SAF/26-27/1111</t>
        </is>
      </c>
      <c r="B112" s="17" t="n">
        <v>46287</v>
      </c>
      <c r="C112" t="inlineStr">
        <is>
          <t>Konkan Fresh</t>
        </is>
      </c>
      <c r="D112" t="inlineStr">
        <is>
          <t>27AAKCK6638P1Z9</t>
        </is>
      </c>
      <c r="E112" t="inlineStr">
        <is>
          <t>Maharashtra</t>
        </is>
      </c>
      <c r="F112" t="inlineStr">
        <is>
          <t>1101</t>
        </is>
      </c>
      <c r="G112" s="3" t="n">
        <v>327950</v>
      </c>
      <c r="H112" s="3">
        <f>IF(E112="Maharashtra",ROUND(G112*9%,0),0)</f>
        <v/>
      </c>
      <c r="I112" s="3">
        <f>IF(E112="Maharashtra",ROUND(G112*9%,0),0)</f>
        <v/>
      </c>
      <c r="J112" s="3">
        <f>IF(E112="Maharashtra",0,ROUND(G112*18%,0))</f>
        <v/>
      </c>
      <c r="K112" s="3">
        <f>SUM(G112:J112)</f>
        <v/>
      </c>
    </row>
    <row r="113">
      <c r="A113" t="inlineStr">
        <is>
          <t>SAF/26-27/1112</t>
        </is>
      </c>
      <c r="B113" s="17" t="n">
        <v>46288</v>
      </c>
      <c r="C113" t="inlineStr">
        <is>
          <t>Malwa Kirana</t>
        </is>
      </c>
      <c r="D113" t="inlineStr">
        <is>
          <t>23AAMFM1147C1ZT</t>
        </is>
      </c>
      <c r="E113" t="inlineStr">
        <is>
          <t>Madhya Pradesh</t>
        </is>
      </c>
      <c r="F113" t="inlineStr">
        <is>
          <t>0902</t>
        </is>
      </c>
      <c r="G113" s="3" t="n">
        <v>353250</v>
      </c>
      <c r="H113" s="3">
        <f>IF(E113="Maharashtra",ROUND(G113*9%,0),0)</f>
        <v/>
      </c>
      <c r="I113" s="3">
        <f>IF(E113="Maharashtra",ROUND(G113*9%,0),0)</f>
        <v/>
      </c>
      <c r="J113" s="3">
        <f>IF(E113="Maharashtra",0,ROUND(G113*18%,0))</f>
        <v/>
      </c>
      <c r="K113" s="3">
        <f>SUM(G113:J113)</f>
        <v/>
      </c>
    </row>
    <row r="114">
      <c r="A114" t="inlineStr">
        <is>
          <t>SAF/26-27/1113</t>
        </is>
      </c>
      <c r="B114" s="17" t="n">
        <v>46288</v>
      </c>
      <c r="C114" t="inlineStr">
        <is>
          <t>Malwa Kirana</t>
        </is>
      </c>
      <c r="D114" t="inlineStr">
        <is>
          <t>23AAMFM1147C1ZT</t>
        </is>
      </c>
      <c r="E114" t="inlineStr">
        <is>
          <t>Madhya Pradesh</t>
        </is>
      </c>
      <c r="F114" t="inlineStr">
        <is>
          <t>0902</t>
        </is>
      </c>
      <c r="G114" s="3" t="n">
        <v>366900</v>
      </c>
      <c r="H114" s="3">
        <f>IF(E114="Maharashtra",ROUND(G114*9%,0),0)</f>
        <v/>
      </c>
      <c r="I114" s="3">
        <f>IF(E114="Maharashtra",ROUND(G114*9%,0),0)</f>
        <v/>
      </c>
      <c r="J114" s="3">
        <f>IF(E114="Maharashtra",0,ROUND(G114*18%,0))</f>
        <v/>
      </c>
      <c r="K114" s="3">
        <f>SUM(G114:J114)</f>
        <v/>
      </c>
    </row>
    <row r="115">
      <c r="A115" t="inlineStr">
        <is>
          <t>SAF/26-27/1114</t>
        </is>
      </c>
      <c r="B115" s="17" t="n">
        <v>46291</v>
      </c>
      <c r="C115" t="inlineStr">
        <is>
          <t>Balaji Wholesale</t>
        </is>
      </c>
      <c r="D115" t="inlineStr">
        <is>
          <t>29AADFB7314K1Z8</t>
        </is>
      </c>
      <c r="E115" t="inlineStr">
        <is>
          <t>Karnataka</t>
        </is>
      </c>
      <c r="F115" t="inlineStr">
        <is>
          <t>0713</t>
        </is>
      </c>
      <c r="G115" s="3" t="n">
        <v>88150</v>
      </c>
      <c r="H115" s="3">
        <f>IF(E115="Maharashtra",ROUND(G115*9%,0),0)</f>
        <v/>
      </c>
      <c r="I115" s="3">
        <f>IF(E115="Maharashtra",ROUND(G115*9%,0),0)</f>
        <v/>
      </c>
      <c r="J115" s="3">
        <f>IF(E115="Maharashtra",0,ROUND(G115*18%,0))</f>
        <v/>
      </c>
      <c r="K115" s="3">
        <f>SUM(G115:J115)</f>
        <v/>
      </c>
    </row>
    <row r="116">
      <c r="A116" t="inlineStr">
        <is>
          <t>SAF/26-27/1115</t>
        </is>
      </c>
      <c r="B116" s="17" t="n">
        <v>46292</v>
      </c>
      <c r="C116" t="inlineStr">
        <is>
          <t>Chennai Spice House</t>
        </is>
      </c>
      <c r="D116" t="inlineStr">
        <is>
          <t>33AACFC3305D1Z4</t>
        </is>
      </c>
      <c r="E116" t="inlineStr">
        <is>
          <t>Tamil Nadu</t>
        </is>
      </c>
      <c r="F116" t="inlineStr">
        <is>
          <t>0902</t>
        </is>
      </c>
      <c r="G116" s="3" t="n">
        <v>52150</v>
      </c>
      <c r="H116" s="3">
        <f>IF(E116="Maharashtra",ROUND(G116*9%,0),0)</f>
        <v/>
      </c>
      <c r="I116" s="3">
        <f>IF(E116="Maharashtra",ROUND(G116*9%,0),0)</f>
        <v/>
      </c>
      <c r="J116" s="3">
        <f>IF(E116="Maharashtra",0,ROUND(G116*18%,0))</f>
        <v/>
      </c>
      <c r="K116" s="3">
        <f>SUM(G116:J116)</f>
        <v/>
      </c>
    </row>
    <row r="117">
      <c r="A117" t="inlineStr">
        <is>
          <t>SAF/26-27/1116</t>
        </is>
      </c>
      <c r="B117" s="17" t="n">
        <v>46292</v>
      </c>
      <c r="C117" t="inlineStr">
        <is>
          <t>Gujarat Agro Mart</t>
        </is>
      </c>
      <c r="D117" t="inlineStr">
        <is>
          <t>24AAGCG5530R1Z1</t>
        </is>
      </c>
      <c r="E117" t="inlineStr">
        <is>
          <t>Gujarat</t>
        </is>
      </c>
      <c r="F117" t="inlineStr">
        <is>
          <t>0910</t>
        </is>
      </c>
      <c r="G117" s="3" t="n">
        <v>341750</v>
      </c>
      <c r="H117" s="3">
        <f>IF(E117="Maharashtra",ROUND(G117*9%,0),0)</f>
        <v/>
      </c>
      <c r="I117" s="3">
        <f>IF(E117="Maharashtra",ROUND(G117*9%,0),0)</f>
        <v/>
      </c>
      <c r="J117" s="3">
        <f>IF(E117="Maharashtra",0,ROUND(G117*18%,0))</f>
        <v/>
      </c>
      <c r="K117" s="3">
        <f>SUM(G117:J117)</f>
        <v/>
      </c>
    </row>
    <row r="118">
      <c r="A118" t="inlineStr">
        <is>
          <t>SAF/26-27/1117</t>
        </is>
      </c>
      <c r="B118" s="17" t="n">
        <v>46295</v>
      </c>
      <c r="C118" t="inlineStr">
        <is>
          <t>Gujarat Agro Mart</t>
        </is>
      </c>
      <c r="D118" t="inlineStr">
        <is>
          <t>24AAGCG5530R1Z1</t>
        </is>
      </c>
      <c r="E118" t="inlineStr">
        <is>
          <t>Gujarat</t>
        </is>
      </c>
      <c r="F118" t="inlineStr">
        <is>
          <t>1101</t>
        </is>
      </c>
      <c r="G118" s="3" t="n">
        <v>99700</v>
      </c>
      <c r="H118" s="3">
        <f>IF(E118="Maharashtra",ROUND(G118*9%,0),0)</f>
        <v/>
      </c>
      <c r="I118" s="3">
        <f>IF(E118="Maharashtra",ROUND(G118*9%,0),0)</f>
        <v/>
      </c>
      <c r="J118" s="3">
        <f>IF(E118="Maharashtra",0,ROUND(G118*18%,0))</f>
        <v/>
      </c>
      <c r="K118" s="3">
        <f>SUM(G118:J118)</f>
        <v/>
      </c>
    </row>
    <row r="119">
      <c r="A119" t="inlineStr">
        <is>
          <t>SAF/26-27/1118</t>
        </is>
      </c>
      <c r="B119" s="17" t="n">
        <v>46296</v>
      </c>
      <c r="C119" t="inlineStr">
        <is>
          <t>Annapurna Stores</t>
        </is>
      </c>
      <c r="D119" t="inlineStr">
        <is>
          <t>27AABPA2219L1ZQ</t>
        </is>
      </c>
      <c r="E119" t="inlineStr">
        <is>
          <t>Maharashtra</t>
        </is>
      </c>
      <c r="F119" t="inlineStr">
        <is>
          <t>0713</t>
        </is>
      </c>
      <c r="G119" s="3" t="n">
        <v>260200</v>
      </c>
      <c r="H119" s="3">
        <f>IF(E119="Maharashtra",ROUND(G119*9%,0),0)</f>
        <v/>
      </c>
      <c r="I119" s="3">
        <f>IF(E119="Maharashtra",ROUND(G119*9%,0),0)</f>
        <v/>
      </c>
      <c r="J119" s="3">
        <f>IF(E119="Maharashtra",0,ROUND(G119*18%,0))</f>
        <v/>
      </c>
      <c r="K119" s="3">
        <f>SUM(G119:J119)</f>
        <v/>
      </c>
    </row>
    <row r="120">
      <c r="A120" t="inlineStr">
        <is>
          <t>SAF/26-27/1119</t>
        </is>
      </c>
      <c r="B120" s="17" t="n">
        <v>46297</v>
      </c>
      <c r="C120" t="inlineStr">
        <is>
          <t>Annapurna Stores</t>
        </is>
      </c>
      <c r="D120" t="inlineStr">
        <is>
          <t>27AABPA2219L1ZQ</t>
        </is>
      </c>
      <c r="E120" t="inlineStr">
        <is>
          <t>Maharashtra</t>
        </is>
      </c>
      <c r="F120" t="inlineStr">
        <is>
          <t>0713</t>
        </is>
      </c>
      <c r="G120" s="3" t="n">
        <v>400150</v>
      </c>
      <c r="H120" s="3">
        <f>IF(E120="Maharashtra",ROUND(G120*9%,0),0)</f>
        <v/>
      </c>
      <c r="I120" s="3">
        <f>IF(E120="Maharashtra",ROUND(G120*9%,0),0)</f>
        <v/>
      </c>
      <c r="J120" s="3">
        <f>IF(E120="Maharashtra",0,ROUND(G120*18%,0))</f>
        <v/>
      </c>
      <c r="K120" s="3">
        <f>SUM(G120:J120)</f>
        <v/>
      </c>
    </row>
    <row r="121">
      <c r="A121" t="inlineStr">
        <is>
          <t>SAF/26-27/1120</t>
        </is>
      </c>
      <c r="B121" s="17" t="n">
        <v>46299</v>
      </c>
      <c r="C121" t="inlineStr">
        <is>
          <t>Annapurna Stores</t>
        </is>
      </c>
      <c r="D121" t="inlineStr">
        <is>
          <t>27AABPA2219L1ZQ</t>
        </is>
      </c>
      <c r="E121" t="inlineStr">
        <is>
          <t>Maharashtra</t>
        </is>
      </c>
      <c r="F121" t="inlineStr">
        <is>
          <t>0713</t>
        </is>
      </c>
      <c r="G121" s="3" t="n">
        <v>359050</v>
      </c>
      <c r="H121" s="3">
        <f>IF(E121="Maharashtra",ROUND(G121*9%,0),0)</f>
        <v/>
      </c>
      <c r="I121" s="3">
        <f>IF(E121="Maharashtra",ROUND(G121*9%,0),0)</f>
        <v/>
      </c>
      <c r="J121" s="3">
        <f>IF(E121="Maharashtra",0,ROUND(G121*18%,0))</f>
        <v/>
      </c>
      <c r="K121" s="3">
        <f>SUM(G121:J121)</f>
        <v/>
      </c>
    </row>
    <row r="122">
      <c r="A122" t="inlineStr">
        <is>
          <t>SAF/26-27/1121</t>
        </is>
      </c>
      <c r="B122" s="17" t="n">
        <v>46301</v>
      </c>
      <c r="C122" t="inlineStr">
        <is>
          <t>Konkan Fresh</t>
        </is>
      </c>
      <c r="D122" t="inlineStr">
        <is>
          <t>27AAKCK6638P1Z9</t>
        </is>
      </c>
      <c r="E122" t="inlineStr">
        <is>
          <t>Maharashtra</t>
        </is>
      </c>
      <c r="F122" t="inlineStr">
        <is>
          <t>0902</t>
        </is>
      </c>
      <c r="G122" s="3" t="n">
        <v>53350</v>
      </c>
      <c r="H122" s="3">
        <f>IF(E122="Maharashtra",ROUND(G122*9%,0),0)</f>
        <v/>
      </c>
      <c r="I122" s="3">
        <f>IF(E122="Maharashtra",ROUND(G122*9%,0),0)</f>
        <v/>
      </c>
      <c r="J122" s="3">
        <f>IF(E122="Maharashtra",0,ROUND(G122*18%,0))</f>
        <v/>
      </c>
      <c r="K122" s="3">
        <f>SUM(G122:J122)</f>
        <v/>
      </c>
    </row>
    <row r="123">
      <c r="A123" t="inlineStr">
        <is>
          <t>SAF/26-27/1122</t>
        </is>
      </c>
      <c r="B123" s="17" t="n">
        <v>46302</v>
      </c>
      <c r="C123" t="inlineStr">
        <is>
          <t>Chennai Spice House</t>
        </is>
      </c>
      <c r="D123" t="inlineStr">
        <is>
          <t>33AACFC3305D1Z4</t>
        </is>
      </c>
      <c r="E123" t="inlineStr">
        <is>
          <t>Tamil Nadu</t>
        </is>
      </c>
      <c r="F123" t="inlineStr">
        <is>
          <t>0713</t>
        </is>
      </c>
      <c r="G123" s="3" t="n">
        <v>398350</v>
      </c>
      <c r="H123" s="3">
        <f>IF(E123="Maharashtra",ROUND(G123*9%,0),0)</f>
        <v/>
      </c>
      <c r="I123" s="3">
        <f>IF(E123="Maharashtra",ROUND(G123*9%,0),0)</f>
        <v/>
      </c>
      <c r="J123" s="3">
        <f>IF(E123="Maharashtra",0,ROUND(G123*18%,0))</f>
        <v/>
      </c>
      <c r="K123" s="3">
        <f>SUM(G123:J123)</f>
        <v/>
      </c>
    </row>
    <row r="124">
      <c r="A124" t="inlineStr">
        <is>
          <t>SAF/26-27/1123</t>
        </is>
      </c>
      <c r="B124" s="17" t="n">
        <v>46302</v>
      </c>
      <c r="C124" t="inlineStr">
        <is>
          <t>Konkan Fresh</t>
        </is>
      </c>
      <c r="D124" t="inlineStr">
        <is>
          <t>27AAKCK6638P1Z9</t>
        </is>
      </c>
      <c r="E124" t="inlineStr">
        <is>
          <t>Maharashtra</t>
        </is>
      </c>
      <c r="F124" t="inlineStr">
        <is>
          <t>1101</t>
        </is>
      </c>
      <c r="G124" s="3" t="n">
        <v>257000</v>
      </c>
      <c r="H124" s="3">
        <f>IF(E124="Maharashtra",ROUND(G124*9%,0),0)</f>
        <v/>
      </c>
      <c r="I124" s="3">
        <f>IF(E124="Maharashtra",ROUND(G124*9%,0),0)</f>
        <v/>
      </c>
      <c r="J124" s="3">
        <f>IF(E124="Maharashtra",0,ROUND(G124*18%,0))</f>
        <v/>
      </c>
      <c r="K124" s="3">
        <f>SUM(G124:J124)</f>
        <v/>
      </c>
    </row>
    <row r="125">
      <c r="A125" t="inlineStr">
        <is>
          <t>SAF/26-27/1124</t>
        </is>
      </c>
      <c r="B125" s="17" t="n">
        <v>46302</v>
      </c>
      <c r="C125" t="inlineStr">
        <is>
          <t>Konkan Fresh</t>
        </is>
      </c>
      <c r="D125" t="inlineStr">
        <is>
          <t>27AAKCK6638P1Z9</t>
        </is>
      </c>
      <c r="E125" t="inlineStr">
        <is>
          <t>Maharashtra</t>
        </is>
      </c>
      <c r="F125" t="inlineStr">
        <is>
          <t>1006</t>
        </is>
      </c>
      <c r="G125" s="3" t="n">
        <v>89550</v>
      </c>
      <c r="H125" s="3">
        <f>IF(E125="Maharashtra",ROUND(G125*9%,0),0)</f>
        <v/>
      </c>
      <c r="I125" s="3">
        <f>IF(E125="Maharashtra",ROUND(G125*9%,0),0)</f>
        <v/>
      </c>
      <c r="J125" s="3">
        <f>IF(E125="Maharashtra",0,ROUND(G125*18%,0))</f>
        <v/>
      </c>
      <c r="K125" s="3">
        <f>SUM(G125:J125)</f>
        <v/>
      </c>
    </row>
    <row r="126">
      <c r="A126" t="inlineStr">
        <is>
          <t>SAF/26-27/1125</t>
        </is>
      </c>
      <c r="B126" s="17" t="n">
        <v>46305</v>
      </c>
      <c r="C126" t="inlineStr">
        <is>
          <t>Konkan Fresh</t>
        </is>
      </c>
      <c r="D126" t="inlineStr">
        <is>
          <t>27AAKCK6638P1Z9</t>
        </is>
      </c>
      <c r="E126" t="inlineStr">
        <is>
          <t>Maharashtra</t>
        </is>
      </c>
      <c r="F126" t="inlineStr">
        <is>
          <t>0713</t>
        </is>
      </c>
      <c r="G126" s="3" t="n">
        <v>474650</v>
      </c>
      <c r="H126" s="3">
        <f>IF(E126="Maharashtra",ROUND(G126*9%,0),0)</f>
        <v/>
      </c>
      <c r="I126" s="3">
        <f>IF(E126="Maharashtra",ROUND(G126*9%,0),0)</f>
        <v/>
      </c>
      <c r="J126" s="3">
        <f>IF(E126="Maharashtra",0,ROUND(G126*18%,0))</f>
        <v/>
      </c>
      <c r="K126" s="3">
        <f>SUM(G126:J126)</f>
        <v/>
      </c>
    </row>
    <row r="127">
      <c r="A127" t="inlineStr">
        <is>
          <t>SAF/26-27/1126</t>
        </is>
      </c>
      <c r="B127" s="17" t="n">
        <v>46306</v>
      </c>
      <c r="C127" t="inlineStr">
        <is>
          <t>Shree Krishna Traders</t>
        </is>
      </c>
      <c r="D127" t="inlineStr">
        <is>
          <t>27AAKFS4821M1Z3</t>
        </is>
      </c>
      <c r="E127" t="inlineStr">
        <is>
          <t>Maharashtra</t>
        </is>
      </c>
      <c r="F127" t="inlineStr">
        <is>
          <t>1101</t>
        </is>
      </c>
      <c r="G127" s="3" t="n">
        <v>434350</v>
      </c>
      <c r="H127" s="3">
        <f>IF(E127="Maharashtra",ROUND(G127*9%,0),0)</f>
        <v/>
      </c>
      <c r="I127" s="3">
        <f>IF(E127="Maharashtra",ROUND(G127*9%,0),0)</f>
        <v/>
      </c>
      <c r="J127" s="3">
        <f>IF(E127="Maharashtra",0,ROUND(G127*18%,0))</f>
        <v/>
      </c>
      <c r="K127" s="3">
        <f>SUM(G127:J127)</f>
        <v/>
      </c>
    </row>
    <row r="128">
      <c r="A128" t="inlineStr">
        <is>
          <t>SAF/26-27/1127</t>
        </is>
      </c>
      <c r="B128" s="17" t="n">
        <v>46309</v>
      </c>
      <c r="C128" t="inlineStr">
        <is>
          <t>Chennai Spice House</t>
        </is>
      </c>
      <c r="D128" t="inlineStr">
        <is>
          <t>33AACFC3305D1Z4</t>
        </is>
      </c>
      <c r="E128" t="inlineStr">
        <is>
          <t>Tamil Nadu</t>
        </is>
      </c>
      <c r="F128" t="inlineStr">
        <is>
          <t>0902</t>
        </is>
      </c>
      <c r="G128" s="3" t="n">
        <v>377950</v>
      </c>
      <c r="H128" s="3">
        <f>IF(E128="Maharashtra",ROUND(G128*9%,0),0)</f>
        <v/>
      </c>
      <c r="I128" s="3">
        <f>IF(E128="Maharashtra",ROUND(G128*9%,0),0)</f>
        <v/>
      </c>
      <c r="J128" s="3">
        <f>IF(E128="Maharashtra",0,ROUND(G128*18%,0))</f>
        <v/>
      </c>
      <c r="K128" s="3">
        <f>SUM(G128:J128)</f>
        <v/>
      </c>
    </row>
    <row r="129">
      <c r="A129" t="inlineStr">
        <is>
          <t>SAF/26-27/1128</t>
        </is>
      </c>
      <c r="B129" s="17" t="n">
        <v>46309</v>
      </c>
      <c r="C129" t="inlineStr">
        <is>
          <t>Chennai Spice House</t>
        </is>
      </c>
      <c r="D129" t="inlineStr">
        <is>
          <t>33AACFC3305D1Z4</t>
        </is>
      </c>
      <c r="E129" t="inlineStr">
        <is>
          <t>Tamil Nadu</t>
        </is>
      </c>
      <c r="F129" t="inlineStr">
        <is>
          <t>1006</t>
        </is>
      </c>
      <c r="G129" s="3" t="n">
        <v>352100</v>
      </c>
      <c r="H129" s="3">
        <f>IF(E129="Maharashtra",ROUND(G129*9%,0),0)</f>
        <v/>
      </c>
      <c r="I129" s="3">
        <f>IF(E129="Maharashtra",ROUND(G129*9%,0),0)</f>
        <v/>
      </c>
      <c r="J129" s="3">
        <f>IF(E129="Maharashtra",0,ROUND(G129*18%,0))</f>
        <v/>
      </c>
      <c r="K129" s="3">
        <f>SUM(G129:J129)</f>
        <v/>
      </c>
    </row>
    <row r="130">
      <c r="A130" t="inlineStr">
        <is>
          <t>SAF/26-27/1129</t>
        </is>
      </c>
      <c r="B130" s="17" t="n">
        <v>46309</v>
      </c>
      <c r="C130" t="inlineStr">
        <is>
          <t>Gujarat Agro Mart</t>
        </is>
      </c>
      <c r="D130" t="inlineStr">
        <is>
          <t>24AAGCG5530R1Z1</t>
        </is>
      </c>
      <c r="E130" t="inlineStr">
        <is>
          <t>Gujarat</t>
        </is>
      </c>
      <c r="F130" t="inlineStr">
        <is>
          <t>1101</t>
        </is>
      </c>
      <c r="G130" s="3" t="n">
        <v>257150</v>
      </c>
      <c r="H130" s="3">
        <f>IF(E130="Maharashtra",ROUND(G130*9%,0),0)</f>
        <v/>
      </c>
      <c r="I130" s="3">
        <f>IF(E130="Maharashtra",ROUND(G130*9%,0),0)</f>
        <v/>
      </c>
      <c r="J130" s="3">
        <f>IF(E130="Maharashtra",0,ROUND(G130*18%,0))</f>
        <v/>
      </c>
      <c r="K130" s="3">
        <f>SUM(G130:J130)</f>
        <v/>
      </c>
    </row>
    <row r="131">
      <c r="A131" t="inlineStr">
        <is>
          <t>SAF/26-27/1130</t>
        </is>
      </c>
      <c r="B131" s="17" t="n">
        <v>46312</v>
      </c>
      <c r="C131" t="inlineStr">
        <is>
          <t>Malwa Kirana</t>
        </is>
      </c>
      <c r="D131" t="inlineStr">
        <is>
          <t>23AAMFM1147C1ZT</t>
        </is>
      </c>
      <c r="E131" t="inlineStr">
        <is>
          <t>Madhya Pradesh</t>
        </is>
      </c>
      <c r="F131" t="inlineStr">
        <is>
          <t>0910</t>
        </is>
      </c>
      <c r="G131" s="3" t="n">
        <v>197250</v>
      </c>
      <c r="H131" s="3">
        <f>IF(E131="Maharashtra",ROUND(G131*9%,0),0)</f>
        <v/>
      </c>
      <c r="I131" s="3">
        <f>IF(E131="Maharashtra",ROUND(G131*9%,0),0)</f>
        <v/>
      </c>
      <c r="J131" s="3">
        <f>IF(E131="Maharashtra",0,ROUND(G131*18%,0))</f>
        <v/>
      </c>
      <c r="K131" s="3">
        <f>SUM(G131:J131)</f>
        <v/>
      </c>
    </row>
    <row r="132">
      <c r="A132" t="inlineStr">
        <is>
          <t>SAF/26-27/1131</t>
        </is>
      </c>
      <c r="B132" s="17" t="n">
        <v>46313</v>
      </c>
      <c r="C132" t="inlineStr">
        <is>
          <t>Gujarat Agro Mart</t>
        </is>
      </c>
      <c r="D132" t="inlineStr">
        <is>
          <t>24AAGCG5530R1Z1</t>
        </is>
      </c>
      <c r="E132" t="inlineStr">
        <is>
          <t>Gujarat</t>
        </is>
      </c>
      <c r="F132" t="inlineStr">
        <is>
          <t>0910</t>
        </is>
      </c>
      <c r="G132" s="3" t="n">
        <v>179000</v>
      </c>
      <c r="H132" s="3">
        <f>IF(E132="Maharashtra",ROUND(G132*9%,0),0)</f>
        <v/>
      </c>
      <c r="I132" s="3">
        <f>IF(E132="Maharashtra",ROUND(G132*9%,0),0)</f>
        <v/>
      </c>
      <c r="J132" s="3">
        <f>IF(E132="Maharashtra",0,ROUND(G132*18%,0))</f>
        <v/>
      </c>
      <c r="K132" s="3">
        <f>SUM(G132:J132)</f>
        <v/>
      </c>
    </row>
    <row r="133">
      <c r="A133" t="inlineStr">
        <is>
          <t>SAF/26-27/1132</t>
        </is>
      </c>
      <c r="B133" s="17" t="n">
        <v>46314</v>
      </c>
      <c r="C133" t="inlineStr">
        <is>
          <t>Malwa Kirana</t>
        </is>
      </c>
      <c r="D133" t="inlineStr">
        <is>
          <t>23AAMFM1147C1ZT</t>
        </is>
      </c>
      <c r="E133" t="inlineStr">
        <is>
          <t>Madhya Pradesh</t>
        </is>
      </c>
      <c r="F133" t="inlineStr">
        <is>
          <t>0902</t>
        </is>
      </c>
      <c r="G133" s="3" t="n">
        <v>366550</v>
      </c>
      <c r="H133" s="3">
        <f>IF(E133="Maharashtra",ROUND(G133*9%,0),0)</f>
        <v/>
      </c>
      <c r="I133" s="3">
        <f>IF(E133="Maharashtra",ROUND(G133*9%,0),0)</f>
        <v/>
      </c>
      <c r="J133" s="3">
        <f>IF(E133="Maharashtra",0,ROUND(G133*18%,0))</f>
        <v/>
      </c>
      <c r="K133" s="3">
        <f>SUM(G133:J133)</f>
        <v/>
      </c>
    </row>
    <row r="134">
      <c r="A134" t="inlineStr">
        <is>
          <t>SAF/26-27/1133</t>
        </is>
      </c>
      <c r="B134" s="17" t="n">
        <v>46316</v>
      </c>
      <c r="C134" t="inlineStr">
        <is>
          <t>Annapurna Stores</t>
        </is>
      </c>
      <c r="D134" t="inlineStr">
        <is>
          <t>27AABPA2219L1ZQ</t>
        </is>
      </c>
      <c r="E134" t="inlineStr">
        <is>
          <t>Maharashtra</t>
        </is>
      </c>
      <c r="F134" t="inlineStr">
        <is>
          <t>1006</t>
        </is>
      </c>
      <c r="G134" s="3" t="n">
        <v>142150</v>
      </c>
      <c r="H134" s="3">
        <f>IF(E134="Maharashtra",ROUND(G134*9%,0),0)</f>
        <v/>
      </c>
      <c r="I134" s="3">
        <f>IF(E134="Maharashtra",ROUND(G134*9%,0),0)</f>
        <v/>
      </c>
      <c r="J134" s="3">
        <f>IF(E134="Maharashtra",0,ROUND(G134*18%,0))</f>
        <v/>
      </c>
      <c r="K134" s="3">
        <f>SUM(G134:J134)</f>
        <v/>
      </c>
    </row>
    <row r="135">
      <c r="A135" t="inlineStr">
        <is>
          <t>SAF/26-27/1134</t>
        </is>
      </c>
      <c r="B135" s="17" t="n">
        <v>46319</v>
      </c>
      <c r="C135" t="inlineStr">
        <is>
          <t>Konkan Fresh</t>
        </is>
      </c>
      <c r="D135" t="inlineStr">
        <is>
          <t>27AAKCK6638P1Z9</t>
        </is>
      </c>
      <c r="E135" t="inlineStr">
        <is>
          <t>Maharashtra</t>
        </is>
      </c>
      <c r="F135" t="inlineStr">
        <is>
          <t>1006</t>
        </is>
      </c>
      <c r="G135" s="3" t="n">
        <v>346850</v>
      </c>
      <c r="H135" s="3">
        <f>IF(E135="Maharashtra",ROUND(G135*9%,0),0)</f>
        <v/>
      </c>
      <c r="I135" s="3">
        <f>IF(E135="Maharashtra",ROUND(G135*9%,0),0)</f>
        <v/>
      </c>
      <c r="J135" s="3">
        <f>IF(E135="Maharashtra",0,ROUND(G135*18%,0))</f>
        <v/>
      </c>
      <c r="K135" s="3">
        <f>SUM(G135:J135)</f>
        <v/>
      </c>
    </row>
    <row r="136">
      <c r="A136" t="inlineStr">
        <is>
          <t>SAF/26-27/1135</t>
        </is>
      </c>
      <c r="B136" s="17" t="n">
        <v>46320</v>
      </c>
      <c r="C136" t="inlineStr">
        <is>
          <t>Gujarat Agro Mart</t>
        </is>
      </c>
      <c r="D136" t="inlineStr">
        <is>
          <t>24AAGCG5530R1Z1</t>
        </is>
      </c>
      <c r="E136" t="inlineStr">
        <is>
          <t>Gujarat</t>
        </is>
      </c>
      <c r="F136" t="inlineStr">
        <is>
          <t>1101</t>
        </is>
      </c>
      <c r="G136" s="3" t="n">
        <v>91550</v>
      </c>
      <c r="H136" s="3">
        <f>IF(E136="Maharashtra",ROUND(G136*9%,0),0)</f>
        <v/>
      </c>
      <c r="I136" s="3">
        <f>IF(E136="Maharashtra",ROUND(G136*9%,0),0)</f>
        <v/>
      </c>
      <c r="J136" s="3">
        <f>IF(E136="Maharashtra",0,ROUND(G136*18%,0))</f>
        <v/>
      </c>
      <c r="K136" s="3">
        <f>SUM(G136:J136)</f>
        <v/>
      </c>
    </row>
    <row r="137">
      <c r="A137" t="inlineStr">
        <is>
          <t>SAF/26-27/1136</t>
        </is>
      </c>
      <c r="B137" s="17" t="n">
        <v>46320</v>
      </c>
      <c r="C137" t="inlineStr">
        <is>
          <t>Malwa Kirana</t>
        </is>
      </c>
      <c r="D137" t="inlineStr">
        <is>
          <t>23AAMFM1147C1ZT</t>
        </is>
      </c>
      <c r="E137" t="inlineStr">
        <is>
          <t>Madhya Pradesh</t>
        </is>
      </c>
      <c r="F137" t="inlineStr">
        <is>
          <t>0910</t>
        </is>
      </c>
      <c r="G137" s="3" t="n">
        <v>265000</v>
      </c>
      <c r="H137" s="3">
        <f>IF(E137="Maharashtra",ROUND(G137*9%,0),0)</f>
        <v/>
      </c>
      <c r="I137" s="3">
        <f>IF(E137="Maharashtra",ROUND(G137*9%,0),0)</f>
        <v/>
      </c>
      <c r="J137" s="3">
        <f>IF(E137="Maharashtra",0,ROUND(G137*18%,0))</f>
        <v/>
      </c>
      <c r="K137" s="3">
        <f>SUM(G137:J137)</f>
        <v/>
      </c>
    </row>
    <row r="138">
      <c r="A138" t="inlineStr">
        <is>
          <t>SAF/26-27/1137</t>
        </is>
      </c>
      <c r="B138" s="17" t="n">
        <v>46321</v>
      </c>
      <c r="C138" t="inlineStr">
        <is>
          <t>Gujarat Agro Mart</t>
        </is>
      </c>
      <c r="D138" t="inlineStr">
        <is>
          <t>24AAGCG5530R1Z1</t>
        </is>
      </c>
      <c r="E138" t="inlineStr">
        <is>
          <t>Gujarat</t>
        </is>
      </c>
      <c r="F138" t="inlineStr">
        <is>
          <t>0902</t>
        </is>
      </c>
      <c r="G138" s="3" t="n">
        <v>247300</v>
      </c>
      <c r="H138" s="3">
        <f>IF(E138="Maharashtra",ROUND(G138*9%,0),0)</f>
        <v/>
      </c>
      <c r="I138" s="3">
        <f>IF(E138="Maharashtra",ROUND(G138*9%,0),0)</f>
        <v/>
      </c>
      <c r="J138" s="3">
        <f>IF(E138="Maharashtra",0,ROUND(G138*18%,0))</f>
        <v/>
      </c>
      <c r="K138" s="3">
        <f>SUM(G138:J138)</f>
        <v/>
      </c>
    </row>
    <row r="139">
      <c r="A139" t="inlineStr">
        <is>
          <t>SAF/26-27/1138</t>
        </is>
      </c>
      <c r="B139" s="17" t="n">
        <v>46324</v>
      </c>
      <c r="C139" t="inlineStr">
        <is>
          <t>Gujarat Agro Mart</t>
        </is>
      </c>
      <c r="D139" t="inlineStr">
        <is>
          <t>24AAGCG5530R1Z1</t>
        </is>
      </c>
      <c r="E139" t="inlineStr">
        <is>
          <t>Gujarat</t>
        </is>
      </c>
      <c r="F139" t="inlineStr">
        <is>
          <t>0713</t>
        </is>
      </c>
      <c r="G139" s="3" t="n">
        <v>236100</v>
      </c>
      <c r="H139" s="3">
        <f>IF(E139="Maharashtra",ROUND(G139*9%,0),0)</f>
        <v/>
      </c>
      <c r="I139" s="3">
        <f>IF(E139="Maharashtra",ROUND(G139*9%,0),0)</f>
        <v/>
      </c>
      <c r="J139" s="3">
        <f>IF(E139="Maharashtra",0,ROUND(G139*18%,0))</f>
        <v/>
      </c>
      <c r="K139" s="3">
        <f>SUM(G139:J139)</f>
        <v/>
      </c>
    </row>
    <row r="140">
      <c r="A140" t="inlineStr">
        <is>
          <t>SAF/26-27/1139</t>
        </is>
      </c>
      <c r="B140" s="17" t="n">
        <v>46324</v>
      </c>
      <c r="C140" t="inlineStr">
        <is>
          <t>Malwa Kirana</t>
        </is>
      </c>
      <c r="D140" t="inlineStr">
        <is>
          <t>23AAMFM1147C1ZT</t>
        </is>
      </c>
      <c r="E140" t="inlineStr">
        <is>
          <t>Madhya Pradesh</t>
        </is>
      </c>
      <c r="F140" t="inlineStr">
        <is>
          <t>0713</t>
        </is>
      </c>
      <c r="G140" s="3" t="n">
        <v>151300</v>
      </c>
      <c r="H140" s="3">
        <f>IF(E140="Maharashtra",ROUND(G140*9%,0),0)</f>
        <v/>
      </c>
      <c r="I140" s="3">
        <f>IF(E140="Maharashtra",ROUND(G140*9%,0),0)</f>
        <v/>
      </c>
      <c r="J140" s="3">
        <f>IF(E140="Maharashtra",0,ROUND(G140*18%,0))</f>
        <v/>
      </c>
      <c r="K140" s="3">
        <f>SUM(G140:J140)</f>
        <v/>
      </c>
    </row>
    <row r="141">
      <c r="A141" t="inlineStr">
        <is>
          <t>SAF/26-27/1140</t>
        </is>
      </c>
      <c r="B141" s="17" t="n">
        <v>46324</v>
      </c>
      <c r="C141" t="inlineStr">
        <is>
          <t>Gujarat Agro Mart</t>
        </is>
      </c>
      <c r="D141" t="inlineStr">
        <is>
          <t>24AAGCG5530R1Z1</t>
        </is>
      </c>
      <c r="E141" t="inlineStr">
        <is>
          <t>Gujarat</t>
        </is>
      </c>
      <c r="F141" t="inlineStr">
        <is>
          <t>0713</t>
        </is>
      </c>
      <c r="G141" s="3" t="n">
        <v>355500</v>
      </c>
      <c r="H141" s="3">
        <f>IF(E141="Maharashtra",ROUND(G141*9%,0),0)</f>
        <v/>
      </c>
      <c r="I141" s="3">
        <f>IF(E141="Maharashtra",ROUND(G141*9%,0),0)</f>
        <v/>
      </c>
      <c r="J141" s="3">
        <f>IF(E141="Maharashtra",0,ROUND(G141*18%,0))</f>
        <v/>
      </c>
      <c r="K141" s="3">
        <f>SUM(G141:J141)</f>
        <v/>
      </c>
    </row>
    <row r="142">
      <c r="A142" t="inlineStr">
        <is>
          <t>SAF/26-27/1141</t>
        </is>
      </c>
      <c r="B142" s="17" t="n">
        <v>46324</v>
      </c>
      <c r="C142" t="inlineStr">
        <is>
          <t>Deccan Retail</t>
        </is>
      </c>
      <c r="D142" t="inlineStr">
        <is>
          <t>36AAECD9902H1Z6</t>
        </is>
      </c>
      <c r="E142" t="inlineStr">
        <is>
          <t>Telangana</t>
        </is>
      </c>
      <c r="F142" t="inlineStr">
        <is>
          <t>1101</t>
        </is>
      </c>
      <c r="G142" s="3" t="n">
        <v>65200</v>
      </c>
      <c r="H142" s="3">
        <f>IF(E142="Maharashtra",ROUND(G142*9%,0),0)</f>
        <v/>
      </c>
      <c r="I142" s="3">
        <f>IF(E142="Maharashtra",ROUND(G142*9%,0),0)</f>
        <v/>
      </c>
      <c r="J142" s="3">
        <f>IF(E142="Maharashtra",0,ROUND(G142*18%,0))</f>
        <v/>
      </c>
      <c r="K142" s="3">
        <f>SUM(G142:J142)</f>
        <v/>
      </c>
    </row>
    <row r="143">
      <c r="A143" t="inlineStr">
        <is>
          <t>SAF/26-27/1142</t>
        </is>
      </c>
      <c r="B143" s="17" t="n">
        <v>46326</v>
      </c>
      <c r="C143" t="inlineStr">
        <is>
          <t>Chennai Spice House</t>
        </is>
      </c>
      <c r="D143" t="inlineStr">
        <is>
          <t>33AACFC3305D1Z4</t>
        </is>
      </c>
      <c r="E143" t="inlineStr">
        <is>
          <t>Tamil Nadu</t>
        </is>
      </c>
      <c r="F143" t="inlineStr">
        <is>
          <t>0713</t>
        </is>
      </c>
      <c r="G143" s="3" t="n">
        <v>56450</v>
      </c>
      <c r="H143" s="3">
        <f>IF(E143="Maharashtra",ROUND(G143*9%,0),0)</f>
        <v/>
      </c>
      <c r="I143" s="3">
        <f>IF(E143="Maharashtra",ROUND(G143*9%,0),0)</f>
        <v/>
      </c>
      <c r="J143" s="3">
        <f>IF(E143="Maharashtra",0,ROUND(G143*18%,0))</f>
        <v/>
      </c>
      <c r="K143" s="3">
        <f>SUM(G143:J143)</f>
        <v/>
      </c>
    </row>
    <row r="144">
      <c r="A144" t="inlineStr">
        <is>
          <t>SAF/26-27/1143</t>
        </is>
      </c>
      <c r="B144" s="17" t="n">
        <v>46326</v>
      </c>
      <c r="C144" t="inlineStr">
        <is>
          <t>Konkan Fresh</t>
        </is>
      </c>
      <c r="D144" t="inlineStr">
        <is>
          <t>27AAKCK6638P1Z9</t>
        </is>
      </c>
      <c r="E144" t="inlineStr">
        <is>
          <t>Maharashtra</t>
        </is>
      </c>
      <c r="F144" t="inlineStr">
        <is>
          <t>0713</t>
        </is>
      </c>
      <c r="G144" s="3" t="n">
        <v>239950</v>
      </c>
      <c r="H144" s="3">
        <f>IF(E144="Maharashtra",ROUND(G144*9%,0),0)</f>
        <v/>
      </c>
      <c r="I144" s="3">
        <f>IF(E144="Maharashtra",ROUND(G144*9%,0),0)</f>
        <v/>
      </c>
      <c r="J144" s="3">
        <f>IF(E144="Maharashtra",0,ROUND(G144*18%,0))</f>
        <v/>
      </c>
      <c r="K144" s="3">
        <f>SUM(G144:J144)</f>
        <v/>
      </c>
    </row>
    <row r="145">
      <c r="A145" t="inlineStr">
        <is>
          <t>SAF/26-27/1144</t>
        </is>
      </c>
      <c r="B145" s="17" t="n">
        <v>46329</v>
      </c>
      <c r="C145" t="inlineStr">
        <is>
          <t>Annapurna Stores</t>
        </is>
      </c>
      <c r="D145" t="inlineStr">
        <is>
          <t>27AABPA2219L1ZQ</t>
        </is>
      </c>
      <c r="E145" t="inlineStr">
        <is>
          <t>Maharashtra</t>
        </is>
      </c>
      <c r="F145" t="inlineStr">
        <is>
          <t>0713</t>
        </is>
      </c>
      <c r="G145" s="3" t="n">
        <v>385150</v>
      </c>
      <c r="H145" s="3">
        <f>IF(E145="Maharashtra",ROUND(G145*9%,0),0)</f>
        <v/>
      </c>
      <c r="I145" s="3">
        <f>IF(E145="Maharashtra",ROUND(G145*9%,0),0)</f>
        <v/>
      </c>
      <c r="J145" s="3">
        <f>IF(E145="Maharashtra",0,ROUND(G145*18%,0))</f>
        <v/>
      </c>
      <c r="K145" s="3">
        <f>SUM(G145:J145)</f>
        <v/>
      </c>
    </row>
    <row r="146">
      <c r="A146" t="inlineStr">
        <is>
          <t>SAF/26-27/1145</t>
        </is>
      </c>
      <c r="B146" s="17" t="n">
        <v>46330</v>
      </c>
      <c r="C146" t="inlineStr">
        <is>
          <t>Malwa Kirana</t>
        </is>
      </c>
      <c r="D146" t="inlineStr">
        <is>
          <t>23AAMFM1147C1ZT</t>
        </is>
      </c>
      <c r="E146" t="inlineStr">
        <is>
          <t>Madhya Pradesh</t>
        </is>
      </c>
      <c r="F146" t="inlineStr">
        <is>
          <t>1006</t>
        </is>
      </c>
      <c r="G146" s="3" t="n">
        <v>260050</v>
      </c>
      <c r="H146" s="3">
        <f>IF(E146="Maharashtra",ROUND(G146*9%,0),0)</f>
        <v/>
      </c>
      <c r="I146" s="3">
        <f>IF(E146="Maharashtra",ROUND(G146*9%,0),0)</f>
        <v/>
      </c>
      <c r="J146" s="3">
        <f>IF(E146="Maharashtra",0,ROUND(G146*18%,0))</f>
        <v/>
      </c>
      <c r="K146" s="3">
        <f>SUM(G146:J146)</f>
        <v/>
      </c>
    </row>
    <row r="147">
      <c r="A147" t="inlineStr">
        <is>
          <t>SAF/26-27/1146</t>
        </is>
      </c>
      <c r="B147" s="17" t="n">
        <v>46333</v>
      </c>
      <c r="C147" t="inlineStr">
        <is>
          <t>Deccan Retail</t>
        </is>
      </c>
      <c r="D147" t="inlineStr">
        <is>
          <t>36AAECD9902H1Z6</t>
        </is>
      </c>
      <c r="E147" t="inlineStr">
        <is>
          <t>Telangana</t>
        </is>
      </c>
      <c r="F147" t="inlineStr">
        <is>
          <t>0902</t>
        </is>
      </c>
      <c r="G147" s="3" t="n">
        <v>396900</v>
      </c>
      <c r="H147" s="3">
        <f>IF(E147="Maharashtra",ROUND(G147*9%,0),0)</f>
        <v/>
      </c>
      <c r="I147" s="3">
        <f>IF(E147="Maharashtra",ROUND(G147*9%,0),0)</f>
        <v/>
      </c>
      <c r="J147" s="3">
        <f>IF(E147="Maharashtra",0,ROUND(G147*18%,0))</f>
        <v/>
      </c>
      <c r="K147" s="3">
        <f>SUM(G147:J147)</f>
        <v/>
      </c>
    </row>
    <row r="148">
      <c r="A148" t="inlineStr">
        <is>
          <t>SAF/26-27/1147</t>
        </is>
      </c>
      <c r="B148" s="17" t="n">
        <v>46334</v>
      </c>
      <c r="C148" t="inlineStr">
        <is>
          <t>Gujarat Agro Mart</t>
        </is>
      </c>
      <c r="D148" t="inlineStr">
        <is>
          <t>24AAGCG5530R1Z1</t>
        </is>
      </c>
      <c r="E148" t="inlineStr">
        <is>
          <t>Gujarat</t>
        </is>
      </c>
      <c r="F148" t="inlineStr">
        <is>
          <t>0713</t>
        </is>
      </c>
      <c r="G148" s="3" t="n">
        <v>467900</v>
      </c>
      <c r="H148" s="3">
        <f>IF(E148="Maharashtra",ROUND(G148*9%,0),0)</f>
        <v/>
      </c>
      <c r="I148" s="3">
        <f>IF(E148="Maharashtra",ROUND(G148*9%,0),0)</f>
        <v/>
      </c>
      <c r="J148" s="3">
        <f>IF(E148="Maharashtra",0,ROUND(G148*18%,0))</f>
        <v/>
      </c>
      <c r="K148" s="3">
        <f>SUM(G148:J148)</f>
        <v/>
      </c>
    </row>
    <row r="149">
      <c r="A149" t="inlineStr">
        <is>
          <t>SAF/26-27/1148</t>
        </is>
      </c>
      <c r="B149" s="17" t="n">
        <v>46334</v>
      </c>
      <c r="C149" t="inlineStr">
        <is>
          <t>Shree Krishna Traders</t>
        </is>
      </c>
      <c r="D149" t="inlineStr">
        <is>
          <t>27AAKFS4821M1Z3</t>
        </is>
      </c>
      <c r="E149" t="inlineStr">
        <is>
          <t>Maharashtra</t>
        </is>
      </c>
      <c r="F149" t="inlineStr">
        <is>
          <t>1006</t>
        </is>
      </c>
      <c r="G149" s="3" t="n">
        <v>75200</v>
      </c>
      <c r="H149" s="3">
        <f>IF(E149="Maharashtra",ROUND(G149*9%,0),0)</f>
        <v/>
      </c>
      <c r="I149" s="3">
        <f>IF(E149="Maharashtra",ROUND(G149*9%,0),0)</f>
        <v/>
      </c>
      <c r="J149" s="3">
        <f>IF(E149="Maharashtra",0,ROUND(G149*18%,0))</f>
        <v/>
      </c>
      <c r="K149" s="3">
        <f>SUM(G149:J149)</f>
        <v/>
      </c>
    </row>
    <row r="150">
      <c r="A150" t="inlineStr">
        <is>
          <t>SAF/26-27/1149</t>
        </is>
      </c>
      <c r="B150" s="17" t="n">
        <v>46334</v>
      </c>
      <c r="C150" t="inlineStr">
        <is>
          <t>Shree Krishna Traders</t>
        </is>
      </c>
      <c r="D150" t="inlineStr">
        <is>
          <t>27AAKFS4821M1Z3</t>
        </is>
      </c>
      <c r="E150" t="inlineStr">
        <is>
          <t>Maharashtra</t>
        </is>
      </c>
      <c r="F150" t="inlineStr">
        <is>
          <t>0713</t>
        </is>
      </c>
      <c r="G150" s="3" t="n">
        <v>396600</v>
      </c>
      <c r="H150" s="3">
        <f>IF(E150="Maharashtra",ROUND(G150*9%,0),0)</f>
        <v/>
      </c>
      <c r="I150" s="3">
        <f>IF(E150="Maharashtra",ROUND(G150*9%,0),0)</f>
        <v/>
      </c>
      <c r="J150" s="3">
        <f>IF(E150="Maharashtra",0,ROUND(G150*18%,0))</f>
        <v/>
      </c>
      <c r="K150" s="3">
        <f>SUM(G150:J150)</f>
        <v/>
      </c>
    </row>
    <row r="151">
      <c r="A151" t="inlineStr">
        <is>
          <t>SAF/26-27/1150</t>
        </is>
      </c>
      <c r="B151" s="17" t="n">
        <v>46335</v>
      </c>
      <c r="C151" t="inlineStr">
        <is>
          <t>Gujarat Agro Mart</t>
        </is>
      </c>
      <c r="D151" t="inlineStr">
        <is>
          <t>24AAGCG5530R1Z1</t>
        </is>
      </c>
      <c r="E151" t="inlineStr">
        <is>
          <t>Gujarat</t>
        </is>
      </c>
      <c r="F151" t="inlineStr">
        <is>
          <t>0910</t>
        </is>
      </c>
      <c r="G151" s="3" t="n">
        <v>214550</v>
      </c>
      <c r="H151" s="3">
        <f>IF(E151="Maharashtra",ROUND(G151*9%,0),0)</f>
        <v/>
      </c>
      <c r="I151" s="3">
        <f>IF(E151="Maharashtra",ROUND(G151*9%,0),0)</f>
        <v/>
      </c>
      <c r="J151" s="3">
        <f>IF(E151="Maharashtra",0,ROUND(G151*18%,0))</f>
        <v/>
      </c>
      <c r="K151" s="3">
        <f>SUM(G151:J151)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18" customWidth="1" min="4" max="4"/>
    <col width="16" customWidth="1" min="5" max="5"/>
    <col width="10" customWidth="1" min="6" max="6"/>
    <col width="17" customWidth="1" min="7" max="7"/>
    <col width="11" customWidth="1" min="8" max="8"/>
    <col width="11" customWidth="1" min="9" max="9"/>
    <col width="11" customWidth="1" min="10" max="10"/>
    <col width="17" customWidth="1" min="11" max="11"/>
  </cols>
  <sheetData>
    <row r="1">
      <c r="A1" s="2" t="inlineStr">
        <is>
          <t>Invoice No</t>
        </is>
      </c>
      <c r="B1" s="2" t="inlineStr">
        <is>
          <t>Invoice Date</t>
        </is>
      </c>
      <c r="C1" s="2" t="inlineStr">
        <is>
          <t>Customer</t>
        </is>
      </c>
      <c r="D1" s="2" t="inlineStr">
        <is>
          <t>GSTIN</t>
        </is>
      </c>
      <c r="E1" s="2" t="inlineStr">
        <is>
          <t>Place of Supply</t>
        </is>
      </c>
      <c r="F1" s="2" t="inlineStr">
        <is>
          <t>HSN Code</t>
        </is>
      </c>
      <c r="G1" s="2" t="inlineStr">
        <is>
          <t>Taxable Value (₹)</t>
        </is>
      </c>
      <c r="H1" s="2" t="inlineStr">
        <is>
          <t>CGST (₹)</t>
        </is>
      </c>
      <c r="I1" s="2" t="inlineStr">
        <is>
          <t>SGST (₹)</t>
        </is>
      </c>
      <c r="J1" s="2" t="inlineStr">
        <is>
          <t>IGST (₹)</t>
        </is>
      </c>
      <c r="K1" s="2" t="inlineStr">
        <is>
          <t>Invoice Total (₹)</t>
        </is>
      </c>
    </row>
    <row r="2">
      <c r="A2" t="inlineStr">
        <is>
          <t>SAF/26-27/1001</t>
        </is>
      </c>
      <c r="B2" s="17" t="n">
        <v>46115</v>
      </c>
      <c r="C2" t="inlineStr">
        <is>
          <t>Chennai Spice House</t>
        </is>
      </c>
      <c r="D2" t="inlineStr">
        <is>
          <t>33AACFC3305D1Z4</t>
        </is>
      </c>
      <c r="E2" t="inlineStr">
        <is>
          <t>Tamil Nadu</t>
        </is>
      </c>
      <c r="F2" t="inlineStr">
        <is>
          <t>1101</t>
        </is>
      </c>
      <c r="G2" s="3" t="n">
        <v>174250</v>
      </c>
      <c r="H2" s="3">
        <f>IF(E2="Maharashtra",ROUND(G2*9%,0),0)</f>
        <v/>
      </c>
      <c r="I2" s="3">
        <f>IF(E2="Maharashtra",ROUND(G2*9%,0),0)</f>
        <v/>
      </c>
      <c r="J2" s="3">
        <f>IF(E2="Maharashtra",0,ROUND(G2*18%,0))</f>
        <v/>
      </c>
      <c r="K2" s="3">
        <f>SUM(G2:J2)</f>
        <v/>
      </c>
    </row>
    <row r="3">
      <c r="A3" t="inlineStr">
        <is>
          <t>SAF/26-27/1002</t>
        </is>
      </c>
      <c r="B3" s="17" t="n">
        <v>46116</v>
      </c>
      <c r="C3" t="inlineStr">
        <is>
          <t>Konkan Fresh</t>
        </is>
      </c>
      <c r="D3" t="inlineStr">
        <is>
          <t>27AAKCK6638P1Z9</t>
        </is>
      </c>
      <c r="E3" t="inlineStr">
        <is>
          <t>Maharashtra</t>
        </is>
      </c>
      <c r="F3" t="inlineStr">
        <is>
          <t>1006</t>
        </is>
      </c>
      <c r="G3" s="3" t="n">
        <v>362400</v>
      </c>
      <c r="H3" s="3">
        <f>IF(E3="Maharashtra",ROUND(G3*9%,0),0)</f>
        <v/>
      </c>
      <c r="I3" s="3">
        <f>IF(E3="Maharashtra",ROUND(G3*9%,0),0)</f>
        <v/>
      </c>
      <c r="J3" s="3">
        <f>IF(E3="Maharashtra",0,ROUND(G3*18%,0))</f>
        <v/>
      </c>
      <c r="K3" s="3">
        <f>SUM(G3:J3)</f>
        <v/>
      </c>
    </row>
    <row r="4">
      <c r="A4" t="inlineStr">
        <is>
          <t>SAF/26-27/1003</t>
        </is>
      </c>
      <c r="B4" s="17" t="n">
        <v>46118</v>
      </c>
      <c r="C4" t="inlineStr">
        <is>
          <t>Chennai Spice House</t>
        </is>
      </c>
      <c r="D4" t="inlineStr">
        <is>
          <t>33AACFC3305D1Z4</t>
        </is>
      </c>
      <c r="E4" t="inlineStr">
        <is>
          <t>Tamil Nadu</t>
        </is>
      </c>
      <c r="F4" t="inlineStr">
        <is>
          <t>1006</t>
        </is>
      </c>
      <c r="G4" s="3" t="n">
        <v>444350</v>
      </c>
      <c r="H4" s="3">
        <f>IF(E4="Maharashtra",ROUND(G4*9%,0),0)</f>
        <v/>
      </c>
      <c r="I4" s="3">
        <f>IF(E4="Maharashtra",ROUND(G4*9%,0),0)</f>
        <v/>
      </c>
      <c r="J4" s="3">
        <f>IF(E4="Maharashtra",0,ROUND(G4*18%,0))</f>
        <v/>
      </c>
      <c r="K4" s="3">
        <f>SUM(G4:J4)</f>
        <v/>
      </c>
    </row>
    <row r="5">
      <c r="A5" t="inlineStr">
        <is>
          <t>SAF/26-27/1004</t>
        </is>
      </c>
      <c r="B5" s="17" t="n">
        <v>46119</v>
      </c>
      <c r="C5" t="inlineStr">
        <is>
          <t>Gujarat Agro Mart</t>
        </is>
      </c>
      <c r="D5" t="inlineStr">
        <is>
          <t>24AAGCG5530R1Z1</t>
        </is>
      </c>
      <c r="E5" t="inlineStr">
        <is>
          <t>Gujarat</t>
        </is>
      </c>
      <c r="F5" t="inlineStr">
        <is>
          <t>0902</t>
        </is>
      </c>
      <c r="G5" s="3" t="n">
        <v>416900</v>
      </c>
      <c r="H5" s="3">
        <f>IF(E5="Maharashtra",ROUND(G5*9%,0),0)</f>
        <v/>
      </c>
      <c r="I5" s="3">
        <f>IF(E5="Maharashtra",ROUND(G5*9%,0),0)</f>
        <v/>
      </c>
      <c r="J5" s="3">
        <f>IF(E5="Maharashtra",0,ROUND(G5*18%,0))</f>
        <v/>
      </c>
      <c r="K5" s="3">
        <f>SUM(G5:J5)</f>
        <v/>
      </c>
    </row>
    <row r="6">
      <c r="A6" t="inlineStr">
        <is>
          <t>SAF/26-27/1005</t>
        </is>
      </c>
      <c r="B6" s="17" t="n">
        <v>46122</v>
      </c>
      <c r="C6" t="inlineStr">
        <is>
          <t>Gujarat Agro Mart</t>
        </is>
      </c>
      <c r="D6" t="inlineStr">
        <is>
          <t>24AAGCG5530R1Z1</t>
        </is>
      </c>
      <c r="E6" t="inlineStr">
        <is>
          <t>Gujarat</t>
        </is>
      </c>
      <c r="F6" t="inlineStr">
        <is>
          <t>1101</t>
        </is>
      </c>
      <c r="G6" s="3" t="n">
        <v>279650</v>
      </c>
      <c r="H6" s="3">
        <f>IF(E6="Maharashtra",ROUND(G6*9%,0),0)</f>
        <v/>
      </c>
      <c r="I6" s="3">
        <f>IF(E6="Maharashtra",ROUND(G6*9%,0),0)</f>
        <v/>
      </c>
      <c r="J6" s="3">
        <f>IF(E6="Maharashtra",0,ROUND(G6*18%,0))</f>
        <v/>
      </c>
      <c r="K6" s="3">
        <f>SUM(G6:J6)</f>
        <v/>
      </c>
    </row>
    <row r="7">
      <c r="A7" t="inlineStr">
        <is>
          <t>SAF/26-27/1006</t>
        </is>
      </c>
      <c r="B7" s="17" t="n">
        <v>46124</v>
      </c>
      <c r="C7" t="inlineStr">
        <is>
          <t>Annapurna Stores</t>
        </is>
      </c>
      <c r="D7" t="inlineStr">
        <is>
          <t>27AABPA2219L1ZQ</t>
        </is>
      </c>
      <c r="E7" t="inlineStr">
        <is>
          <t>Maharashtra</t>
        </is>
      </c>
      <c r="F7" t="inlineStr">
        <is>
          <t>1101</t>
        </is>
      </c>
      <c r="G7" s="3" t="n">
        <v>392850</v>
      </c>
      <c r="H7" s="3">
        <f>IF(E7="Maharashtra",ROUND(G7*9%,0),0)</f>
        <v/>
      </c>
      <c r="I7" s="3">
        <f>IF(E7="Maharashtra",ROUND(G7*9%,0),0)</f>
        <v/>
      </c>
      <c r="J7" s="3">
        <f>IF(E7="Maharashtra",0,ROUND(G7*18%,0))</f>
        <v/>
      </c>
      <c r="K7" s="3">
        <f>SUM(G7:J7)</f>
        <v/>
      </c>
    </row>
    <row r="8">
      <c r="A8" t="inlineStr">
        <is>
          <t>SAF/26-27/1007</t>
        </is>
      </c>
      <c r="B8" s="17" t="n">
        <v>46124</v>
      </c>
      <c r="C8" t="inlineStr">
        <is>
          <t>Gujarat Agro Mart</t>
        </is>
      </c>
      <c r="D8" t="inlineStr">
        <is>
          <t>24AAGCG5530R1Z1</t>
        </is>
      </c>
      <c r="E8" t="inlineStr">
        <is>
          <t>Gujarat</t>
        </is>
      </c>
      <c r="F8" t="inlineStr">
        <is>
          <t>0910</t>
        </is>
      </c>
      <c r="G8" s="3" t="n">
        <v>378100</v>
      </c>
      <c r="H8" s="3">
        <f>IF(E8="Maharashtra",ROUND(G8*9%,0),0)</f>
        <v/>
      </c>
      <c r="I8" s="3">
        <f>IF(E8="Maharashtra",ROUND(G8*9%,0),0)</f>
        <v/>
      </c>
      <c r="J8" s="3">
        <f>IF(E8="Maharashtra",0,ROUND(G8*18%,0))</f>
        <v/>
      </c>
      <c r="K8" s="3">
        <f>SUM(G8:J8)</f>
        <v/>
      </c>
    </row>
    <row r="9">
      <c r="A9" t="inlineStr">
        <is>
          <t>SAF/26-27/1008</t>
        </is>
      </c>
      <c r="B9" s="17" t="n">
        <v>46126</v>
      </c>
      <c r="C9" t="inlineStr">
        <is>
          <t>Chennai Spice House</t>
        </is>
      </c>
      <c r="D9" t="inlineStr">
        <is>
          <t>33AACFC3305D1Z4</t>
        </is>
      </c>
      <c r="E9" t="inlineStr">
        <is>
          <t>Tamil Nadu</t>
        </is>
      </c>
      <c r="F9" t="inlineStr">
        <is>
          <t>0910</t>
        </is>
      </c>
      <c r="G9" s="3" t="n">
        <v>49550</v>
      </c>
      <c r="H9" s="3">
        <f>IF(E9="Maharashtra",ROUND(G9*9%,0),0)</f>
        <v/>
      </c>
      <c r="I9" s="3">
        <f>IF(E9="Maharashtra",ROUND(G9*9%,0),0)</f>
        <v/>
      </c>
      <c r="J9" s="3">
        <f>IF(E9="Maharashtra",0,ROUND(G9*18%,0))</f>
        <v/>
      </c>
      <c r="K9" s="3">
        <f>SUM(G9:J9)</f>
        <v/>
      </c>
    </row>
    <row r="10">
      <c r="A10" t="inlineStr">
        <is>
          <t>SAF/26-27/1009</t>
        </is>
      </c>
      <c r="B10" s="17" t="n">
        <v>46127</v>
      </c>
      <c r="C10" t="inlineStr">
        <is>
          <t>Balaji Wholesale</t>
        </is>
      </c>
      <c r="D10" t="inlineStr">
        <is>
          <t>29AADFB7314K1Z8</t>
        </is>
      </c>
      <c r="E10" t="inlineStr">
        <is>
          <t>Karnataka</t>
        </is>
      </c>
      <c r="F10" t="inlineStr">
        <is>
          <t>1006</t>
        </is>
      </c>
      <c r="G10" s="3" t="n">
        <v>323250</v>
      </c>
      <c r="H10" s="3">
        <f>IF(E10="Maharashtra",ROUND(G10*9%,0),0)</f>
        <v/>
      </c>
      <c r="I10" s="3">
        <f>IF(E10="Maharashtra",ROUND(G10*9%,0),0)</f>
        <v/>
      </c>
      <c r="J10" s="3">
        <f>IF(E10="Maharashtra",0,ROUND(G10*18%,0))</f>
        <v/>
      </c>
      <c r="K10" s="3">
        <f>SUM(G10:J10)</f>
        <v/>
      </c>
    </row>
    <row r="11">
      <c r="A11" t="inlineStr">
        <is>
          <t>SAF/26-27/1010</t>
        </is>
      </c>
      <c r="B11" s="17" t="n">
        <v>46128</v>
      </c>
      <c r="C11" t="inlineStr">
        <is>
          <t>Shree Krishna Traders</t>
        </is>
      </c>
      <c r="D11" t="inlineStr">
        <is>
          <t>27AAKFS4821M1Z3</t>
        </is>
      </c>
      <c r="E11" t="inlineStr">
        <is>
          <t>Maharashtra</t>
        </is>
      </c>
      <c r="F11" t="inlineStr">
        <is>
          <t>0902</t>
        </is>
      </c>
      <c r="G11" s="3" t="n">
        <v>186450</v>
      </c>
      <c r="H11" s="3">
        <f>IF(E11="Maharashtra",ROUND(G11*9%,0),0)</f>
        <v/>
      </c>
      <c r="I11" s="3">
        <f>IF(E11="Maharashtra",ROUND(G11*9%,0),0)</f>
        <v/>
      </c>
      <c r="J11" s="3">
        <f>IF(E11="Maharashtra",0,ROUND(G11*18%,0))</f>
        <v/>
      </c>
      <c r="K11" s="3">
        <f>SUM(G11:J11)</f>
        <v/>
      </c>
    </row>
    <row r="12">
      <c r="A12" t="inlineStr">
        <is>
          <t>SAF/26-27/1011</t>
        </is>
      </c>
      <c r="B12" s="17" t="n">
        <v>46129</v>
      </c>
      <c r="C12" t="inlineStr">
        <is>
          <t>Balaji Wholesale</t>
        </is>
      </c>
      <c r="D12" t="inlineStr">
        <is>
          <t>29AADFB7314K1Z8</t>
        </is>
      </c>
      <c r="E12" t="inlineStr">
        <is>
          <t>Karnataka</t>
        </is>
      </c>
      <c r="F12" t="inlineStr">
        <is>
          <t>0910</t>
        </is>
      </c>
      <c r="G12" s="3" t="n">
        <v>116400</v>
      </c>
      <c r="H12" s="3">
        <f>IF(E12="Maharashtra",ROUND(G12*9%,0),0)</f>
        <v/>
      </c>
      <c r="I12" s="3">
        <f>IF(E12="Maharashtra",ROUND(G12*9%,0),0)</f>
        <v/>
      </c>
      <c r="J12" s="3">
        <f>IF(E12="Maharashtra",0,ROUND(G12*18%,0))</f>
        <v/>
      </c>
      <c r="K12" s="3">
        <f>SUM(G12:J12)</f>
        <v/>
      </c>
    </row>
    <row r="13">
      <c r="A13" t="inlineStr">
        <is>
          <t>SAF/26-27/1012</t>
        </is>
      </c>
      <c r="B13" s="17" t="n">
        <v>46130</v>
      </c>
      <c r="C13" t="inlineStr">
        <is>
          <t>Gujarat Agro Mart</t>
        </is>
      </c>
      <c r="D13" t="inlineStr">
        <is>
          <t>24AAGCG5530R1Z1</t>
        </is>
      </c>
      <c r="E13" t="inlineStr">
        <is>
          <t>Gujarat</t>
        </is>
      </c>
      <c r="F13" t="inlineStr">
        <is>
          <t>1101</t>
        </is>
      </c>
      <c r="G13" s="3" t="n">
        <v>206750</v>
      </c>
      <c r="H13" s="3">
        <f>IF(E13="Maharashtra",ROUND(G13*9%,0),0)</f>
        <v/>
      </c>
      <c r="I13" s="3">
        <f>IF(E13="Maharashtra",ROUND(G13*9%,0),0)</f>
        <v/>
      </c>
      <c r="J13" s="3">
        <f>IF(E13="Maharashtra",0,ROUND(G13*18%,0))</f>
        <v/>
      </c>
      <c r="K13" s="3">
        <f>SUM(G13:J13)</f>
        <v/>
      </c>
    </row>
    <row r="14">
      <c r="A14" t="inlineStr">
        <is>
          <t>SAF/26-27/1013</t>
        </is>
      </c>
      <c r="B14" s="17" t="n">
        <v>46131</v>
      </c>
      <c r="C14" t="inlineStr">
        <is>
          <t>Malwa Kirana</t>
        </is>
      </c>
      <c r="D14" t="inlineStr">
        <is>
          <t>23AAMFM1147C1ZT</t>
        </is>
      </c>
      <c r="E14" t="inlineStr">
        <is>
          <t>Madhya Pradesh</t>
        </is>
      </c>
      <c r="F14" t="inlineStr">
        <is>
          <t>0902</t>
        </is>
      </c>
      <c r="G14" s="3" t="n">
        <v>256700</v>
      </c>
      <c r="H14" s="3">
        <f>IF(E14="Maharashtra",ROUND(G14*9%,0),0)</f>
        <v/>
      </c>
      <c r="I14" s="3">
        <f>IF(E14="Maharashtra",ROUND(G14*9%,0),0)</f>
        <v/>
      </c>
      <c r="J14" s="3">
        <f>IF(E14="Maharashtra",0,ROUND(G14*18%,0))</f>
        <v/>
      </c>
      <c r="K14" s="3">
        <f>SUM(G14:J14)</f>
        <v/>
      </c>
    </row>
    <row r="15">
      <c r="A15" t="inlineStr">
        <is>
          <t>SAF/26-27/1014</t>
        </is>
      </c>
      <c r="B15" s="17" t="n">
        <v>46132</v>
      </c>
      <c r="C15" t="inlineStr">
        <is>
          <t>Malwa Kirana</t>
        </is>
      </c>
      <c r="D15" t="inlineStr">
        <is>
          <t>23AAMFM1147C1ZT</t>
        </is>
      </c>
      <c r="E15" t="inlineStr">
        <is>
          <t>Madhya Pradesh</t>
        </is>
      </c>
      <c r="F15" t="inlineStr">
        <is>
          <t>1101</t>
        </is>
      </c>
      <c r="G15" s="3" t="n">
        <v>210500</v>
      </c>
      <c r="H15" s="3">
        <f>IF(E15="Maharashtra",ROUND(G15*9%,0),0)</f>
        <v/>
      </c>
      <c r="I15" s="3">
        <f>IF(E15="Maharashtra",ROUND(G15*9%,0),0)</f>
        <v/>
      </c>
      <c r="J15" s="3">
        <f>IF(E15="Maharashtra",0,ROUND(G15*18%,0))</f>
        <v/>
      </c>
      <c r="K15" s="3">
        <f>SUM(G15:J15)</f>
        <v/>
      </c>
    </row>
    <row r="16">
      <c r="A16" t="inlineStr">
        <is>
          <t>SAF/26-27/1015</t>
        </is>
      </c>
      <c r="B16" s="17" t="n">
        <v>46133</v>
      </c>
      <c r="C16" t="inlineStr">
        <is>
          <t>Shree Krishna Traders</t>
        </is>
      </c>
      <c r="D16" t="inlineStr">
        <is>
          <t>27AAKFS4821M1Z3</t>
        </is>
      </c>
      <c r="E16" t="inlineStr">
        <is>
          <t>Maharashtra</t>
        </is>
      </c>
      <c r="F16" t="inlineStr">
        <is>
          <t>0713</t>
        </is>
      </c>
      <c r="G16" s="3" t="n">
        <v>171400</v>
      </c>
      <c r="H16" s="3">
        <f>IF(E16="Maharashtra",ROUND(G16*9%,0),0)</f>
        <v/>
      </c>
      <c r="I16" s="3">
        <f>IF(E16="Maharashtra",ROUND(G16*9%,0),0)</f>
        <v/>
      </c>
      <c r="J16" s="3">
        <f>IF(E16="Maharashtra",0,ROUND(G16*18%,0))</f>
        <v/>
      </c>
      <c r="K16" s="3">
        <f>SUM(G16:J16)</f>
        <v/>
      </c>
    </row>
    <row r="17">
      <c r="A17" t="inlineStr">
        <is>
          <t>SAF/26-27/1016</t>
        </is>
      </c>
      <c r="B17" s="17" t="n">
        <v>46135</v>
      </c>
      <c r="C17" t="inlineStr">
        <is>
          <t>Konkan Fresh</t>
        </is>
      </c>
      <c r="D17" t="inlineStr">
        <is>
          <t>27AAKCK6638P1Z9</t>
        </is>
      </c>
      <c r="E17" t="inlineStr">
        <is>
          <t>Maharashtra</t>
        </is>
      </c>
      <c r="F17" t="inlineStr">
        <is>
          <t>0713</t>
        </is>
      </c>
      <c r="G17" s="3" t="n">
        <v>295550</v>
      </c>
      <c r="H17" s="3">
        <f>IF(E17="Maharashtra",ROUND(G17*9%,0),0)</f>
        <v/>
      </c>
      <c r="I17" s="3">
        <f>IF(E17="Maharashtra",ROUND(G17*9%,0),0)</f>
        <v/>
      </c>
      <c r="J17" s="3">
        <f>IF(E17="Maharashtra",0,ROUND(G17*18%,0))</f>
        <v/>
      </c>
      <c r="K17" s="3">
        <f>SUM(G17:J17)</f>
        <v/>
      </c>
    </row>
    <row r="18">
      <c r="A18" t="inlineStr">
        <is>
          <t>SAF/26-27/1017</t>
        </is>
      </c>
      <c r="B18" s="17" t="n">
        <v>46136</v>
      </c>
      <c r="C18" t="inlineStr">
        <is>
          <t>Konkan Fresh</t>
        </is>
      </c>
      <c r="D18" t="inlineStr">
        <is>
          <t>27AAKCK6638P1Z9</t>
        </is>
      </c>
      <c r="E18" t="inlineStr">
        <is>
          <t>Maharashtra</t>
        </is>
      </c>
      <c r="F18" t="inlineStr">
        <is>
          <t>0902</t>
        </is>
      </c>
      <c r="G18" s="3" t="n">
        <v>209100</v>
      </c>
      <c r="H18" s="3">
        <f>IF(E18="Maharashtra",ROUND(G18*9%,0),0)</f>
        <v/>
      </c>
      <c r="I18" s="3">
        <f>IF(E18="Maharashtra",ROUND(G18*9%,0),0)</f>
        <v/>
      </c>
      <c r="J18" s="3">
        <f>IF(E18="Maharashtra",0,ROUND(G18*18%,0))</f>
        <v/>
      </c>
      <c r="K18" s="3">
        <f>SUM(G18:J18)</f>
        <v/>
      </c>
    </row>
    <row r="19">
      <c r="A19" t="inlineStr">
        <is>
          <t>SAF/26-27/1018</t>
        </is>
      </c>
      <c r="B19" s="17" t="n">
        <v>46139</v>
      </c>
      <c r="C19" t="inlineStr">
        <is>
          <t>Malwa Kirana</t>
        </is>
      </c>
      <c r="D19" t="inlineStr">
        <is>
          <t>23AAMFM1147C1ZT</t>
        </is>
      </c>
      <c r="E19" t="inlineStr">
        <is>
          <t>Madhya Pradesh</t>
        </is>
      </c>
      <c r="F19" t="inlineStr">
        <is>
          <t>0910</t>
        </is>
      </c>
      <c r="G19" s="3" t="n">
        <v>102950</v>
      </c>
      <c r="H19" s="3">
        <f>IF(E19="Maharashtra",ROUND(G19*9%,0),0)</f>
        <v/>
      </c>
      <c r="I19" s="3">
        <f>IF(E19="Maharashtra",ROUND(G19*9%,0),0)</f>
        <v/>
      </c>
      <c r="J19" s="3">
        <f>IF(E19="Maharashtra",0,ROUND(G19*18%,0))</f>
        <v/>
      </c>
      <c r="K19" s="3">
        <f>SUM(G19:J19)</f>
        <v/>
      </c>
    </row>
    <row r="20">
      <c r="A20" t="inlineStr">
        <is>
          <t>SAF/26-27/1019</t>
        </is>
      </c>
      <c r="B20" s="17" t="n">
        <v>46140</v>
      </c>
      <c r="C20" t="inlineStr">
        <is>
          <t>Malwa Kirana</t>
        </is>
      </c>
      <c r="D20" t="inlineStr">
        <is>
          <t>23AAMFM1147C1ZT</t>
        </is>
      </c>
      <c r="E20" t="inlineStr">
        <is>
          <t>Madhya Pradesh</t>
        </is>
      </c>
      <c r="F20" t="inlineStr">
        <is>
          <t>1006</t>
        </is>
      </c>
      <c r="G20" s="3" t="n">
        <v>78250</v>
      </c>
      <c r="H20" s="3">
        <f>IF(E20="Maharashtra",ROUND(G20*9%,0),0)</f>
        <v/>
      </c>
      <c r="I20" s="3">
        <f>IF(E20="Maharashtra",ROUND(G20*9%,0),0)</f>
        <v/>
      </c>
      <c r="J20" s="3">
        <f>IF(E20="Maharashtra",0,ROUND(G20*18%,0))</f>
        <v/>
      </c>
      <c r="K20" s="3">
        <f>SUM(G20:J20)</f>
        <v/>
      </c>
    </row>
    <row r="21">
      <c r="A21" t="inlineStr">
        <is>
          <t>SAF/26-27/1020</t>
        </is>
      </c>
      <c r="B21" s="17" t="n">
        <v>46143</v>
      </c>
      <c r="C21" t="inlineStr">
        <is>
          <t>Konkan Fresh</t>
        </is>
      </c>
      <c r="D21" t="inlineStr">
        <is>
          <t>27AAKCK6638P1Z9</t>
        </is>
      </c>
      <c r="E21" t="inlineStr">
        <is>
          <t>Maharashtra</t>
        </is>
      </c>
      <c r="F21" t="inlineStr">
        <is>
          <t>0713</t>
        </is>
      </c>
      <c r="G21" s="3" t="n">
        <v>273400</v>
      </c>
      <c r="H21" s="3">
        <f>IF(E21="Maharashtra",ROUND(G21*9%,0),0)</f>
        <v/>
      </c>
      <c r="I21" s="3">
        <f>IF(E21="Maharashtra",ROUND(G21*9%,0),0)</f>
        <v/>
      </c>
      <c r="J21" s="3">
        <f>IF(E21="Maharashtra",0,ROUND(G21*18%,0))</f>
        <v/>
      </c>
      <c r="K21" s="3">
        <f>SUM(G21:J21)</f>
        <v/>
      </c>
    </row>
    <row r="22">
      <c r="A22" t="inlineStr">
        <is>
          <t>SAF/26-27/1021</t>
        </is>
      </c>
      <c r="B22" s="17" t="n">
        <v>46143</v>
      </c>
      <c r="C22" t="inlineStr">
        <is>
          <t>Deccan Retail</t>
        </is>
      </c>
      <c r="D22" t="inlineStr">
        <is>
          <t>36AAECD9902H1Z6</t>
        </is>
      </c>
      <c r="E22" t="inlineStr">
        <is>
          <t>Telangana</t>
        </is>
      </c>
      <c r="F22" t="inlineStr">
        <is>
          <t>0902</t>
        </is>
      </c>
      <c r="G22" s="3" t="n">
        <v>218300</v>
      </c>
      <c r="H22" s="3">
        <f>IF(E22="Maharashtra",ROUND(G22*9%,0),0)</f>
        <v/>
      </c>
      <c r="I22" s="3">
        <f>IF(E22="Maharashtra",ROUND(G22*9%,0),0)</f>
        <v/>
      </c>
      <c r="J22" s="3">
        <f>IF(E22="Maharashtra",0,ROUND(G22*18%,0))</f>
        <v/>
      </c>
      <c r="K22" s="3">
        <f>SUM(G22:J22)</f>
        <v/>
      </c>
    </row>
    <row r="23">
      <c r="A23" t="inlineStr">
        <is>
          <t>SAF/26-27/1022</t>
        </is>
      </c>
      <c r="B23" s="17" t="n">
        <v>46146</v>
      </c>
      <c r="C23" t="inlineStr">
        <is>
          <t>Chennai Spice House</t>
        </is>
      </c>
      <c r="D23" t="inlineStr">
        <is>
          <t>33AACFC3305D1Z4</t>
        </is>
      </c>
      <c r="E23" t="inlineStr">
        <is>
          <t>Tamil Nadu</t>
        </is>
      </c>
      <c r="F23" t="inlineStr">
        <is>
          <t>0910</t>
        </is>
      </c>
      <c r="G23" s="3" t="n">
        <v>117550</v>
      </c>
      <c r="H23" s="3">
        <f>IF(E23="Maharashtra",ROUND(G23*9%,0),0)</f>
        <v/>
      </c>
      <c r="I23" s="3">
        <f>IF(E23="Maharashtra",ROUND(G23*9%,0),0)</f>
        <v/>
      </c>
      <c r="J23" s="3">
        <f>IF(E23="Maharashtra",0,ROUND(G23*18%,0))</f>
        <v/>
      </c>
      <c r="K23" s="3">
        <f>SUM(G23:J23)</f>
        <v/>
      </c>
    </row>
    <row r="24">
      <c r="A24" t="inlineStr">
        <is>
          <t>SAF/26-27/1023</t>
        </is>
      </c>
      <c r="B24" s="17" t="n">
        <v>46149</v>
      </c>
      <c r="C24" t="inlineStr">
        <is>
          <t>Annapurna Stores</t>
        </is>
      </c>
      <c r="D24" t="inlineStr">
        <is>
          <t>27AABPA2219L1ZQ</t>
        </is>
      </c>
      <c r="E24" t="inlineStr">
        <is>
          <t>Maharashtra</t>
        </is>
      </c>
      <c r="F24" t="inlineStr">
        <is>
          <t>0713</t>
        </is>
      </c>
      <c r="G24" s="3" t="n">
        <v>394350</v>
      </c>
      <c r="H24" s="3">
        <f>IF(E24="Maharashtra",ROUND(G24*9%,0),0)</f>
        <v/>
      </c>
      <c r="I24" s="3">
        <f>IF(E24="Maharashtra",ROUND(G24*9%,0),0)</f>
        <v/>
      </c>
      <c r="J24" s="3">
        <f>IF(E24="Maharashtra",0,ROUND(G24*18%,0))</f>
        <v/>
      </c>
      <c r="K24" s="3">
        <f>SUM(G24:J24)</f>
        <v/>
      </c>
    </row>
    <row r="25">
      <c r="A25" t="inlineStr">
        <is>
          <t>SAF/26-27/1024</t>
        </is>
      </c>
      <c r="B25" s="17" t="n">
        <v>46150</v>
      </c>
      <c r="C25" t="inlineStr">
        <is>
          <t>Chennai Spice House</t>
        </is>
      </c>
      <c r="D25" t="inlineStr">
        <is>
          <t>33AACFC3305D1Z4</t>
        </is>
      </c>
      <c r="E25" t="inlineStr">
        <is>
          <t>Tamil Nadu</t>
        </is>
      </c>
      <c r="F25" t="inlineStr">
        <is>
          <t>1006</t>
        </is>
      </c>
      <c r="G25" s="3" t="n">
        <v>24700</v>
      </c>
      <c r="H25" s="3">
        <f>IF(E25="Maharashtra",ROUND(G25*9%,0),0)</f>
        <v/>
      </c>
      <c r="I25" s="3">
        <f>IF(E25="Maharashtra",ROUND(G25*9%,0),0)</f>
        <v/>
      </c>
      <c r="J25" s="3">
        <f>IF(E25="Maharashtra",0,ROUND(G25*18%,0))</f>
        <v/>
      </c>
      <c r="K25" s="3">
        <f>SUM(G25:J25)</f>
        <v/>
      </c>
    </row>
    <row r="26">
      <c r="A26" t="inlineStr">
        <is>
          <t>SAF/26-27/1025</t>
        </is>
      </c>
      <c r="B26" s="17" t="n">
        <v>46151</v>
      </c>
      <c r="C26" t="inlineStr">
        <is>
          <t>Malwa Kirana</t>
        </is>
      </c>
      <c r="D26" t="inlineStr">
        <is>
          <t>23AAMFM1147C1ZT</t>
        </is>
      </c>
      <c r="E26" t="inlineStr">
        <is>
          <t>Madhya Pradesh</t>
        </is>
      </c>
      <c r="F26" t="inlineStr">
        <is>
          <t>1101</t>
        </is>
      </c>
      <c r="G26" s="3" t="n">
        <v>393600</v>
      </c>
      <c r="H26" s="3">
        <f>IF(E26="Maharashtra",ROUND(G26*9%,0),0)</f>
        <v/>
      </c>
      <c r="I26" s="3">
        <f>IF(E26="Maharashtra",ROUND(G26*9%,0),0)</f>
        <v/>
      </c>
      <c r="J26" s="3">
        <f>IF(E26="Maharashtra",0,ROUND(G26*18%,0))</f>
        <v/>
      </c>
      <c r="K26" s="3">
        <f>SUM(G26:J26)</f>
        <v/>
      </c>
    </row>
    <row r="27">
      <c r="A27" t="inlineStr">
        <is>
          <t>SAF/26-27/1026</t>
        </is>
      </c>
      <c r="B27" s="17" t="n">
        <v>46154</v>
      </c>
      <c r="C27" t="inlineStr">
        <is>
          <t>Annapurna Stores</t>
        </is>
      </c>
      <c r="D27" t="inlineStr">
        <is>
          <t>27AABPA2219L1ZQ</t>
        </is>
      </c>
      <c r="E27" t="inlineStr">
        <is>
          <t>Maharashtra</t>
        </is>
      </c>
      <c r="F27" t="inlineStr">
        <is>
          <t>1006</t>
        </is>
      </c>
      <c r="G27" s="3" t="n">
        <v>421450</v>
      </c>
      <c r="H27" s="3">
        <f>IF(E27="Maharashtra",ROUND(G27*9%,0),0)</f>
        <v/>
      </c>
      <c r="I27" s="3">
        <f>IF(E27="Maharashtra",ROUND(G27*9%,0),0)</f>
        <v/>
      </c>
      <c r="J27" s="3">
        <f>IF(E27="Maharashtra",0,ROUND(G27*18%,0))</f>
        <v/>
      </c>
      <c r="K27" s="3">
        <f>SUM(G27:J27)</f>
        <v/>
      </c>
    </row>
    <row r="28">
      <c r="A28" t="inlineStr">
        <is>
          <t>SAF/26-27/1027</t>
        </is>
      </c>
      <c r="B28" s="17" t="n">
        <v>46154</v>
      </c>
      <c r="C28" t="inlineStr">
        <is>
          <t>Gujarat Agro Mart</t>
        </is>
      </c>
      <c r="D28" t="inlineStr">
        <is>
          <t>24AAGCG5530R1Z1</t>
        </is>
      </c>
      <c r="E28" t="inlineStr">
        <is>
          <t>Gujarat</t>
        </is>
      </c>
      <c r="F28" t="inlineStr">
        <is>
          <t>0713</t>
        </is>
      </c>
      <c r="G28" s="3" t="n">
        <v>140450</v>
      </c>
      <c r="H28" s="3">
        <f>IF(E28="Maharashtra",ROUND(G28*9%,0),0)</f>
        <v/>
      </c>
      <c r="I28" s="3">
        <f>IF(E28="Maharashtra",ROUND(G28*9%,0),0)</f>
        <v/>
      </c>
      <c r="J28" s="3">
        <f>IF(E28="Maharashtra",0,ROUND(G28*18%,0))</f>
        <v/>
      </c>
      <c r="K28" s="3">
        <f>SUM(G28:J28)</f>
        <v/>
      </c>
    </row>
    <row r="29">
      <c r="A29" t="inlineStr">
        <is>
          <t>SAF/26-27/1028</t>
        </is>
      </c>
      <c r="B29" s="17" t="n">
        <v>46154</v>
      </c>
      <c r="C29" t="inlineStr">
        <is>
          <t>Shree Krishna Traders</t>
        </is>
      </c>
      <c r="D29" t="inlineStr">
        <is>
          <t>27AAKFS4821M1Z3</t>
        </is>
      </c>
      <c r="E29" t="inlineStr">
        <is>
          <t>Maharashtra</t>
        </is>
      </c>
      <c r="F29" t="inlineStr">
        <is>
          <t>1006</t>
        </is>
      </c>
      <c r="G29" s="3" t="n">
        <v>418550</v>
      </c>
      <c r="H29" s="3">
        <f>IF(E29="Maharashtra",ROUND(G29*9%,0),0)</f>
        <v/>
      </c>
      <c r="I29" s="3">
        <f>IF(E29="Maharashtra",ROUND(G29*9%,0),0)</f>
        <v/>
      </c>
      <c r="J29" s="3">
        <f>IF(E29="Maharashtra",0,ROUND(G29*18%,0))</f>
        <v/>
      </c>
      <c r="K29" s="3">
        <f>SUM(G29:J29)</f>
        <v/>
      </c>
    </row>
    <row r="30">
      <c r="A30" t="inlineStr">
        <is>
          <t>SAF/26-27/1029</t>
        </is>
      </c>
      <c r="B30" s="17" t="n">
        <v>46156</v>
      </c>
      <c r="C30" t="inlineStr">
        <is>
          <t>Shree Krishna Traders</t>
        </is>
      </c>
      <c r="D30" t="inlineStr">
        <is>
          <t>27AAKFS4821M1Z3</t>
        </is>
      </c>
      <c r="E30" t="inlineStr">
        <is>
          <t>Maharashtra</t>
        </is>
      </c>
      <c r="F30" t="inlineStr">
        <is>
          <t>0910</t>
        </is>
      </c>
      <c r="G30" s="3" t="n">
        <v>171550</v>
      </c>
      <c r="H30" s="3">
        <f>IF(E30="Maharashtra",ROUND(G30*9%,0),0)</f>
        <v/>
      </c>
      <c r="I30" s="3">
        <f>IF(E30="Maharashtra",ROUND(G30*9%,0),0)</f>
        <v/>
      </c>
      <c r="J30" s="3">
        <f>IF(E30="Maharashtra",0,ROUND(G30*18%,0))</f>
        <v/>
      </c>
      <c r="K30" s="3">
        <f>SUM(G30:J30)</f>
        <v/>
      </c>
    </row>
    <row r="31">
      <c r="A31" t="inlineStr">
        <is>
          <t>SAF/26-27/1030</t>
        </is>
      </c>
      <c r="B31" s="17" t="n">
        <v>46159</v>
      </c>
      <c r="C31" t="inlineStr">
        <is>
          <t>Balaji Wholesale</t>
        </is>
      </c>
      <c r="D31" t="inlineStr">
        <is>
          <t>29AADFB7314K1Z8</t>
        </is>
      </c>
      <c r="E31" t="inlineStr">
        <is>
          <t>Karnataka</t>
        </is>
      </c>
      <c r="F31" t="inlineStr">
        <is>
          <t>0902</t>
        </is>
      </c>
      <c r="G31" s="3" t="n">
        <v>349650</v>
      </c>
      <c r="H31" s="3">
        <f>IF(E31="Maharashtra",ROUND(G31*9%,0),0)</f>
        <v/>
      </c>
      <c r="I31" s="3">
        <f>IF(E31="Maharashtra",ROUND(G31*9%,0),0)</f>
        <v/>
      </c>
      <c r="J31" s="3">
        <f>IF(E31="Maharashtra",0,ROUND(G31*18%,0))</f>
        <v/>
      </c>
      <c r="K31" s="3">
        <f>SUM(G31:J31)</f>
        <v/>
      </c>
    </row>
    <row r="32">
      <c r="A32" t="inlineStr">
        <is>
          <t>SAF/26-27/1031</t>
        </is>
      </c>
      <c r="B32" s="17" t="n">
        <v>46161</v>
      </c>
      <c r="C32" t="inlineStr">
        <is>
          <t>Shree Krishna Traders</t>
        </is>
      </c>
      <c r="D32" t="inlineStr">
        <is>
          <t>27AAKFS4821M1Z3</t>
        </is>
      </c>
      <c r="E32" t="inlineStr">
        <is>
          <t>Maharashtra</t>
        </is>
      </c>
      <c r="F32" t="inlineStr">
        <is>
          <t>0713</t>
        </is>
      </c>
      <c r="G32" s="3" t="n">
        <v>220150</v>
      </c>
      <c r="H32" s="3">
        <f>IF(E32="Maharashtra",ROUND(G32*9%,0),0)</f>
        <v/>
      </c>
      <c r="I32" s="3">
        <f>IF(E32="Maharashtra",ROUND(G32*9%,0),0)</f>
        <v/>
      </c>
      <c r="J32" s="3">
        <f>IF(E32="Maharashtra",0,ROUND(G32*18%,0))</f>
        <v/>
      </c>
      <c r="K32" s="3">
        <f>SUM(G32:J32)</f>
        <v/>
      </c>
    </row>
    <row r="33">
      <c r="A33" t="inlineStr">
        <is>
          <t>SAF/26-27/1032</t>
        </is>
      </c>
      <c r="B33" s="17" t="n">
        <v>46163</v>
      </c>
      <c r="C33" t="inlineStr">
        <is>
          <t>Chennai Spice House</t>
        </is>
      </c>
      <c r="D33" t="inlineStr">
        <is>
          <t>33AACFC3305D1Z4</t>
        </is>
      </c>
      <c r="E33" t="inlineStr">
        <is>
          <t>Tamil Nadu</t>
        </is>
      </c>
      <c r="F33" t="inlineStr">
        <is>
          <t>0902</t>
        </is>
      </c>
      <c r="G33" s="3" t="n">
        <v>203850</v>
      </c>
      <c r="H33" s="3">
        <f>IF(E33="Maharashtra",ROUND(G33*9%,0),0)</f>
        <v/>
      </c>
      <c r="I33" s="3">
        <f>IF(E33="Maharashtra",ROUND(G33*9%,0),0)</f>
        <v/>
      </c>
      <c r="J33" s="3">
        <f>IF(E33="Maharashtra",0,ROUND(G33*18%,0))</f>
        <v/>
      </c>
      <c r="K33" s="3">
        <f>SUM(G33:J33)</f>
        <v/>
      </c>
    </row>
    <row r="34">
      <c r="A34" t="inlineStr">
        <is>
          <t>SAF/26-27/1033</t>
        </is>
      </c>
      <c r="B34" s="17" t="n">
        <v>46165</v>
      </c>
      <c r="C34" t="inlineStr">
        <is>
          <t>Annapurna Stores</t>
        </is>
      </c>
      <c r="D34" t="inlineStr">
        <is>
          <t>27AABPA2219L1ZQ</t>
        </is>
      </c>
      <c r="E34" t="inlineStr">
        <is>
          <t>Maharashtra</t>
        </is>
      </c>
      <c r="F34" t="inlineStr">
        <is>
          <t>1006</t>
        </is>
      </c>
      <c r="G34" s="3" t="n">
        <v>196100</v>
      </c>
      <c r="H34" s="3">
        <f>IF(E34="Maharashtra",ROUND(G34*9%,0),0)</f>
        <v/>
      </c>
      <c r="I34" s="3">
        <f>IF(E34="Maharashtra",ROUND(G34*9%,0),0)</f>
        <v/>
      </c>
      <c r="J34" s="3">
        <f>IF(E34="Maharashtra",0,ROUND(G34*18%,0))</f>
        <v/>
      </c>
      <c r="K34" s="3">
        <f>SUM(G34:J34)</f>
        <v/>
      </c>
    </row>
    <row r="35">
      <c r="A35" t="inlineStr">
        <is>
          <t>SAF/26-27/1034</t>
        </is>
      </c>
      <c r="B35" s="17" t="n">
        <v>46167</v>
      </c>
      <c r="C35" t="inlineStr">
        <is>
          <t>Chennai Spice House</t>
        </is>
      </c>
      <c r="D35" t="inlineStr">
        <is>
          <t>33AACFC3305D1Z4</t>
        </is>
      </c>
      <c r="E35" t="inlineStr">
        <is>
          <t>Tamil Nadu</t>
        </is>
      </c>
      <c r="F35" t="inlineStr">
        <is>
          <t>0713</t>
        </is>
      </c>
      <c r="G35" s="3" t="n">
        <v>203800</v>
      </c>
      <c r="H35" s="3">
        <f>IF(E35="Maharashtra",ROUND(G35*9%,0),0)</f>
        <v/>
      </c>
      <c r="I35" s="3">
        <f>IF(E35="Maharashtra",ROUND(G35*9%,0),0)</f>
        <v/>
      </c>
      <c r="J35" s="3">
        <f>IF(E35="Maharashtra",0,ROUND(G35*18%,0))</f>
        <v/>
      </c>
      <c r="K35" s="3">
        <f>SUM(G35:J35)</f>
        <v/>
      </c>
    </row>
    <row r="36">
      <c r="A36" t="inlineStr">
        <is>
          <t>SAF/26-27/1035</t>
        </is>
      </c>
      <c r="B36" s="17" t="n">
        <v>46167</v>
      </c>
      <c r="C36" t="inlineStr">
        <is>
          <t>Gujarat Agro Mart</t>
        </is>
      </c>
      <c r="D36" t="inlineStr">
        <is>
          <t>24AAGCG5530R1Z1</t>
        </is>
      </c>
      <c r="E36" t="inlineStr">
        <is>
          <t>Gujarat</t>
        </is>
      </c>
      <c r="F36" t="inlineStr">
        <is>
          <t>1006</t>
        </is>
      </c>
      <c r="G36" s="3" t="n">
        <v>46650</v>
      </c>
      <c r="H36" s="3">
        <f>IF(E36="Maharashtra",ROUND(G36*9%,0),0)</f>
        <v/>
      </c>
      <c r="I36" s="3">
        <f>IF(E36="Maharashtra",ROUND(G36*9%,0),0)</f>
        <v/>
      </c>
      <c r="J36" s="3">
        <f>IF(E36="Maharashtra",0,ROUND(G36*18%,0))</f>
        <v/>
      </c>
      <c r="K36" s="3">
        <f>SUM(G36:J36)</f>
        <v/>
      </c>
    </row>
    <row r="37">
      <c r="A37" t="inlineStr">
        <is>
          <t>SAF/26-27/1036</t>
        </is>
      </c>
      <c r="B37" s="17" t="n">
        <v>46169</v>
      </c>
      <c r="C37" t="inlineStr">
        <is>
          <t>Shree Krishna Traders</t>
        </is>
      </c>
      <c r="D37" t="inlineStr">
        <is>
          <t>27AAKFS4821M1Z3</t>
        </is>
      </c>
      <c r="E37" t="inlineStr">
        <is>
          <t>Maharashtra</t>
        </is>
      </c>
      <c r="F37" t="inlineStr">
        <is>
          <t>0910</t>
        </is>
      </c>
      <c r="G37" s="3" t="n">
        <v>426600</v>
      </c>
      <c r="H37" s="3">
        <f>IF(E37="Maharashtra",ROUND(G37*9%,0),0)</f>
        <v/>
      </c>
      <c r="I37" s="3">
        <f>IF(E37="Maharashtra",ROUND(G37*9%,0),0)</f>
        <v/>
      </c>
      <c r="J37" s="3">
        <f>IF(E37="Maharashtra",0,ROUND(G37*18%,0))</f>
        <v/>
      </c>
      <c r="K37" s="3">
        <f>SUM(G37:J37)</f>
        <v/>
      </c>
    </row>
    <row r="38">
      <c r="A38" t="inlineStr">
        <is>
          <t>SAF/26-27/1037</t>
        </is>
      </c>
      <c r="B38" s="17" t="n">
        <v>46172</v>
      </c>
      <c r="C38" t="inlineStr">
        <is>
          <t>Konkan Fresh</t>
        </is>
      </c>
      <c r="D38" t="inlineStr">
        <is>
          <t>27AAKCK6638P1Z9</t>
        </is>
      </c>
      <c r="E38" t="inlineStr">
        <is>
          <t>Maharashtra</t>
        </is>
      </c>
      <c r="F38" t="inlineStr">
        <is>
          <t>1101</t>
        </is>
      </c>
      <c r="G38" s="3" t="n">
        <v>474250</v>
      </c>
      <c r="H38" s="3">
        <f>IF(E38="Maharashtra",ROUND(G38*9%,0),0)</f>
        <v/>
      </c>
      <c r="I38" s="3">
        <f>IF(E38="Maharashtra",ROUND(G38*9%,0),0)</f>
        <v/>
      </c>
      <c r="J38" s="3">
        <f>IF(E38="Maharashtra",0,ROUND(G38*18%,0))</f>
        <v/>
      </c>
      <c r="K38" s="3">
        <f>SUM(G38:J38)</f>
        <v/>
      </c>
    </row>
    <row r="39">
      <c r="A39" t="inlineStr">
        <is>
          <t>SAF/26-27/1038</t>
        </is>
      </c>
      <c r="B39" s="17" t="n">
        <v>46174</v>
      </c>
      <c r="C39" t="inlineStr">
        <is>
          <t>Malwa Kirana</t>
        </is>
      </c>
      <c r="D39" t="inlineStr">
        <is>
          <t>23AAMFM1147C1ZT</t>
        </is>
      </c>
      <c r="E39" t="inlineStr">
        <is>
          <t>Madhya Pradesh</t>
        </is>
      </c>
      <c r="F39" t="inlineStr">
        <is>
          <t>0910</t>
        </is>
      </c>
      <c r="G39" s="3" t="n">
        <v>137150</v>
      </c>
      <c r="H39" s="3">
        <f>IF(E39="Maharashtra",ROUND(G39*9%,0),0)</f>
        <v/>
      </c>
      <c r="I39" s="3">
        <f>IF(E39="Maharashtra",ROUND(G39*9%,0),0)</f>
        <v/>
      </c>
      <c r="J39" s="3">
        <f>IF(E39="Maharashtra",0,ROUND(G39*18%,0))</f>
        <v/>
      </c>
      <c r="K39" s="3">
        <f>SUM(G39:J39)</f>
        <v/>
      </c>
    </row>
    <row r="40">
      <c r="A40" t="inlineStr">
        <is>
          <t>SAF/26-27/1039</t>
        </is>
      </c>
      <c r="B40" s="17" t="n">
        <v>46175</v>
      </c>
      <c r="C40" t="inlineStr">
        <is>
          <t>Gujarat Agro Mart</t>
        </is>
      </c>
      <c r="D40" t="inlineStr">
        <is>
          <t>24AAGCG5530R1Z1</t>
        </is>
      </c>
      <c r="E40" t="inlineStr">
        <is>
          <t>Gujarat</t>
        </is>
      </c>
      <c r="F40" t="inlineStr">
        <is>
          <t>1006</t>
        </is>
      </c>
      <c r="G40" s="3" t="n">
        <v>463550</v>
      </c>
      <c r="H40" s="3">
        <f>IF(E40="Maharashtra",ROUND(G40*9%,0),0)</f>
        <v/>
      </c>
      <c r="I40" s="3">
        <f>IF(E40="Maharashtra",ROUND(G40*9%,0),0)</f>
        <v/>
      </c>
      <c r="J40" s="3">
        <f>IF(E40="Maharashtra",0,ROUND(G40*18%,0))</f>
        <v/>
      </c>
      <c r="K40" s="3">
        <f>SUM(G40:J40)</f>
        <v/>
      </c>
    </row>
    <row r="41">
      <c r="A41" t="inlineStr">
        <is>
          <t>SAF/26-27/1040</t>
        </is>
      </c>
      <c r="B41" s="17" t="n">
        <v>46178</v>
      </c>
      <c r="C41" t="inlineStr">
        <is>
          <t>Chennai Spice House</t>
        </is>
      </c>
      <c r="D41" t="inlineStr">
        <is>
          <t>33AACFC3305D1Z4</t>
        </is>
      </c>
      <c r="E41" t="inlineStr">
        <is>
          <t>Tamil Nadu</t>
        </is>
      </c>
      <c r="F41" t="inlineStr">
        <is>
          <t>1101</t>
        </is>
      </c>
      <c r="G41" s="3" t="n">
        <v>326950</v>
      </c>
      <c r="H41" s="3">
        <f>IF(E41="Maharashtra",ROUND(G41*9%,0),0)</f>
        <v/>
      </c>
      <c r="I41" s="3">
        <f>IF(E41="Maharashtra",ROUND(G41*9%,0),0)</f>
        <v/>
      </c>
      <c r="J41" s="3">
        <f>IF(E41="Maharashtra",0,ROUND(G41*18%,0))</f>
        <v/>
      </c>
      <c r="K41" s="3">
        <f>SUM(G41:J41)</f>
        <v/>
      </c>
    </row>
    <row r="42">
      <c r="A42" t="inlineStr">
        <is>
          <t>SAF/26-27/1041</t>
        </is>
      </c>
      <c r="B42" s="17" t="n">
        <v>46181</v>
      </c>
      <c r="C42" t="inlineStr">
        <is>
          <t>Balaji Wholesale</t>
        </is>
      </c>
      <c r="D42" t="inlineStr">
        <is>
          <t>29AADFB7314K1Z8</t>
        </is>
      </c>
      <c r="E42" t="inlineStr">
        <is>
          <t>Karnataka</t>
        </is>
      </c>
      <c r="F42" t="inlineStr">
        <is>
          <t>0910</t>
        </is>
      </c>
      <c r="G42" s="3" t="n">
        <v>213200</v>
      </c>
      <c r="H42" s="3">
        <f>IF(E42="Maharashtra",ROUND(G42*9%,0),0)</f>
        <v/>
      </c>
      <c r="I42" s="3">
        <f>IF(E42="Maharashtra",ROUND(G42*9%,0),0)</f>
        <v/>
      </c>
      <c r="J42" s="3">
        <f>IF(E42="Maharashtra",0,ROUND(G42*18%,0))</f>
        <v/>
      </c>
      <c r="K42" s="3">
        <f>SUM(G42:J42)</f>
        <v/>
      </c>
    </row>
    <row r="43">
      <c r="A43" t="inlineStr">
        <is>
          <t>SAF/26-27/1042</t>
        </is>
      </c>
      <c r="B43" s="17" t="n">
        <v>46182</v>
      </c>
      <c r="C43" t="inlineStr">
        <is>
          <t>Chennai Spice House</t>
        </is>
      </c>
      <c r="D43" t="inlineStr">
        <is>
          <t>33AACFC3305D1Z4</t>
        </is>
      </c>
      <c r="E43" t="inlineStr">
        <is>
          <t>Tamil Nadu</t>
        </is>
      </c>
      <c r="F43" t="inlineStr">
        <is>
          <t>0713</t>
        </is>
      </c>
      <c r="G43" s="3" t="n">
        <v>110350</v>
      </c>
      <c r="H43" s="3">
        <f>IF(E43="Maharashtra",ROUND(G43*9%,0),0)</f>
        <v/>
      </c>
      <c r="I43" s="3">
        <f>IF(E43="Maharashtra",ROUND(G43*9%,0),0)</f>
        <v/>
      </c>
      <c r="J43" s="3">
        <f>IF(E43="Maharashtra",0,ROUND(G43*18%,0))</f>
        <v/>
      </c>
      <c r="K43" s="3">
        <f>SUM(G43:J43)</f>
        <v/>
      </c>
    </row>
    <row r="44">
      <c r="A44" t="inlineStr">
        <is>
          <t>SAF/26-27/1043</t>
        </is>
      </c>
      <c r="B44" s="17" t="n">
        <v>46185</v>
      </c>
      <c r="C44" t="inlineStr">
        <is>
          <t>Deccan Retail</t>
        </is>
      </c>
      <c r="D44" t="inlineStr">
        <is>
          <t>36AAECD9902H1Z6</t>
        </is>
      </c>
      <c r="E44" t="inlineStr">
        <is>
          <t>Telangana</t>
        </is>
      </c>
      <c r="F44" t="inlineStr">
        <is>
          <t>0902</t>
        </is>
      </c>
      <c r="G44" s="3" t="n">
        <v>312900</v>
      </c>
      <c r="H44" s="3">
        <f>IF(E44="Maharashtra",ROUND(G44*9%,0),0)</f>
        <v/>
      </c>
      <c r="I44" s="3">
        <f>IF(E44="Maharashtra",ROUND(G44*9%,0),0)</f>
        <v/>
      </c>
      <c r="J44" s="3">
        <f>IF(E44="Maharashtra",0,ROUND(G44*18%,0))</f>
        <v/>
      </c>
      <c r="K44" s="3">
        <f>SUM(G44:J44)</f>
        <v/>
      </c>
    </row>
    <row r="45">
      <c r="A45" t="inlineStr">
        <is>
          <t>SAF/26-27/1044</t>
        </is>
      </c>
      <c r="B45" s="17" t="n">
        <v>46188</v>
      </c>
      <c r="C45" t="inlineStr">
        <is>
          <t>Konkan Fresh</t>
        </is>
      </c>
      <c r="D45" t="inlineStr">
        <is>
          <t>27AAKCK6638P1Z9</t>
        </is>
      </c>
      <c r="E45" t="inlineStr">
        <is>
          <t>Maharashtra</t>
        </is>
      </c>
      <c r="F45" t="inlineStr">
        <is>
          <t>0713</t>
        </is>
      </c>
      <c r="G45" s="3" t="n">
        <v>393000</v>
      </c>
      <c r="H45" s="3">
        <f>IF(E45="Maharashtra",ROUND(G45*9%,0),0)</f>
        <v/>
      </c>
      <c r="I45" s="3">
        <f>IF(E45="Maharashtra",ROUND(G45*9%,0),0)</f>
        <v/>
      </c>
      <c r="J45" s="3">
        <f>IF(E45="Maharashtra",0,ROUND(G45*18%,0))</f>
        <v/>
      </c>
      <c r="K45" s="3">
        <f>SUM(G45:J45)</f>
        <v/>
      </c>
    </row>
    <row r="46">
      <c r="A46" t="inlineStr">
        <is>
          <t>SAF/26-27/1045</t>
        </is>
      </c>
      <c r="B46" s="17" t="n">
        <v>46189</v>
      </c>
      <c r="C46" t="inlineStr">
        <is>
          <t>Shree Krishna Traders</t>
        </is>
      </c>
      <c r="D46" t="inlineStr">
        <is>
          <t>27AAKFS4821M1Z3</t>
        </is>
      </c>
      <c r="E46" t="inlineStr">
        <is>
          <t>Maharashtra</t>
        </is>
      </c>
      <c r="F46" t="inlineStr">
        <is>
          <t>0713</t>
        </is>
      </c>
      <c r="G46" s="3" t="n">
        <v>464400</v>
      </c>
      <c r="H46" s="3">
        <f>IF(E46="Maharashtra",ROUND(G46*9%,0),0)</f>
        <v/>
      </c>
      <c r="I46" s="3">
        <f>IF(E46="Maharashtra",ROUND(G46*9%,0),0)</f>
        <v/>
      </c>
      <c r="J46" s="3">
        <f>IF(E46="Maharashtra",0,ROUND(G46*18%,0))</f>
        <v/>
      </c>
      <c r="K46" s="3">
        <f>SUM(G46:J46)</f>
        <v/>
      </c>
    </row>
    <row r="47">
      <c r="A47" t="inlineStr">
        <is>
          <t>SAF/26-27/1046</t>
        </is>
      </c>
      <c r="B47" s="17" t="n">
        <v>46190</v>
      </c>
      <c r="C47" t="inlineStr">
        <is>
          <t>Chennai Spice House</t>
        </is>
      </c>
      <c r="D47" t="inlineStr">
        <is>
          <t>33AACFC3305D1Z4</t>
        </is>
      </c>
      <c r="E47" t="inlineStr">
        <is>
          <t>Tamil Nadu</t>
        </is>
      </c>
      <c r="F47" t="inlineStr">
        <is>
          <t>0910</t>
        </is>
      </c>
      <c r="G47" s="3" t="n">
        <v>291850</v>
      </c>
      <c r="H47" s="3">
        <f>IF(E47="Maharashtra",ROUND(G47*9%,0),0)</f>
        <v/>
      </c>
      <c r="I47" s="3">
        <f>IF(E47="Maharashtra",ROUND(G47*9%,0),0)</f>
        <v/>
      </c>
      <c r="J47" s="3">
        <f>IF(E47="Maharashtra",0,ROUND(G47*18%,0))</f>
        <v/>
      </c>
      <c r="K47" s="3">
        <f>SUM(G47:J47)</f>
        <v/>
      </c>
    </row>
    <row r="48">
      <c r="A48" t="inlineStr">
        <is>
          <t>SAF/26-27/1047</t>
        </is>
      </c>
      <c r="B48" s="17" t="n">
        <v>46191</v>
      </c>
      <c r="C48" t="inlineStr">
        <is>
          <t>Gujarat Agro Mart</t>
        </is>
      </c>
      <c r="D48" t="inlineStr">
        <is>
          <t>24AAGCG5530R1Z1</t>
        </is>
      </c>
      <c r="E48" t="inlineStr">
        <is>
          <t>Gujarat</t>
        </is>
      </c>
      <c r="F48" t="inlineStr">
        <is>
          <t>0902</t>
        </is>
      </c>
      <c r="G48" s="3" t="n">
        <v>79600</v>
      </c>
      <c r="H48" s="3">
        <f>IF(E48="Maharashtra",ROUND(G48*9%,0),0)</f>
        <v/>
      </c>
      <c r="I48" s="3">
        <f>IF(E48="Maharashtra",ROUND(G48*9%,0),0)</f>
        <v/>
      </c>
      <c r="J48" s="3">
        <f>IF(E48="Maharashtra",0,ROUND(G48*18%,0))</f>
        <v/>
      </c>
      <c r="K48" s="3">
        <f>SUM(G48:J48)</f>
        <v/>
      </c>
    </row>
    <row r="49">
      <c r="A49" t="inlineStr">
        <is>
          <t>SAF/26-27/1048</t>
        </is>
      </c>
      <c r="B49" s="17" t="n">
        <v>46192</v>
      </c>
      <c r="C49" t="inlineStr">
        <is>
          <t>Deccan Retail</t>
        </is>
      </c>
      <c r="D49" t="inlineStr">
        <is>
          <t>36AAECD9902H1Z6</t>
        </is>
      </c>
      <c r="E49" t="inlineStr">
        <is>
          <t>Telangana</t>
        </is>
      </c>
      <c r="F49" t="inlineStr">
        <is>
          <t>0902</t>
        </is>
      </c>
      <c r="G49" s="3" t="n">
        <v>174300</v>
      </c>
      <c r="H49" s="3">
        <f>IF(E49="Maharashtra",ROUND(G49*9%,0),0)</f>
        <v/>
      </c>
      <c r="I49" s="3">
        <f>IF(E49="Maharashtra",ROUND(G49*9%,0),0)</f>
        <v/>
      </c>
      <c r="J49" s="3">
        <f>IF(E49="Maharashtra",0,ROUND(G49*18%,0))</f>
        <v/>
      </c>
      <c r="K49" s="3">
        <f>SUM(G49:J49)</f>
        <v/>
      </c>
    </row>
    <row r="50">
      <c r="A50" t="inlineStr">
        <is>
          <t>SAF/26-27/1049</t>
        </is>
      </c>
      <c r="B50" s="17" t="n">
        <v>46193</v>
      </c>
      <c r="C50" t="inlineStr">
        <is>
          <t>Gujarat Agro Mart</t>
        </is>
      </c>
      <c r="D50" t="inlineStr">
        <is>
          <t>24AAGCG5530R1Z1</t>
        </is>
      </c>
      <c r="E50" t="inlineStr">
        <is>
          <t>Gujarat</t>
        </is>
      </c>
      <c r="F50" t="inlineStr">
        <is>
          <t>0902</t>
        </is>
      </c>
      <c r="G50" s="3" t="n">
        <v>374800</v>
      </c>
      <c r="H50" s="3">
        <f>IF(E50="Maharashtra",ROUND(G50*9%,0),0)</f>
        <v/>
      </c>
      <c r="I50" s="3">
        <f>IF(E50="Maharashtra",ROUND(G50*9%,0),0)</f>
        <v/>
      </c>
      <c r="J50" s="3">
        <f>IF(E50="Maharashtra",0,ROUND(G50*18%,0))</f>
        <v/>
      </c>
      <c r="K50" s="3">
        <f>SUM(G50:J50)</f>
        <v/>
      </c>
    </row>
    <row r="51">
      <c r="A51" t="inlineStr">
        <is>
          <t>SAF/26-27/1050</t>
        </is>
      </c>
      <c r="B51" s="17" t="n">
        <v>46193</v>
      </c>
      <c r="C51" t="inlineStr">
        <is>
          <t>Shree Krishna Traders</t>
        </is>
      </c>
      <c r="D51" t="inlineStr">
        <is>
          <t>27AAKFS4821M1Z3</t>
        </is>
      </c>
      <c r="E51" t="inlineStr">
        <is>
          <t>Maharashtra</t>
        </is>
      </c>
      <c r="F51" t="inlineStr">
        <is>
          <t>0910</t>
        </is>
      </c>
      <c r="G51" s="3" t="n">
        <v>248600</v>
      </c>
      <c r="H51" s="3">
        <f>IF(E51="Maharashtra",ROUND(G51*9%,0),0)</f>
        <v/>
      </c>
      <c r="I51" s="3">
        <f>IF(E51="Maharashtra",ROUND(G51*9%,0),0)</f>
        <v/>
      </c>
      <c r="J51" s="3">
        <f>IF(E51="Maharashtra",0,ROUND(G51*18%,0))</f>
        <v/>
      </c>
      <c r="K51" s="3">
        <f>SUM(G51:J51)</f>
        <v/>
      </c>
    </row>
    <row r="52">
      <c r="A52" t="inlineStr">
        <is>
          <t>SAF/26-27/1051</t>
        </is>
      </c>
      <c r="B52" s="17" t="n">
        <v>46194</v>
      </c>
      <c r="C52" t="inlineStr">
        <is>
          <t>Gujarat Agro Mart</t>
        </is>
      </c>
      <c r="D52" t="inlineStr">
        <is>
          <t>24AAGCG5530R1Z1</t>
        </is>
      </c>
      <c r="E52" t="inlineStr">
        <is>
          <t>Gujarat</t>
        </is>
      </c>
      <c r="F52" t="inlineStr">
        <is>
          <t>0902</t>
        </is>
      </c>
      <c r="G52" s="3" t="n">
        <v>127250</v>
      </c>
      <c r="H52" s="3">
        <f>IF(E52="Maharashtra",ROUND(G52*9%,0),0)</f>
        <v/>
      </c>
      <c r="I52" s="3">
        <f>IF(E52="Maharashtra",ROUND(G52*9%,0),0)</f>
        <v/>
      </c>
      <c r="J52" s="3">
        <f>IF(E52="Maharashtra",0,ROUND(G52*18%,0))</f>
        <v/>
      </c>
      <c r="K52" s="3">
        <f>SUM(G52:J52)</f>
        <v/>
      </c>
    </row>
    <row r="53">
      <c r="A53" t="inlineStr">
        <is>
          <t>SAF/26-27/1052</t>
        </is>
      </c>
      <c r="B53" s="17" t="n">
        <v>46196</v>
      </c>
      <c r="C53" t="inlineStr">
        <is>
          <t>Shree Krishna Traders</t>
        </is>
      </c>
      <c r="D53" t="inlineStr">
        <is>
          <t>27AAKFS4821M1Z3</t>
        </is>
      </c>
      <c r="E53" t="inlineStr">
        <is>
          <t>Maharashtra</t>
        </is>
      </c>
      <c r="F53" t="inlineStr">
        <is>
          <t>1006</t>
        </is>
      </c>
      <c r="G53" s="3" t="n">
        <v>43550</v>
      </c>
      <c r="H53" s="3">
        <f>IF(E53="Maharashtra",ROUND(G53*9%,0),0)</f>
        <v/>
      </c>
      <c r="I53" s="3">
        <f>IF(E53="Maharashtra",ROUND(G53*9%,0),0)</f>
        <v/>
      </c>
      <c r="J53" s="3">
        <f>IF(E53="Maharashtra",0,ROUND(G53*18%,0))</f>
        <v/>
      </c>
      <c r="K53" s="3">
        <f>SUM(G53:J53)</f>
        <v/>
      </c>
    </row>
    <row r="54">
      <c r="A54" t="inlineStr">
        <is>
          <t>SAF/26-27/1053</t>
        </is>
      </c>
      <c r="B54" s="17" t="n">
        <v>46197</v>
      </c>
      <c r="C54" t="inlineStr">
        <is>
          <t>Konkan Fresh</t>
        </is>
      </c>
      <c r="D54" t="inlineStr">
        <is>
          <t>27AAKCK6638P1Z9</t>
        </is>
      </c>
      <c r="E54" t="inlineStr">
        <is>
          <t>Maharashtra</t>
        </is>
      </c>
      <c r="F54" t="inlineStr">
        <is>
          <t>0910</t>
        </is>
      </c>
      <c r="G54" s="3" t="n">
        <v>126250</v>
      </c>
      <c r="H54" s="3">
        <f>IF(E54="Maharashtra",ROUND(G54*9%,0),0)</f>
        <v/>
      </c>
      <c r="I54" s="3">
        <f>IF(E54="Maharashtra",ROUND(G54*9%,0),0)</f>
        <v/>
      </c>
      <c r="J54" s="3">
        <f>IF(E54="Maharashtra",0,ROUND(G54*18%,0))</f>
        <v/>
      </c>
      <c r="K54" s="3">
        <f>SUM(G54:J54)</f>
        <v/>
      </c>
    </row>
    <row r="55">
      <c r="A55" t="inlineStr">
        <is>
          <t>SAF/26-27/1054</t>
        </is>
      </c>
      <c r="B55" s="17" t="n">
        <v>46200</v>
      </c>
      <c r="C55" t="inlineStr">
        <is>
          <t>Balaji Wholesale</t>
        </is>
      </c>
      <c r="D55" t="inlineStr">
        <is>
          <t>29AADFB7314K1Z8</t>
        </is>
      </c>
      <c r="E55" t="inlineStr">
        <is>
          <t>Karnataka</t>
        </is>
      </c>
      <c r="F55" t="inlineStr">
        <is>
          <t>1101</t>
        </is>
      </c>
      <c r="G55" s="3" t="n">
        <v>52450</v>
      </c>
      <c r="H55" s="3">
        <f>IF(E55="Maharashtra",ROUND(G55*9%,0),0)</f>
        <v/>
      </c>
      <c r="I55" s="3">
        <f>IF(E55="Maharashtra",ROUND(G55*9%,0),0)</f>
        <v/>
      </c>
      <c r="J55" s="3">
        <f>IF(E55="Maharashtra",0,ROUND(G55*18%,0))</f>
        <v/>
      </c>
      <c r="K55" s="3">
        <f>SUM(G55:J55)</f>
        <v/>
      </c>
    </row>
    <row r="56">
      <c r="A56" t="inlineStr">
        <is>
          <t>SAF/26-27/1055</t>
        </is>
      </c>
      <c r="B56" s="17" t="n">
        <v>46203</v>
      </c>
      <c r="C56" t="inlineStr">
        <is>
          <t>Chennai Spice House</t>
        </is>
      </c>
      <c r="D56" t="inlineStr">
        <is>
          <t>33AACFC3305D1Z4</t>
        </is>
      </c>
      <c r="E56" t="inlineStr">
        <is>
          <t>Tamil Nadu</t>
        </is>
      </c>
      <c r="F56" t="inlineStr">
        <is>
          <t>0910</t>
        </is>
      </c>
      <c r="G56" s="3" t="n">
        <v>115050</v>
      </c>
      <c r="H56" s="3">
        <f>IF(E56="Maharashtra",ROUND(G56*9%,0),0)</f>
        <v/>
      </c>
      <c r="I56" s="3">
        <f>IF(E56="Maharashtra",ROUND(G56*9%,0),0)</f>
        <v/>
      </c>
      <c r="J56" s="3">
        <f>IF(E56="Maharashtra",0,ROUND(G56*18%,0))</f>
        <v/>
      </c>
      <c r="K56" s="3">
        <f>SUM(G56:J56)</f>
        <v/>
      </c>
    </row>
    <row r="57">
      <c r="A57" t="inlineStr">
        <is>
          <t>SAF/26-27/1056</t>
        </is>
      </c>
      <c r="B57" s="17" t="n">
        <v>46204</v>
      </c>
      <c r="C57" t="inlineStr">
        <is>
          <t>Deccan Retail</t>
        </is>
      </c>
      <c r="D57" t="inlineStr">
        <is>
          <t>36AAECD9902H1Z6</t>
        </is>
      </c>
      <c r="E57" t="inlineStr">
        <is>
          <t>Telangana</t>
        </is>
      </c>
      <c r="F57" t="inlineStr">
        <is>
          <t>0713</t>
        </is>
      </c>
      <c r="G57" s="3" t="n">
        <v>361350</v>
      </c>
      <c r="H57" s="3">
        <f>IF(E57="Maharashtra",ROUND(G57*9%,0),0)</f>
        <v/>
      </c>
      <c r="I57" s="3">
        <f>IF(E57="Maharashtra",ROUND(G57*9%,0),0)</f>
        <v/>
      </c>
      <c r="J57" s="3">
        <f>IF(E57="Maharashtra",0,ROUND(G57*18%,0))</f>
        <v/>
      </c>
      <c r="K57" s="3">
        <f>SUM(G57:J57)</f>
        <v/>
      </c>
    </row>
    <row r="58">
      <c r="A58" t="inlineStr">
        <is>
          <t>SAF/26-27/1057</t>
        </is>
      </c>
      <c r="B58" s="17" t="n">
        <v>46205</v>
      </c>
      <c r="C58" t="inlineStr">
        <is>
          <t>Annapurna Stores</t>
        </is>
      </c>
      <c r="D58" t="inlineStr">
        <is>
          <t>27AABPA2219L1ZQ</t>
        </is>
      </c>
      <c r="E58" t="inlineStr">
        <is>
          <t>Maharashtra</t>
        </is>
      </c>
      <c r="F58" t="inlineStr">
        <is>
          <t>0902</t>
        </is>
      </c>
      <c r="G58" s="3" t="n">
        <v>225550</v>
      </c>
      <c r="H58" s="3">
        <f>IF(E58="Maharashtra",ROUND(G58*9%,0),0)</f>
        <v/>
      </c>
      <c r="I58" s="3">
        <f>IF(E58="Maharashtra",ROUND(G58*9%,0),0)</f>
        <v/>
      </c>
      <c r="J58" s="3">
        <f>IF(E58="Maharashtra",0,ROUND(G58*18%,0))</f>
        <v/>
      </c>
      <c r="K58" s="3">
        <f>SUM(G58:J58)</f>
        <v/>
      </c>
    </row>
    <row r="59">
      <c r="A59" t="inlineStr">
        <is>
          <t>SAF/26-27/1058</t>
        </is>
      </c>
      <c r="B59" s="17" t="n">
        <v>46206</v>
      </c>
      <c r="C59" t="inlineStr">
        <is>
          <t>Konkan Fresh</t>
        </is>
      </c>
      <c r="D59" t="inlineStr">
        <is>
          <t>27AAKCK6638P1Z9</t>
        </is>
      </c>
      <c r="E59" t="inlineStr">
        <is>
          <t>Maharashtra</t>
        </is>
      </c>
      <c r="F59" t="inlineStr">
        <is>
          <t>0910</t>
        </is>
      </c>
      <c r="G59" s="3" t="n">
        <v>381900</v>
      </c>
      <c r="H59" s="3">
        <f>IF(E59="Maharashtra",ROUND(G59*9%,0),0)</f>
        <v/>
      </c>
      <c r="I59" s="3">
        <f>IF(E59="Maharashtra",ROUND(G59*9%,0),0)</f>
        <v/>
      </c>
      <c r="J59" s="3">
        <f>IF(E59="Maharashtra",0,ROUND(G59*18%,0))</f>
        <v/>
      </c>
      <c r="K59" s="3">
        <f>SUM(G59:J59)</f>
        <v/>
      </c>
    </row>
    <row r="60">
      <c r="A60" t="inlineStr">
        <is>
          <t>SAF/26-27/1059</t>
        </is>
      </c>
      <c r="B60" s="17" t="n">
        <v>46207</v>
      </c>
      <c r="C60" t="inlineStr">
        <is>
          <t>Deccan Retail</t>
        </is>
      </c>
      <c r="D60" t="inlineStr">
        <is>
          <t>36AAECD9902H1Z6</t>
        </is>
      </c>
      <c r="E60" t="inlineStr">
        <is>
          <t>Telangana</t>
        </is>
      </c>
      <c r="F60" t="inlineStr">
        <is>
          <t>0902</t>
        </is>
      </c>
      <c r="G60" s="3" t="n">
        <v>29700</v>
      </c>
      <c r="H60" s="3">
        <f>IF(E60="Maharashtra",ROUND(G60*9%,0),0)</f>
        <v/>
      </c>
      <c r="I60" s="3">
        <f>IF(E60="Maharashtra",ROUND(G60*9%,0),0)</f>
        <v/>
      </c>
      <c r="J60" s="3">
        <f>IF(E60="Maharashtra",0,ROUND(G60*18%,0))</f>
        <v/>
      </c>
      <c r="K60" s="3">
        <f>SUM(G60:J60)</f>
        <v/>
      </c>
    </row>
    <row r="61">
      <c r="A61" t="inlineStr">
        <is>
          <t>SAF/26-27/1060</t>
        </is>
      </c>
      <c r="B61" s="17" t="n">
        <v>46210</v>
      </c>
      <c r="C61" t="inlineStr">
        <is>
          <t>Chennai Spice House</t>
        </is>
      </c>
      <c r="D61" t="inlineStr">
        <is>
          <t>33AACFC3305D1Z4</t>
        </is>
      </c>
      <c r="E61" t="inlineStr">
        <is>
          <t>Tamil Nadu</t>
        </is>
      </c>
      <c r="F61" t="inlineStr">
        <is>
          <t>0902</t>
        </is>
      </c>
      <c r="G61" s="3" t="n">
        <v>180800</v>
      </c>
      <c r="H61" s="3">
        <f>IF(E61="Maharashtra",ROUND(G61*9%,0),0)</f>
        <v/>
      </c>
      <c r="I61" s="3">
        <f>IF(E61="Maharashtra",ROUND(G61*9%,0),0)</f>
        <v/>
      </c>
      <c r="J61" s="3">
        <f>IF(E61="Maharashtra",0,ROUND(G61*18%,0))</f>
        <v/>
      </c>
      <c r="K61" s="3">
        <f>SUM(G61:J61)</f>
        <v/>
      </c>
    </row>
    <row r="62">
      <c r="A62" t="inlineStr">
        <is>
          <t>SAF/26-27/1061</t>
        </is>
      </c>
      <c r="B62" s="17" t="n">
        <v>46213</v>
      </c>
      <c r="C62" t="inlineStr">
        <is>
          <t>Shree Krishna Traders</t>
        </is>
      </c>
      <c r="D62" t="inlineStr">
        <is>
          <t>27AAKFS4821M1Z3</t>
        </is>
      </c>
      <c r="E62" t="inlineStr">
        <is>
          <t>Maharashtra</t>
        </is>
      </c>
      <c r="F62" t="inlineStr">
        <is>
          <t>0910</t>
        </is>
      </c>
      <c r="G62" s="3" t="n">
        <v>287800</v>
      </c>
      <c r="H62" s="3">
        <f>IF(E62="Maharashtra",ROUND(G62*9%,0),0)</f>
        <v/>
      </c>
      <c r="I62" s="3">
        <f>IF(E62="Maharashtra",ROUND(G62*9%,0),0)</f>
        <v/>
      </c>
      <c r="J62" s="3">
        <f>IF(E62="Maharashtra",0,ROUND(G62*18%,0))</f>
        <v/>
      </c>
      <c r="K62" s="3">
        <f>SUM(G62:J62)</f>
        <v/>
      </c>
    </row>
    <row r="63">
      <c r="A63" t="inlineStr">
        <is>
          <t>SAF/26-27/1062</t>
        </is>
      </c>
      <c r="B63" s="17" t="n">
        <v>46214</v>
      </c>
      <c r="C63" t="inlineStr">
        <is>
          <t>Balaji Wholesale</t>
        </is>
      </c>
      <c r="D63" t="inlineStr">
        <is>
          <t>29AADFB7314K1Z8</t>
        </is>
      </c>
      <c r="E63" t="inlineStr">
        <is>
          <t>Karnataka</t>
        </is>
      </c>
      <c r="F63" t="inlineStr">
        <is>
          <t>0713</t>
        </is>
      </c>
      <c r="G63" s="3" t="n">
        <v>204950</v>
      </c>
      <c r="H63" s="3">
        <f>IF(E63="Maharashtra",ROUND(G63*9%,0),0)</f>
        <v/>
      </c>
      <c r="I63" s="3">
        <f>IF(E63="Maharashtra",ROUND(G63*9%,0),0)</f>
        <v/>
      </c>
      <c r="J63" s="3">
        <f>IF(E63="Maharashtra",0,ROUND(G63*18%,0))</f>
        <v/>
      </c>
      <c r="K63" s="3">
        <f>SUM(G63:J63)</f>
        <v/>
      </c>
    </row>
    <row r="64">
      <c r="A64" t="inlineStr">
        <is>
          <t>SAF/26-27/1063</t>
        </is>
      </c>
      <c r="B64" s="17" t="n">
        <v>46215</v>
      </c>
      <c r="C64" t="inlineStr">
        <is>
          <t>Deccan Retail</t>
        </is>
      </c>
      <c r="D64" t="inlineStr">
        <is>
          <t>36AAECD9902H1Z6</t>
        </is>
      </c>
      <c r="E64" t="inlineStr">
        <is>
          <t>Telangana</t>
        </is>
      </c>
      <c r="F64" t="inlineStr">
        <is>
          <t>0902</t>
        </is>
      </c>
      <c r="G64" s="3" t="n">
        <v>311250</v>
      </c>
      <c r="H64" s="3">
        <f>IF(E64="Maharashtra",ROUND(G64*9%,0),0)</f>
        <v/>
      </c>
      <c r="I64" s="3">
        <f>IF(E64="Maharashtra",ROUND(G64*9%,0),0)</f>
        <v/>
      </c>
      <c r="J64" s="3">
        <f>IF(E64="Maharashtra",0,ROUND(G64*18%,0))</f>
        <v/>
      </c>
      <c r="K64" s="3">
        <f>SUM(G64:J64)</f>
        <v/>
      </c>
    </row>
    <row r="65">
      <c r="A65" t="inlineStr">
        <is>
          <t>SAF/26-27/1064</t>
        </is>
      </c>
      <c r="B65" s="17" t="n">
        <v>46218</v>
      </c>
      <c r="C65" t="inlineStr">
        <is>
          <t>Deccan Retail</t>
        </is>
      </c>
      <c r="D65" t="inlineStr">
        <is>
          <t>36AAECD9902H1Z6</t>
        </is>
      </c>
      <c r="E65" t="inlineStr">
        <is>
          <t>Telangana</t>
        </is>
      </c>
      <c r="F65" t="inlineStr">
        <is>
          <t>0902</t>
        </is>
      </c>
      <c r="G65" s="3" t="n">
        <v>378300</v>
      </c>
      <c r="H65" s="3">
        <f>IF(E65="Maharashtra",ROUND(G65*9%,0),0)</f>
        <v/>
      </c>
      <c r="I65" s="3">
        <f>IF(E65="Maharashtra",ROUND(G65*9%,0),0)</f>
        <v/>
      </c>
      <c r="J65" s="3">
        <f>IF(E65="Maharashtra",0,ROUND(G65*18%,0))</f>
        <v/>
      </c>
      <c r="K65" s="3">
        <f>SUM(G65:J65)</f>
        <v/>
      </c>
    </row>
    <row r="66">
      <c r="A66" t="inlineStr">
        <is>
          <t>SAF/26-27/1065</t>
        </is>
      </c>
      <c r="B66" s="17" t="n">
        <v>46221</v>
      </c>
      <c r="C66" t="inlineStr">
        <is>
          <t>Konkan Fresh</t>
        </is>
      </c>
      <c r="D66" t="inlineStr">
        <is>
          <t>27AAKCK6638P1Z9</t>
        </is>
      </c>
      <c r="E66" t="inlineStr">
        <is>
          <t>Maharashtra</t>
        </is>
      </c>
      <c r="F66" t="inlineStr">
        <is>
          <t>0910</t>
        </is>
      </c>
      <c r="G66" s="3" t="n">
        <v>366650</v>
      </c>
      <c r="H66" s="3">
        <f>IF(E66="Maharashtra",ROUND(G66*9%,0),0)</f>
        <v/>
      </c>
      <c r="I66" s="3">
        <f>IF(E66="Maharashtra",ROUND(G66*9%,0),0)</f>
        <v/>
      </c>
      <c r="J66" s="3">
        <f>IF(E66="Maharashtra",0,ROUND(G66*18%,0))</f>
        <v/>
      </c>
      <c r="K66" s="3">
        <f>SUM(G66:J66)</f>
        <v/>
      </c>
    </row>
    <row r="67">
      <c r="A67" t="inlineStr">
        <is>
          <t>SAF/26-27/1066</t>
        </is>
      </c>
      <c r="B67" s="17" t="n">
        <v>46223</v>
      </c>
      <c r="C67" t="inlineStr">
        <is>
          <t>Deccan Retail</t>
        </is>
      </c>
      <c r="D67" t="inlineStr">
        <is>
          <t>36AAECD9902H1Z6</t>
        </is>
      </c>
      <c r="E67" t="inlineStr">
        <is>
          <t>Telangana</t>
        </is>
      </c>
      <c r="F67" t="inlineStr">
        <is>
          <t>0713</t>
        </is>
      </c>
      <c r="G67" s="3" t="n">
        <v>449700</v>
      </c>
      <c r="H67" s="3">
        <f>IF(E67="Maharashtra",ROUND(G67*9%,0),0)</f>
        <v/>
      </c>
      <c r="I67" s="3">
        <f>IF(E67="Maharashtra",ROUND(G67*9%,0),0)</f>
        <v/>
      </c>
      <c r="J67" s="3">
        <f>IF(E67="Maharashtra",0,ROUND(G67*18%,0))</f>
        <v/>
      </c>
      <c r="K67" s="3">
        <f>SUM(G67:J67)</f>
        <v/>
      </c>
    </row>
    <row r="68">
      <c r="A68" t="inlineStr">
        <is>
          <t>SAF/26-27/1067</t>
        </is>
      </c>
      <c r="B68" s="17" t="n">
        <v>46224</v>
      </c>
      <c r="C68" t="inlineStr">
        <is>
          <t>Balaji Wholesale</t>
        </is>
      </c>
      <c r="D68" t="inlineStr">
        <is>
          <t>29AADFB7314K1Z8</t>
        </is>
      </c>
      <c r="E68" t="inlineStr">
        <is>
          <t>Karnataka</t>
        </is>
      </c>
      <c r="F68" t="inlineStr">
        <is>
          <t>1006</t>
        </is>
      </c>
      <c r="G68" s="3" t="n">
        <v>313750</v>
      </c>
      <c r="H68" s="3">
        <f>IF(E68="Maharashtra",ROUND(G68*9%,0),0)</f>
        <v/>
      </c>
      <c r="I68" s="3">
        <f>IF(E68="Maharashtra",ROUND(G68*9%,0),0)</f>
        <v/>
      </c>
      <c r="J68" s="3">
        <f>IF(E68="Maharashtra",0,ROUND(G68*18%,0))</f>
        <v/>
      </c>
      <c r="K68" s="3">
        <f>SUM(G68:J68)</f>
        <v/>
      </c>
    </row>
    <row r="69">
      <c r="A69" t="inlineStr">
        <is>
          <t>SAF/26-27/1068</t>
        </is>
      </c>
      <c r="B69" s="17" t="n">
        <v>46225</v>
      </c>
      <c r="C69" t="inlineStr">
        <is>
          <t>Gujarat Agro Mart</t>
        </is>
      </c>
      <c r="D69" t="inlineStr">
        <is>
          <t>24AAGCG5530R1Z1</t>
        </is>
      </c>
      <c r="E69" t="inlineStr">
        <is>
          <t>Gujarat</t>
        </is>
      </c>
      <c r="F69" t="inlineStr">
        <is>
          <t>0902</t>
        </is>
      </c>
      <c r="G69" s="3" t="n">
        <v>47700</v>
      </c>
      <c r="H69" s="3">
        <f>IF(E69="Maharashtra",ROUND(G69*9%,0),0)</f>
        <v/>
      </c>
      <c r="I69" s="3">
        <f>IF(E69="Maharashtra",ROUND(G69*9%,0),0)</f>
        <v/>
      </c>
      <c r="J69" s="3">
        <f>IF(E69="Maharashtra",0,ROUND(G69*18%,0))</f>
        <v/>
      </c>
      <c r="K69" s="3">
        <f>SUM(G69:J69)</f>
        <v/>
      </c>
    </row>
    <row r="70">
      <c r="A70" t="inlineStr">
        <is>
          <t>SAF/26-27/1069</t>
        </is>
      </c>
      <c r="B70" s="17" t="n">
        <v>46226</v>
      </c>
      <c r="C70" t="inlineStr">
        <is>
          <t>Konkan Fresh</t>
        </is>
      </c>
      <c r="D70" t="inlineStr">
        <is>
          <t>27AAKCK6638P1Z9</t>
        </is>
      </c>
      <c r="E70" t="inlineStr">
        <is>
          <t>Maharashtra</t>
        </is>
      </c>
      <c r="F70" t="inlineStr">
        <is>
          <t>0713</t>
        </is>
      </c>
      <c r="G70" s="3" t="n">
        <v>224050</v>
      </c>
      <c r="H70" s="3">
        <f>IF(E70="Maharashtra",ROUND(G70*9%,0),0)</f>
        <v/>
      </c>
      <c r="I70" s="3">
        <f>IF(E70="Maharashtra",ROUND(G70*9%,0),0)</f>
        <v/>
      </c>
      <c r="J70" s="3">
        <f>IF(E70="Maharashtra",0,ROUND(G70*18%,0))</f>
        <v/>
      </c>
      <c r="K70" s="3">
        <f>SUM(G70:J70)</f>
        <v/>
      </c>
    </row>
    <row r="71">
      <c r="A71" t="inlineStr">
        <is>
          <t>SAF/26-27/1070</t>
        </is>
      </c>
      <c r="B71" s="17" t="n">
        <v>46228</v>
      </c>
      <c r="C71" t="inlineStr">
        <is>
          <t>Gujarat Agro Mart</t>
        </is>
      </c>
      <c r="D71" t="inlineStr">
        <is>
          <t>24AAGCG5530R1Z1</t>
        </is>
      </c>
      <c r="E71" t="inlineStr">
        <is>
          <t>Gujarat</t>
        </is>
      </c>
      <c r="F71" t="inlineStr">
        <is>
          <t>1006</t>
        </is>
      </c>
      <c r="G71" s="3" t="n">
        <v>66400</v>
      </c>
      <c r="H71" s="3">
        <f>IF(E71="Maharashtra",ROUND(G71*9%,0),0)</f>
        <v/>
      </c>
      <c r="I71" s="3">
        <f>IF(E71="Maharashtra",ROUND(G71*9%,0),0)</f>
        <v/>
      </c>
      <c r="J71" s="3">
        <f>IF(E71="Maharashtra",0,ROUND(G71*18%,0))</f>
        <v/>
      </c>
      <c r="K71" s="3">
        <f>SUM(G71:J71)</f>
        <v/>
      </c>
    </row>
    <row r="72">
      <c r="A72" t="inlineStr">
        <is>
          <t>SAF/26-27/1071</t>
        </is>
      </c>
      <c r="B72" s="17" t="n">
        <v>46228</v>
      </c>
      <c r="C72" t="inlineStr">
        <is>
          <t>Chennai Spice House</t>
        </is>
      </c>
      <c r="D72" t="inlineStr">
        <is>
          <t>33AACFC3305D1Z4</t>
        </is>
      </c>
      <c r="E72" t="inlineStr">
        <is>
          <t>Tamil Nadu</t>
        </is>
      </c>
      <c r="F72" t="inlineStr">
        <is>
          <t>1006</t>
        </is>
      </c>
      <c r="G72" s="3" t="n">
        <v>54450</v>
      </c>
      <c r="H72" s="3">
        <f>IF(E72="Maharashtra",ROUND(G72*9%,0),0)</f>
        <v/>
      </c>
      <c r="I72" s="3">
        <f>IF(E72="Maharashtra",ROUND(G72*9%,0),0)</f>
        <v/>
      </c>
      <c r="J72" s="3">
        <f>IF(E72="Maharashtra",0,ROUND(G72*18%,0))</f>
        <v/>
      </c>
      <c r="K72" s="3">
        <f>SUM(G72:J72)</f>
        <v/>
      </c>
    </row>
    <row r="73">
      <c r="A73" t="inlineStr">
        <is>
          <t>SAF/26-27/1072</t>
        </is>
      </c>
      <c r="B73" s="17" t="n">
        <v>46229</v>
      </c>
      <c r="C73" t="inlineStr">
        <is>
          <t>Konkan Fresh</t>
        </is>
      </c>
      <c r="D73" t="inlineStr">
        <is>
          <t>27AAKCK6638P1Z9</t>
        </is>
      </c>
      <c r="E73" t="inlineStr">
        <is>
          <t>Maharashtra</t>
        </is>
      </c>
      <c r="F73" t="inlineStr">
        <is>
          <t>0910</t>
        </is>
      </c>
      <c r="G73" s="3" t="n">
        <v>436800</v>
      </c>
      <c r="H73" s="3">
        <f>IF(E73="Maharashtra",ROUND(G73*9%,0),0)</f>
        <v/>
      </c>
      <c r="I73" s="3">
        <f>IF(E73="Maharashtra",ROUND(G73*9%,0),0)</f>
        <v/>
      </c>
      <c r="J73" s="3">
        <f>IF(E73="Maharashtra",0,ROUND(G73*18%,0))</f>
        <v/>
      </c>
      <c r="K73" s="3">
        <f>SUM(G73:J73)</f>
        <v/>
      </c>
    </row>
    <row r="74">
      <c r="A74" t="inlineStr">
        <is>
          <t>SAF/26-27/1073</t>
        </is>
      </c>
      <c r="B74" s="17" t="n">
        <v>46230</v>
      </c>
      <c r="C74" t="inlineStr">
        <is>
          <t>Gujarat Agro Mart</t>
        </is>
      </c>
      <c r="D74" t="inlineStr">
        <is>
          <t>24AAGCG5530R1Z1</t>
        </is>
      </c>
      <c r="E74" t="inlineStr">
        <is>
          <t>Gujarat</t>
        </is>
      </c>
      <c r="F74" t="inlineStr">
        <is>
          <t>0910</t>
        </is>
      </c>
      <c r="G74" s="3" t="n">
        <v>30300</v>
      </c>
      <c r="H74" s="3">
        <f>IF(E74="Maharashtra",ROUND(G74*9%,0),0)</f>
        <v/>
      </c>
      <c r="I74" s="3">
        <f>IF(E74="Maharashtra",ROUND(G74*9%,0),0)</f>
        <v/>
      </c>
      <c r="J74" s="3">
        <f>IF(E74="Maharashtra",0,ROUND(G74*18%,0))</f>
        <v/>
      </c>
      <c r="K74" s="3">
        <f>SUM(G74:J74)</f>
        <v/>
      </c>
    </row>
    <row r="75">
      <c r="A75" t="inlineStr">
        <is>
          <t>SAF/26-27/1074</t>
        </is>
      </c>
      <c r="B75" s="17" t="n">
        <v>46231</v>
      </c>
      <c r="C75" t="inlineStr">
        <is>
          <t>Gujarat Agro Mart</t>
        </is>
      </c>
      <c r="D75" t="inlineStr">
        <is>
          <t>24AAGCG5530R1Z1</t>
        </is>
      </c>
      <c r="E75" t="inlineStr">
        <is>
          <t>Gujarat</t>
        </is>
      </c>
      <c r="F75" t="inlineStr">
        <is>
          <t>1006</t>
        </is>
      </c>
      <c r="G75" s="3" t="n">
        <v>175350</v>
      </c>
      <c r="H75" s="3">
        <f>IF(E75="Maharashtra",ROUND(G75*9%,0),0)</f>
        <v/>
      </c>
      <c r="I75" s="3">
        <f>IF(E75="Maharashtra",ROUND(G75*9%,0),0)</f>
        <v/>
      </c>
      <c r="J75" s="3">
        <f>IF(E75="Maharashtra",0,ROUND(G75*18%,0))</f>
        <v/>
      </c>
      <c r="K75" s="3">
        <f>SUM(G75:J75)</f>
        <v/>
      </c>
    </row>
    <row r="76">
      <c r="A76" t="inlineStr">
        <is>
          <t>SAF/26-27/1075</t>
        </is>
      </c>
      <c r="B76" s="17" t="n">
        <v>46232</v>
      </c>
      <c r="C76" t="inlineStr">
        <is>
          <t>Konkan Fresh</t>
        </is>
      </c>
      <c r="D76" t="inlineStr">
        <is>
          <t>27AAKCK6638P1Z9</t>
        </is>
      </c>
      <c r="E76" t="inlineStr">
        <is>
          <t>Maharashtra</t>
        </is>
      </c>
      <c r="F76" t="inlineStr">
        <is>
          <t>0713</t>
        </is>
      </c>
      <c r="G76" s="3" t="n">
        <v>175200</v>
      </c>
      <c r="H76" s="3">
        <f>IF(E76="Maharashtra",ROUND(G76*9%,0),0)</f>
        <v/>
      </c>
      <c r="I76" s="3">
        <f>IF(E76="Maharashtra",ROUND(G76*9%,0),0)</f>
        <v/>
      </c>
      <c r="J76" s="3">
        <f>IF(E76="Maharashtra",0,ROUND(G76*18%,0))</f>
        <v/>
      </c>
      <c r="K76" s="3">
        <f>SUM(G76:J76)</f>
        <v/>
      </c>
    </row>
    <row r="77">
      <c r="A77" t="inlineStr">
        <is>
          <t>SAF/26-27/1076</t>
        </is>
      </c>
      <c r="B77" s="17" t="n">
        <v>46235</v>
      </c>
      <c r="C77" t="inlineStr">
        <is>
          <t>Malwa Kirana</t>
        </is>
      </c>
      <c r="D77" t="inlineStr">
        <is>
          <t>23AAMFM1147C1ZT</t>
        </is>
      </c>
      <c r="E77" t="inlineStr">
        <is>
          <t>Madhya Pradesh</t>
        </is>
      </c>
      <c r="F77" t="inlineStr">
        <is>
          <t>0902</t>
        </is>
      </c>
      <c r="G77" s="3" t="n">
        <v>172650</v>
      </c>
      <c r="H77" s="3">
        <f>IF(E77="Maharashtra",ROUND(G77*9%,0),0)</f>
        <v/>
      </c>
      <c r="I77" s="3">
        <f>IF(E77="Maharashtra",ROUND(G77*9%,0),0)</f>
        <v/>
      </c>
      <c r="J77" s="3">
        <f>IF(E77="Maharashtra",0,ROUND(G77*18%,0))</f>
        <v/>
      </c>
      <c r="K77" s="3">
        <f>SUM(G77:J77)</f>
        <v/>
      </c>
    </row>
    <row r="78">
      <c r="A78" t="inlineStr">
        <is>
          <t>SAF/26-27/1077</t>
        </is>
      </c>
      <c r="B78" s="17" t="n">
        <v>46236</v>
      </c>
      <c r="C78" t="inlineStr">
        <is>
          <t>Chennai Spice House</t>
        </is>
      </c>
      <c r="D78" t="inlineStr">
        <is>
          <t>33AACFC3305D1Z4</t>
        </is>
      </c>
      <c r="E78" t="inlineStr">
        <is>
          <t>Tamil Nadu</t>
        </is>
      </c>
      <c r="F78" t="inlineStr">
        <is>
          <t>1006</t>
        </is>
      </c>
      <c r="G78" s="3" t="n">
        <v>425200</v>
      </c>
      <c r="H78" s="3">
        <f>IF(E78="Maharashtra",ROUND(G78*9%,0),0)</f>
        <v/>
      </c>
      <c r="I78" s="3">
        <f>IF(E78="Maharashtra",ROUND(G78*9%,0),0)</f>
        <v/>
      </c>
      <c r="J78" s="3">
        <f>IF(E78="Maharashtra",0,ROUND(G78*18%,0))</f>
        <v/>
      </c>
      <c r="K78" s="3">
        <f>SUM(G78:J78)</f>
        <v/>
      </c>
    </row>
    <row r="79">
      <c r="A79" t="inlineStr">
        <is>
          <t>SAF/26-27/1078</t>
        </is>
      </c>
      <c r="B79" s="17" t="n">
        <v>46237</v>
      </c>
      <c r="C79" t="inlineStr">
        <is>
          <t>Shree Krishna Traders</t>
        </is>
      </c>
      <c r="D79" t="inlineStr">
        <is>
          <t>27AAKFS4821M1Z3</t>
        </is>
      </c>
      <c r="E79" t="inlineStr">
        <is>
          <t>Maharashtra</t>
        </is>
      </c>
      <c r="F79" t="inlineStr">
        <is>
          <t>1006</t>
        </is>
      </c>
      <c r="G79" s="3" t="n">
        <v>128700</v>
      </c>
      <c r="H79" s="3">
        <f>IF(E79="Maharashtra",ROUND(G79*9%,0),0)</f>
        <v/>
      </c>
      <c r="I79" s="3">
        <f>IF(E79="Maharashtra",ROUND(G79*9%,0),0)</f>
        <v/>
      </c>
      <c r="J79" s="3">
        <f>IF(E79="Maharashtra",0,ROUND(G79*18%,0))</f>
        <v/>
      </c>
      <c r="K79" s="3">
        <f>SUM(G79:J79)</f>
        <v/>
      </c>
    </row>
    <row r="80">
      <c r="A80" t="inlineStr">
        <is>
          <t>SAF/26-27/1079</t>
        </is>
      </c>
      <c r="B80" s="17" t="n">
        <v>46240</v>
      </c>
      <c r="C80" t="inlineStr">
        <is>
          <t>Gujarat Agro Mart</t>
        </is>
      </c>
      <c r="D80" t="inlineStr">
        <is>
          <t>24AAGCG5530R1Z1</t>
        </is>
      </c>
      <c r="E80" t="inlineStr">
        <is>
          <t>Gujarat</t>
        </is>
      </c>
      <c r="F80" t="inlineStr">
        <is>
          <t>1101</t>
        </is>
      </c>
      <c r="G80" s="3" t="n">
        <v>416750</v>
      </c>
      <c r="H80" s="3">
        <f>IF(E80="Maharashtra",ROUND(G80*9%,0),0)</f>
        <v/>
      </c>
      <c r="I80" s="3">
        <f>IF(E80="Maharashtra",ROUND(G80*9%,0),0)</f>
        <v/>
      </c>
      <c r="J80" s="3">
        <f>IF(E80="Maharashtra",0,ROUND(G80*18%,0))</f>
        <v/>
      </c>
      <c r="K80" s="3">
        <f>SUM(G80:J80)</f>
        <v/>
      </c>
    </row>
    <row r="81">
      <c r="A81" t="inlineStr">
        <is>
          <t>SAF/26-27/1080</t>
        </is>
      </c>
      <c r="B81" s="17" t="n">
        <v>46243</v>
      </c>
      <c r="C81" t="inlineStr">
        <is>
          <t>Deccan Retail</t>
        </is>
      </c>
      <c r="D81" t="inlineStr">
        <is>
          <t>36AAECD9902H1Z6</t>
        </is>
      </c>
      <c r="E81" t="inlineStr">
        <is>
          <t>Telangana</t>
        </is>
      </c>
      <c r="F81" t="inlineStr">
        <is>
          <t>0910</t>
        </is>
      </c>
      <c r="G81" s="3" t="n">
        <v>256550</v>
      </c>
      <c r="H81" s="3">
        <f>IF(E81="Maharashtra",ROUND(G81*9%,0),0)</f>
        <v/>
      </c>
      <c r="I81" s="3">
        <f>IF(E81="Maharashtra",ROUND(G81*9%,0),0)</f>
        <v/>
      </c>
      <c r="J81" s="3">
        <f>IF(E81="Maharashtra",0,ROUND(G81*18%,0))</f>
        <v/>
      </c>
      <c r="K81" s="3">
        <f>SUM(G81:J81)</f>
        <v/>
      </c>
    </row>
    <row r="82">
      <c r="A82" t="inlineStr">
        <is>
          <t>SAF/26-27/1081</t>
        </is>
      </c>
      <c r="B82" s="17" t="n">
        <v>46245</v>
      </c>
      <c r="C82" t="inlineStr">
        <is>
          <t>Deccan Retail</t>
        </is>
      </c>
      <c r="D82" t="inlineStr">
        <is>
          <t>36AAECD9902H1Z6</t>
        </is>
      </c>
      <c r="E82" t="inlineStr">
        <is>
          <t>Telangana</t>
        </is>
      </c>
      <c r="F82" t="inlineStr">
        <is>
          <t>0902</t>
        </is>
      </c>
      <c r="G82" s="3" t="n">
        <v>36950</v>
      </c>
      <c r="H82" s="3">
        <f>IF(E82="Maharashtra",ROUND(G82*9%,0),0)</f>
        <v/>
      </c>
      <c r="I82" s="3">
        <f>IF(E82="Maharashtra",ROUND(G82*9%,0),0)</f>
        <v/>
      </c>
      <c r="J82" s="3">
        <f>IF(E82="Maharashtra",0,ROUND(G82*18%,0))</f>
        <v/>
      </c>
      <c r="K82" s="3">
        <f>SUM(G82:J82)</f>
        <v/>
      </c>
    </row>
    <row r="83">
      <c r="A83" t="inlineStr">
        <is>
          <t>SAF/26-27/1082</t>
        </is>
      </c>
      <c r="B83" s="17" t="n">
        <v>46246</v>
      </c>
      <c r="C83" t="inlineStr">
        <is>
          <t>Malwa Kirana</t>
        </is>
      </c>
      <c r="D83" t="inlineStr">
        <is>
          <t>23AAMFM1147C1ZT</t>
        </is>
      </c>
      <c r="E83" t="inlineStr">
        <is>
          <t>Madhya Pradesh</t>
        </is>
      </c>
      <c r="F83" t="inlineStr">
        <is>
          <t>0713</t>
        </is>
      </c>
      <c r="G83" s="3" t="n">
        <v>183550</v>
      </c>
      <c r="H83" s="3">
        <f>IF(E83="Maharashtra",ROUND(G83*9%,0),0)</f>
        <v/>
      </c>
      <c r="I83" s="3">
        <f>IF(E83="Maharashtra",ROUND(G83*9%,0),0)</f>
        <v/>
      </c>
      <c r="J83" s="3">
        <f>IF(E83="Maharashtra",0,ROUND(G83*18%,0))</f>
        <v/>
      </c>
      <c r="K83" s="3">
        <f>SUM(G83:J83)</f>
        <v/>
      </c>
    </row>
    <row r="84">
      <c r="A84" t="inlineStr">
        <is>
          <t>SAF/26-27/1083</t>
        </is>
      </c>
      <c r="B84" s="17" t="n">
        <v>46247</v>
      </c>
      <c r="C84" t="inlineStr">
        <is>
          <t>Chennai Spice House</t>
        </is>
      </c>
      <c r="D84" t="inlineStr">
        <is>
          <t>33AACFC3305D1Z4</t>
        </is>
      </c>
      <c r="E84" t="inlineStr">
        <is>
          <t>Tamil Nadu</t>
        </is>
      </c>
      <c r="F84" t="inlineStr">
        <is>
          <t>1006</t>
        </is>
      </c>
      <c r="G84" s="3" t="n">
        <v>374650</v>
      </c>
      <c r="H84" s="3">
        <f>IF(E84="Maharashtra",ROUND(G84*9%,0),0)</f>
        <v/>
      </c>
      <c r="I84" s="3">
        <f>IF(E84="Maharashtra",ROUND(G84*9%,0),0)</f>
        <v/>
      </c>
      <c r="J84" s="3">
        <f>IF(E84="Maharashtra",0,ROUND(G84*18%,0))</f>
        <v/>
      </c>
      <c r="K84" s="3">
        <f>SUM(G84:J84)</f>
        <v/>
      </c>
    </row>
    <row r="85">
      <c r="A85" t="inlineStr">
        <is>
          <t>SAF/26-27/1084</t>
        </is>
      </c>
      <c r="B85" s="17" t="n">
        <v>46247</v>
      </c>
      <c r="C85" t="inlineStr">
        <is>
          <t>Konkan Fresh</t>
        </is>
      </c>
      <c r="D85" t="inlineStr">
        <is>
          <t>27AAKCK6638P1Z9</t>
        </is>
      </c>
      <c r="E85" t="inlineStr">
        <is>
          <t>Maharashtra</t>
        </is>
      </c>
      <c r="F85" t="inlineStr">
        <is>
          <t>1101</t>
        </is>
      </c>
      <c r="G85" s="3" t="n">
        <v>401800</v>
      </c>
      <c r="H85" s="3">
        <f>IF(E85="Maharashtra",ROUND(G85*9%,0),0)</f>
        <v/>
      </c>
      <c r="I85" s="3">
        <f>IF(E85="Maharashtra",ROUND(G85*9%,0),0)</f>
        <v/>
      </c>
      <c r="J85" s="3">
        <f>IF(E85="Maharashtra",0,ROUND(G85*18%,0))</f>
        <v/>
      </c>
      <c r="K85" s="3">
        <f>SUM(G85:J85)</f>
        <v/>
      </c>
    </row>
    <row r="86">
      <c r="A86" t="inlineStr">
        <is>
          <t>SAF/26-27/1085</t>
        </is>
      </c>
      <c r="B86" s="17" t="n">
        <v>46248</v>
      </c>
      <c r="C86" t="inlineStr">
        <is>
          <t>Gujarat Agro Mart</t>
        </is>
      </c>
      <c r="D86" t="inlineStr">
        <is>
          <t>24AAGCG5530R1Z1</t>
        </is>
      </c>
      <c r="E86" t="inlineStr">
        <is>
          <t>Gujarat</t>
        </is>
      </c>
      <c r="F86" t="inlineStr">
        <is>
          <t>0902</t>
        </is>
      </c>
      <c r="G86" s="3" t="n">
        <v>329950</v>
      </c>
      <c r="H86" s="3">
        <f>IF(E86="Maharashtra",ROUND(G86*9%,0),0)</f>
        <v/>
      </c>
      <c r="I86" s="3">
        <f>IF(E86="Maharashtra",ROUND(G86*9%,0),0)</f>
        <v/>
      </c>
      <c r="J86" s="3">
        <f>IF(E86="Maharashtra",0,ROUND(G86*18%,0))</f>
        <v/>
      </c>
      <c r="K86" s="3">
        <f>SUM(G86:J86)</f>
        <v/>
      </c>
    </row>
    <row r="87">
      <c r="A87" t="inlineStr">
        <is>
          <t>SAF/26-27/1086</t>
        </is>
      </c>
      <c r="B87" s="17" t="n">
        <v>46249</v>
      </c>
      <c r="C87" t="inlineStr">
        <is>
          <t>Annapurna Stores</t>
        </is>
      </c>
      <c r="D87" t="inlineStr">
        <is>
          <t>27AABPA2219L1ZQ</t>
        </is>
      </c>
      <c r="E87" t="inlineStr">
        <is>
          <t>Maharashtra</t>
        </is>
      </c>
      <c r="F87" t="inlineStr">
        <is>
          <t>0713</t>
        </is>
      </c>
      <c r="G87" s="3" t="n">
        <v>299200</v>
      </c>
      <c r="H87" s="3">
        <f>IF(E87="Maharashtra",ROUND(G87*9%,0),0)</f>
        <v/>
      </c>
      <c r="I87" s="3">
        <f>IF(E87="Maharashtra",ROUND(G87*9%,0),0)</f>
        <v/>
      </c>
      <c r="J87" s="3">
        <f>IF(E87="Maharashtra",0,ROUND(G87*18%,0))</f>
        <v/>
      </c>
      <c r="K87" s="3">
        <f>SUM(G87:J87)</f>
        <v/>
      </c>
    </row>
    <row r="88">
      <c r="A88" t="inlineStr">
        <is>
          <t>SAF/26-27/1087</t>
        </is>
      </c>
      <c r="B88" s="17" t="n">
        <v>46249</v>
      </c>
      <c r="C88" t="inlineStr">
        <is>
          <t>Balaji Wholesale</t>
        </is>
      </c>
      <c r="D88" t="inlineStr">
        <is>
          <t>29AADFB7314K1Z8</t>
        </is>
      </c>
      <c r="E88" t="inlineStr">
        <is>
          <t>Karnataka</t>
        </is>
      </c>
      <c r="F88" t="inlineStr">
        <is>
          <t>0910</t>
        </is>
      </c>
      <c r="G88" s="3" t="n">
        <v>354400</v>
      </c>
      <c r="H88" s="3">
        <f>IF(E88="Maharashtra",ROUND(G88*9%,0),0)</f>
        <v/>
      </c>
      <c r="I88" s="3">
        <f>IF(E88="Maharashtra",ROUND(G88*9%,0),0)</f>
        <v/>
      </c>
      <c r="J88" s="3">
        <f>IF(E88="Maharashtra",0,ROUND(G88*18%,0))</f>
        <v/>
      </c>
      <c r="K88" s="3">
        <f>SUM(G88:J88)</f>
        <v/>
      </c>
    </row>
    <row r="89">
      <c r="A89" t="inlineStr">
        <is>
          <t>SAF/26-27/1088</t>
        </is>
      </c>
      <c r="B89" s="17" t="n">
        <v>46249</v>
      </c>
      <c r="C89" t="inlineStr">
        <is>
          <t>Malwa Kirana</t>
        </is>
      </c>
      <c r="D89" t="inlineStr">
        <is>
          <t>23AAMFM1147C1ZT</t>
        </is>
      </c>
      <c r="E89" t="inlineStr">
        <is>
          <t>Madhya Pradesh</t>
        </is>
      </c>
      <c r="F89" t="inlineStr">
        <is>
          <t>0902</t>
        </is>
      </c>
      <c r="G89" s="3" t="n">
        <v>146900</v>
      </c>
      <c r="H89" s="3">
        <f>IF(E89="Maharashtra",ROUND(G89*9%,0),0)</f>
        <v/>
      </c>
      <c r="I89" s="3">
        <f>IF(E89="Maharashtra",ROUND(G89*9%,0),0)</f>
        <v/>
      </c>
      <c r="J89" s="3">
        <f>IF(E89="Maharashtra",0,ROUND(G89*18%,0))</f>
        <v/>
      </c>
      <c r="K89" s="3">
        <f>SUM(G89:J89)</f>
        <v/>
      </c>
    </row>
    <row r="90">
      <c r="A90" t="inlineStr">
        <is>
          <t>SAF/26-27/1089</t>
        </is>
      </c>
      <c r="B90" s="17" t="n">
        <v>46250</v>
      </c>
      <c r="C90" t="inlineStr">
        <is>
          <t>Balaji Wholesale</t>
        </is>
      </c>
      <c r="D90" t="inlineStr">
        <is>
          <t>29AADFB7314K1Z8</t>
        </is>
      </c>
      <c r="E90" t="inlineStr">
        <is>
          <t>Karnataka</t>
        </is>
      </c>
      <c r="F90" t="inlineStr">
        <is>
          <t>1006</t>
        </is>
      </c>
      <c r="G90" s="3" t="n">
        <v>300150</v>
      </c>
      <c r="H90" s="3">
        <f>IF(E90="Maharashtra",ROUND(G90*9%,0),0)</f>
        <v/>
      </c>
      <c r="I90" s="3">
        <f>IF(E90="Maharashtra",ROUND(G90*9%,0),0)</f>
        <v/>
      </c>
      <c r="J90" s="3">
        <f>IF(E90="Maharashtra",0,ROUND(G90*18%,0))</f>
        <v/>
      </c>
      <c r="K90" s="3">
        <f>SUM(G90:J90)</f>
        <v/>
      </c>
    </row>
    <row r="91">
      <c r="A91" t="inlineStr">
        <is>
          <t>SAF/26-27/1090</t>
        </is>
      </c>
      <c r="B91" s="17" t="n">
        <v>46253</v>
      </c>
      <c r="C91" t="inlineStr">
        <is>
          <t>Shree Krishna Traders</t>
        </is>
      </c>
      <c r="D91" t="inlineStr">
        <is>
          <t>27AAKFS4821M1Z3</t>
        </is>
      </c>
      <c r="E91" t="inlineStr">
        <is>
          <t>Maharashtra</t>
        </is>
      </c>
      <c r="F91" t="inlineStr">
        <is>
          <t>1006</t>
        </is>
      </c>
      <c r="G91" s="3" t="n">
        <v>71550</v>
      </c>
      <c r="H91" s="3">
        <f>IF(E91="Maharashtra",ROUND(G91*9%,0),0)</f>
        <v/>
      </c>
      <c r="I91" s="3">
        <f>IF(E91="Maharashtra",ROUND(G91*9%,0),0)</f>
        <v/>
      </c>
      <c r="J91" s="3">
        <f>IF(E91="Maharashtra",0,ROUND(G91*18%,0))</f>
        <v/>
      </c>
      <c r="K91" s="3">
        <f>SUM(G91:J91)</f>
        <v/>
      </c>
    </row>
    <row r="92">
      <c r="A92" t="inlineStr">
        <is>
          <t>SAF/26-27/1091</t>
        </is>
      </c>
      <c r="B92" s="17" t="n">
        <v>46256</v>
      </c>
      <c r="C92" t="inlineStr">
        <is>
          <t>Deccan Retail</t>
        </is>
      </c>
      <c r="D92" t="inlineStr">
        <is>
          <t>36AAECD9902H1Z6</t>
        </is>
      </c>
      <c r="E92" t="inlineStr">
        <is>
          <t>Telangana</t>
        </is>
      </c>
      <c r="F92" t="inlineStr">
        <is>
          <t>1101</t>
        </is>
      </c>
      <c r="G92" s="3" t="n">
        <v>251250</v>
      </c>
      <c r="H92" s="3">
        <f>IF(E92="Maharashtra",ROUND(G92*9%,0),0)</f>
        <v/>
      </c>
      <c r="I92" s="3">
        <f>IF(E92="Maharashtra",ROUND(G92*9%,0),0)</f>
        <v/>
      </c>
      <c r="J92" s="3">
        <f>IF(E92="Maharashtra",0,ROUND(G92*18%,0))</f>
        <v/>
      </c>
      <c r="K92" s="3">
        <f>SUM(G92:J92)</f>
        <v/>
      </c>
    </row>
    <row r="93">
      <c r="A93" t="inlineStr">
        <is>
          <t>SAF/26-27/1092</t>
        </is>
      </c>
      <c r="B93" s="17" t="n">
        <v>46258</v>
      </c>
      <c r="C93" t="inlineStr">
        <is>
          <t>Gujarat Agro Mart</t>
        </is>
      </c>
      <c r="D93" t="inlineStr">
        <is>
          <t>24AAGCG5530R1Z1</t>
        </is>
      </c>
      <c r="E93" t="inlineStr">
        <is>
          <t>Gujarat</t>
        </is>
      </c>
      <c r="F93" t="inlineStr">
        <is>
          <t>0713</t>
        </is>
      </c>
      <c r="G93" s="3" t="n">
        <v>66150</v>
      </c>
      <c r="H93" s="3">
        <f>IF(E93="Maharashtra",ROUND(G93*9%,0),0)</f>
        <v/>
      </c>
      <c r="I93" s="3">
        <f>IF(E93="Maharashtra",ROUND(G93*9%,0),0)</f>
        <v/>
      </c>
      <c r="J93" s="3">
        <f>IF(E93="Maharashtra",0,ROUND(G93*18%,0))</f>
        <v/>
      </c>
      <c r="K93" s="3">
        <f>SUM(G93:J93)</f>
        <v/>
      </c>
    </row>
    <row r="94">
      <c r="A94" t="inlineStr">
        <is>
          <t>SAF/26-27/1093</t>
        </is>
      </c>
      <c r="B94" s="17" t="n">
        <v>46260</v>
      </c>
      <c r="C94" t="inlineStr">
        <is>
          <t>Deccan Retail</t>
        </is>
      </c>
      <c r="D94" t="inlineStr">
        <is>
          <t>36AAECD9902H1Z6</t>
        </is>
      </c>
      <c r="E94" t="inlineStr">
        <is>
          <t>Telangana</t>
        </is>
      </c>
      <c r="F94" t="inlineStr">
        <is>
          <t>1006</t>
        </is>
      </c>
      <c r="G94" s="3" t="n">
        <v>25800</v>
      </c>
      <c r="H94" s="3">
        <f>IF(E94="Maharashtra",ROUND(G94*9%,0),0)</f>
        <v/>
      </c>
      <c r="I94" s="3">
        <f>IF(E94="Maharashtra",ROUND(G94*9%,0),0)</f>
        <v/>
      </c>
      <c r="J94" s="3">
        <f>IF(E94="Maharashtra",0,ROUND(G94*18%,0))</f>
        <v/>
      </c>
      <c r="K94" s="3">
        <f>SUM(G94:J94)</f>
        <v/>
      </c>
    </row>
    <row r="95">
      <c r="A95" t="inlineStr">
        <is>
          <t>SAF/26-27/1094</t>
        </is>
      </c>
      <c r="B95" s="17" t="n">
        <v>46263</v>
      </c>
      <c r="C95" t="inlineStr">
        <is>
          <t>Konkan Fresh</t>
        </is>
      </c>
      <c r="D95" t="inlineStr">
        <is>
          <t>27AAKCK6638P1Z9</t>
        </is>
      </c>
      <c r="E95" t="inlineStr">
        <is>
          <t>Maharashtra</t>
        </is>
      </c>
      <c r="F95" t="inlineStr">
        <is>
          <t>0902</t>
        </is>
      </c>
      <c r="G95" s="3" t="n">
        <v>327700</v>
      </c>
      <c r="H95" s="3">
        <f>IF(E95="Maharashtra",ROUND(G95*9%,0),0)</f>
        <v/>
      </c>
      <c r="I95" s="3">
        <f>IF(E95="Maharashtra",ROUND(G95*9%,0),0)</f>
        <v/>
      </c>
      <c r="J95" s="3">
        <f>IF(E95="Maharashtra",0,ROUND(G95*18%,0))</f>
        <v/>
      </c>
      <c r="K95" s="3">
        <f>SUM(G95:J95)</f>
        <v/>
      </c>
    </row>
    <row r="96">
      <c r="A96" t="inlineStr">
        <is>
          <t>SAF/26-27/1095</t>
        </is>
      </c>
      <c r="B96" s="17" t="n">
        <v>46264</v>
      </c>
      <c r="C96" t="inlineStr">
        <is>
          <t>Balaji Wholesale</t>
        </is>
      </c>
      <c r="D96" t="inlineStr">
        <is>
          <t>29AADFB7314K1Z8</t>
        </is>
      </c>
      <c r="E96" t="inlineStr">
        <is>
          <t>Karnataka</t>
        </is>
      </c>
      <c r="F96" t="inlineStr">
        <is>
          <t>0713</t>
        </is>
      </c>
      <c r="G96" s="3" t="n">
        <v>132150</v>
      </c>
      <c r="H96" s="3">
        <f>IF(E96="Maharashtra",ROUND(G96*9%,0),0)</f>
        <v/>
      </c>
      <c r="I96" s="3">
        <f>IF(E96="Maharashtra",ROUND(G96*9%,0),0)</f>
        <v/>
      </c>
      <c r="J96" s="3">
        <f>IF(E96="Maharashtra",0,ROUND(G96*18%,0))</f>
        <v/>
      </c>
      <c r="K96" s="3">
        <f>SUM(G96:J96)</f>
        <v/>
      </c>
    </row>
    <row r="97">
      <c r="A97" t="inlineStr">
        <is>
          <t>SAF/26-27/1096</t>
        </is>
      </c>
      <c r="B97" s="17" t="n">
        <v>46264</v>
      </c>
      <c r="C97" t="inlineStr">
        <is>
          <t>Malwa Kirana</t>
        </is>
      </c>
      <c r="D97" t="inlineStr">
        <is>
          <t>23AAMFM1147C1ZT</t>
        </is>
      </c>
      <c r="E97" t="inlineStr">
        <is>
          <t>Madhya Pradesh</t>
        </is>
      </c>
      <c r="F97" t="inlineStr">
        <is>
          <t>1101</t>
        </is>
      </c>
      <c r="G97" s="3" t="n">
        <v>150200</v>
      </c>
      <c r="H97" s="3">
        <f>IF(E97="Maharashtra",ROUND(G97*9%,0),0)</f>
        <v/>
      </c>
      <c r="I97" s="3">
        <f>IF(E97="Maharashtra",ROUND(G97*9%,0),0)</f>
        <v/>
      </c>
      <c r="J97" s="3">
        <f>IF(E97="Maharashtra",0,ROUND(G97*18%,0))</f>
        <v/>
      </c>
      <c r="K97" s="3">
        <f>SUM(G97:J97)</f>
        <v/>
      </c>
    </row>
    <row r="98">
      <c r="A98" t="inlineStr">
        <is>
          <t>SAF/26-27/1097</t>
        </is>
      </c>
      <c r="B98" s="17" t="n">
        <v>46264</v>
      </c>
      <c r="C98" t="inlineStr">
        <is>
          <t>Malwa Kirana</t>
        </is>
      </c>
      <c r="D98" t="inlineStr">
        <is>
          <t>23AAMFM1147C1ZT</t>
        </is>
      </c>
      <c r="E98" t="inlineStr">
        <is>
          <t>Madhya Pradesh</t>
        </is>
      </c>
      <c r="F98" t="inlineStr">
        <is>
          <t>1101</t>
        </is>
      </c>
      <c r="G98" s="3" t="n">
        <v>465500</v>
      </c>
      <c r="H98" s="3">
        <f>IF(E98="Maharashtra",ROUND(G98*9%,0),0)</f>
        <v/>
      </c>
      <c r="I98" s="3">
        <f>IF(E98="Maharashtra",ROUND(G98*9%,0),0)</f>
        <v/>
      </c>
      <c r="J98" s="3">
        <f>IF(E98="Maharashtra",0,ROUND(G98*18%,0))</f>
        <v/>
      </c>
      <c r="K98" s="3">
        <f>SUM(G98:J98)</f>
        <v/>
      </c>
    </row>
    <row r="99">
      <c r="A99" t="inlineStr">
        <is>
          <t>SAF/26-27/1098</t>
        </is>
      </c>
      <c r="B99" s="17" t="n">
        <v>46265</v>
      </c>
      <c r="C99" t="inlineStr">
        <is>
          <t>Malwa Kirana</t>
        </is>
      </c>
      <c r="D99" t="inlineStr">
        <is>
          <t>23AAMFM1147C1ZT</t>
        </is>
      </c>
      <c r="E99" t="inlineStr">
        <is>
          <t>Madhya Pradesh</t>
        </is>
      </c>
      <c r="F99" t="inlineStr">
        <is>
          <t>0910</t>
        </is>
      </c>
      <c r="G99" s="3" t="n">
        <v>140900</v>
      </c>
      <c r="H99" s="3">
        <f>IF(E99="Maharashtra",ROUND(G99*9%,0),0)</f>
        <v/>
      </c>
      <c r="I99" s="3">
        <f>IF(E99="Maharashtra",ROUND(G99*9%,0),0)</f>
        <v/>
      </c>
      <c r="J99" s="3">
        <f>IF(E99="Maharashtra",0,ROUND(G99*18%,0))</f>
        <v/>
      </c>
      <c r="K99" s="3">
        <f>SUM(G99:J99)</f>
        <v/>
      </c>
    </row>
    <row r="100">
      <c r="A100" t="inlineStr">
        <is>
          <t>SAF/26-27/1099</t>
        </is>
      </c>
      <c r="B100" s="17" t="n">
        <v>46266</v>
      </c>
      <c r="C100" t="inlineStr">
        <is>
          <t>Shree Krishna Traders</t>
        </is>
      </c>
      <c r="D100" t="inlineStr">
        <is>
          <t>27AAKFS4821M1Z3</t>
        </is>
      </c>
      <c r="E100" t="inlineStr">
        <is>
          <t>Maharashtra</t>
        </is>
      </c>
      <c r="F100" t="inlineStr">
        <is>
          <t>0902</t>
        </is>
      </c>
      <c r="G100" s="3" t="n">
        <v>224050</v>
      </c>
      <c r="H100" s="3">
        <f>IF(E100="Maharashtra",ROUND(G100*9%,0),0)</f>
        <v/>
      </c>
      <c r="I100" s="3">
        <f>IF(E100="Maharashtra",ROUND(G100*9%,0),0)</f>
        <v/>
      </c>
      <c r="J100" s="3">
        <f>IF(E100="Maharashtra",0,ROUND(G100*18%,0))</f>
        <v/>
      </c>
      <c r="K100" s="3">
        <f>SUM(G100:J100)</f>
        <v/>
      </c>
    </row>
    <row r="101">
      <c r="A101" t="inlineStr">
        <is>
          <t>SAF/26-27/1100</t>
        </is>
      </c>
      <c r="B101" s="17" t="n">
        <v>46269</v>
      </c>
      <c r="C101" t="inlineStr">
        <is>
          <t>Balaji Wholesale</t>
        </is>
      </c>
      <c r="D101" t="inlineStr">
        <is>
          <t>29AADFB7314K1Z8</t>
        </is>
      </c>
      <c r="E101" t="inlineStr">
        <is>
          <t>Karnataka</t>
        </is>
      </c>
      <c r="F101" t="inlineStr">
        <is>
          <t>0902</t>
        </is>
      </c>
      <c r="G101" s="3" t="n">
        <v>305000</v>
      </c>
      <c r="H101" s="3">
        <f>IF(E101="Maharashtra",ROUND(G101*9%,0),0)</f>
        <v/>
      </c>
      <c r="I101" s="3">
        <f>IF(E101="Maharashtra",ROUND(G101*9%,0),0)</f>
        <v/>
      </c>
      <c r="J101" s="3">
        <f>IF(E101="Maharashtra",0,ROUND(G101*18%,0))</f>
        <v/>
      </c>
      <c r="K101" s="3">
        <f>SUM(G101:J101)</f>
        <v/>
      </c>
    </row>
    <row r="102">
      <c r="A102" t="inlineStr">
        <is>
          <t>SAF/26-27/1101</t>
        </is>
      </c>
      <c r="B102" s="17" t="n">
        <v>46272</v>
      </c>
      <c r="C102" t="inlineStr">
        <is>
          <t>Konkan Fresh</t>
        </is>
      </c>
      <c r="D102" t="inlineStr">
        <is>
          <t>27AAKCK6638P1Z9</t>
        </is>
      </c>
      <c r="E102" t="inlineStr">
        <is>
          <t>Maharashtra</t>
        </is>
      </c>
      <c r="F102" t="inlineStr">
        <is>
          <t>0902</t>
        </is>
      </c>
      <c r="G102" s="3" t="n">
        <v>95050</v>
      </c>
      <c r="H102" s="3">
        <f>IF(E102="Maharashtra",ROUND(G102*9%,0),0)</f>
        <v/>
      </c>
      <c r="I102" s="3">
        <f>IF(E102="Maharashtra",ROUND(G102*9%,0),0)</f>
        <v/>
      </c>
      <c r="J102" s="3">
        <f>IF(E102="Maharashtra",0,ROUND(G102*18%,0))</f>
        <v/>
      </c>
      <c r="K102" s="3">
        <f>SUM(G102:J102)</f>
        <v/>
      </c>
    </row>
    <row r="103">
      <c r="A103" t="inlineStr">
        <is>
          <t>SAF/26-27/1102</t>
        </is>
      </c>
      <c r="B103" s="17" t="n">
        <v>46273</v>
      </c>
      <c r="C103" t="inlineStr">
        <is>
          <t>Annapurna Stores</t>
        </is>
      </c>
      <c r="D103" t="inlineStr">
        <is>
          <t>27AABPA2219L1ZQ</t>
        </is>
      </c>
      <c r="E103" t="inlineStr">
        <is>
          <t>Maharashtra</t>
        </is>
      </c>
      <c r="F103" t="inlineStr">
        <is>
          <t>1006</t>
        </is>
      </c>
      <c r="G103" s="3" t="n">
        <v>376600</v>
      </c>
      <c r="H103" s="3">
        <f>IF(E103="Maharashtra",ROUND(G103*9%,0),0)</f>
        <v/>
      </c>
      <c r="I103" s="3">
        <f>IF(E103="Maharashtra",ROUND(G103*9%,0),0)</f>
        <v/>
      </c>
      <c r="J103" s="3">
        <f>IF(E103="Maharashtra",0,ROUND(G103*18%,0))</f>
        <v/>
      </c>
      <c r="K103" s="3">
        <f>SUM(G103:J103)</f>
        <v/>
      </c>
    </row>
    <row r="104">
      <c r="A104" t="inlineStr">
        <is>
          <t>SAF/26-27/1103</t>
        </is>
      </c>
      <c r="B104" s="17" t="n">
        <v>46276</v>
      </c>
      <c r="C104" t="inlineStr">
        <is>
          <t>Konkan Fresh</t>
        </is>
      </c>
      <c r="D104" t="inlineStr">
        <is>
          <t>27AAKCK6638P1Z9</t>
        </is>
      </c>
      <c r="E104" t="inlineStr">
        <is>
          <t>Maharashtra</t>
        </is>
      </c>
      <c r="F104" t="inlineStr">
        <is>
          <t>1101</t>
        </is>
      </c>
      <c r="G104" s="3" t="n">
        <v>42650</v>
      </c>
      <c r="H104" s="3">
        <f>IF(E104="Maharashtra",ROUND(G104*9%,0),0)</f>
        <v/>
      </c>
      <c r="I104" s="3">
        <f>IF(E104="Maharashtra",ROUND(G104*9%,0),0)</f>
        <v/>
      </c>
      <c r="J104" s="3">
        <f>IF(E104="Maharashtra",0,ROUND(G104*18%,0))</f>
        <v/>
      </c>
      <c r="K104" s="3">
        <f>SUM(G104:J104)</f>
        <v/>
      </c>
    </row>
    <row r="105">
      <c r="A105" t="inlineStr">
        <is>
          <t>SAF/26-27/1104</t>
        </is>
      </c>
      <c r="B105" s="17" t="n">
        <v>46278</v>
      </c>
      <c r="C105" t="inlineStr">
        <is>
          <t>Deccan Retail</t>
        </is>
      </c>
      <c r="D105" t="inlineStr">
        <is>
          <t>36AAECD9902H1Z6</t>
        </is>
      </c>
      <c r="E105" t="inlineStr">
        <is>
          <t>Telangana</t>
        </is>
      </c>
      <c r="F105" t="inlineStr">
        <is>
          <t>0902</t>
        </is>
      </c>
      <c r="G105" s="3" t="n">
        <v>52200</v>
      </c>
      <c r="H105" s="3">
        <f>IF(E105="Maharashtra",ROUND(G105*9%,0),0)</f>
        <v/>
      </c>
      <c r="I105" s="3">
        <f>IF(E105="Maharashtra",ROUND(G105*9%,0),0)</f>
        <v/>
      </c>
      <c r="J105" s="3">
        <f>IF(E105="Maharashtra",0,ROUND(G105*18%,0))</f>
        <v/>
      </c>
      <c r="K105" s="3">
        <f>SUM(G105:J105)</f>
        <v/>
      </c>
    </row>
    <row r="106">
      <c r="A106" t="inlineStr">
        <is>
          <t>SAF/26-27/1105</t>
        </is>
      </c>
      <c r="B106" s="17" t="n">
        <v>46279</v>
      </c>
      <c r="C106" t="inlineStr">
        <is>
          <t>Shree Krishna Traders</t>
        </is>
      </c>
      <c r="D106" t="inlineStr">
        <is>
          <t>27AAKFS4821M1Z3</t>
        </is>
      </c>
      <c r="E106" t="inlineStr">
        <is>
          <t>Maharashtra</t>
        </is>
      </c>
      <c r="F106" t="inlineStr">
        <is>
          <t>1006</t>
        </is>
      </c>
      <c r="G106" s="3" t="n">
        <v>39250</v>
      </c>
      <c r="H106" s="3">
        <f>IF(E106="Maharashtra",ROUND(G106*9%,0),0)</f>
        <v/>
      </c>
      <c r="I106" s="3">
        <f>IF(E106="Maharashtra",ROUND(G106*9%,0),0)</f>
        <v/>
      </c>
      <c r="J106" s="3">
        <f>IF(E106="Maharashtra",0,ROUND(G106*18%,0))</f>
        <v/>
      </c>
      <c r="K106" s="3">
        <f>SUM(G106:J106)</f>
        <v/>
      </c>
    </row>
    <row r="107">
      <c r="A107" t="inlineStr">
        <is>
          <t>SAF/26-27/1106</t>
        </is>
      </c>
      <c r="B107" s="17" t="n">
        <v>46282</v>
      </c>
      <c r="C107" t="inlineStr">
        <is>
          <t>Konkan Fresh</t>
        </is>
      </c>
      <c r="D107" t="inlineStr">
        <is>
          <t>27AAKCK6638P1Z9</t>
        </is>
      </c>
      <c r="E107" t="inlineStr">
        <is>
          <t>Maharashtra</t>
        </is>
      </c>
      <c r="F107" t="inlineStr">
        <is>
          <t>0713</t>
        </is>
      </c>
      <c r="G107" s="3" t="n">
        <v>132100</v>
      </c>
      <c r="H107" s="3">
        <f>IF(E107="Maharashtra",ROUND(G107*9%,0),0)</f>
        <v/>
      </c>
      <c r="I107" s="3">
        <f>IF(E107="Maharashtra",ROUND(G107*9%,0),0)</f>
        <v/>
      </c>
      <c r="J107" s="3">
        <f>IF(E107="Maharashtra",0,ROUND(G107*18%,0))</f>
        <v/>
      </c>
      <c r="K107" s="3">
        <f>SUM(G107:J107)</f>
        <v/>
      </c>
    </row>
    <row r="108">
      <c r="A108" t="inlineStr">
        <is>
          <t>SAF/26-27/1107</t>
        </is>
      </c>
      <c r="B108" s="17" t="n">
        <v>46283</v>
      </c>
      <c r="C108" t="inlineStr">
        <is>
          <t>Chennai Spice House</t>
        </is>
      </c>
      <c r="D108" t="inlineStr">
        <is>
          <t>33AACFC3305D1Z4</t>
        </is>
      </c>
      <c r="E108" t="inlineStr">
        <is>
          <t>Tamil Nadu</t>
        </is>
      </c>
      <c r="F108" t="inlineStr">
        <is>
          <t>0910</t>
        </is>
      </c>
      <c r="G108" s="3" t="n">
        <v>265900</v>
      </c>
      <c r="H108" s="3">
        <f>IF(E108="Maharashtra",ROUND(G108*9%,0),0)</f>
        <v/>
      </c>
      <c r="I108" s="3">
        <f>IF(E108="Maharashtra",ROUND(G108*9%,0),0)</f>
        <v/>
      </c>
      <c r="J108" s="3">
        <f>IF(E108="Maharashtra",0,ROUND(G108*18%,0))</f>
        <v/>
      </c>
      <c r="K108" s="3">
        <f>SUM(G108:J108)</f>
        <v/>
      </c>
    </row>
    <row r="109">
      <c r="A109" t="inlineStr">
        <is>
          <t>SAF/26-27/1108</t>
        </is>
      </c>
      <c r="B109" s="17" t="n">
        <v>46286</v>
      </c>
      <c r="C109" t="inlineStr">
        <is>
          <t>Chennai Spice House</t>
        </is>
      </c>
      <c r="D109" t="inlineStr">
        <is>
          <t>33AACFC3305D1Z4</t>
        </is>
      </c>
      <c r="E109" t="inlineStr">
        <is>
          <t>Tamil Nadu</t>
        </is>
      </c>
      <c r="F109" t="inlineStr">
        <is>
          <t>1101</t>
        </is>
      </c>
      <c r="G109" s="3" t="n">
        <v>459850</v>
      </c>
      <c r="H109" s="3">
        <f>IF(E109="Maharashtra",ROUND(G109*9%,0),0)</f>
        <v/>
      </c>
      <c r="I109" s="3">
        <f>IF(E109="Maharashtra",ROUND(G109*9%,0),0)</f>
        <v/>
      </c>
      <c r="J109" s="3">
        <f>IF(E109="Maharashtra",0,ROUND(G109*18%,0))</f>
        <v/>
      </c>
      <c r="K109" s="3">
        <f>SUM(G109:J109)</f>
        <v/>
      </c>
    </row>
    <row r="110">
      <c r="A110" t="inlineStr">
        <is>
          <t>SAF/26-27/1109</t>
        </is>
      </c>
      <c r="B110" s="17" t="n">
        <v>46286</v>
      </c>
      <c r="C110" t="inlineStr">
        <is>
          <t>Chennai Spice House</t>
        </is>
      </c>
      <c r="D110" t="inlineStr">
        <is>
          <t>33AACFC3305D1Z4</t>
        </is>
      </c>
      <c r="E110" t="inlineStr">
        <is>
          <t>Tamil Nadu</t>
        </is>
      </c>
      <c r="F110" t="inlineStr">
        <is>
          <t>1006</t>
        </is>
      </c>
      <c r="G110" s="3" t="n">
        <v>357700</v>
      </c>
      <c r="H110" s="3">
        <f>IF(E110="Maharashtra",ROUND(G110*9%,0),0)</f>
        <v/>
      </c>
      <c r="I110" s="3">
        <f>IF(E110="Maharashtra",ROUND(G110*9%,0),0)</f>
        <v/>
      </c>
      <c r="J110" s="3">
        <f>IF(E110="Maharashtra",0,ROUND(G110*18%,0))</f>
        <v/>
      </c>
      <c r="K110" s="3">
        <f>SUM(G110:J110)</f>
        <v/>
      </c>
    </row>
    <row r="111">
      <c r="A111" t="inlineStr">
        <is>
          <t>SAF/26-27/1110</t>
        </is>
      </c>
      <c r="B111" s="17" t="n">
        <v>46286</v>
      </c>
      <c r="C111" t="inlineStr">
        <is>
          <t>Annapurna Stores</t>
        </is>
      </c>
      <c r="D111" t="inlineStr">
        <is>
          <t>27AABPA2219L1ZQ</t>
        </is>
      </c>
      <c r="E111" t="inlineStr">
        <is>
          <t>Maharashtra</t>
        </is>
      </c>
      <c r="F111" t="inlineStr">
        <is>
          <t>0910</t>
        </is>
      </c>
      <c r="G111" s="3" t="n">
        <v>152750</v>
      </c>
      <c r="H111" s="3">
        <f>IF(E111="Maharashtra",ROUND(G111*9%,0),0)</f>
        <v/>
      </c>
      <c r="I111" s="3">
        <f>IF(E111="Maharashtra",ROUND(G111*9%,0),0)</f>
        <v/>
      </c>
      <c r="J111" s="3">
        <f>IF(E111="Maharashtra",0,ROUND(G111*18%,0))</f>
        <v/>
      </c>
      <c r="K111" s="3">
        <f>SUM(G111:J111)</f>
        <v/>
      </c>
    </row>
    <row r="112">
      <c r="A112" t="inlineStr">
        <is>
          <t>SAF/26-27/1111</t>
        </is>
      </c>
      <c r="B112" s="17" t="n">
        <v>46287</v>
      </c>
      <c r="C112" t="inlineStr">
        <is>
          <t>Konkan Fresh</t>
        </is>
      </c>
      <c r="D112" t="inlineStr">
        <is>
          <t>27AAKCK6638P1Z9</t>
        </is>
      </c>
      <c r="E112" t="inlineStr">
        <is>
          <t>Maharashtra</t>
        </is>
      </c>
      <c r="F112" t="inlineStr">
        <is>
          <t>1101</t>
        </is>
      </c>
      <c r="G112" s="3" t="n">
        <v>327950</v>
      </c>
      <c r="H112" s="3">
        <f>IF(E112="Maharashtra",ROUND(G112*9%,0),0)</f>
        <v/>
      </c>
      <c r="I112" s="3">
        <f>IF(E112="Maharashtra",ROUND(G112*9%,0),0)</f>
        <v/>
      </c>
      <c r="J112" s="3">
        <f>IF(E112="Maharashtra",0,ROUND(G112*18%,0))</f>
        <v/>
      </c>
      <c r="K112" s="3">
        <f>SUM(G112:J112)</f>
        <v/>
      </c>
    </row>
    <row r="113">
      <c r="A113" t="inlineStr">
        <is>
          <t>SAF/26-27/1112</t>
        </is>
      </c>
      <c r="B113" s="17" t="n">
        <v>46288</v>
      </c>
      <c r="C113" t="inlineStr">
        <is>
          <t>Malwa Kirana</t>
        </is>
      </c>
      <c r="D113" t="inlineStr">
        <is>
          <t>23AAMFM1147C1ZT</t>
        </is>
      </c>
      <c r="E113" t="inlineStr">
        <is>
          <t>Madhya Pradesh</t>
        </is>
      </c>
      <c r="F113" t="inlineStr">
        <is>
          <t>0902</t>
        </is>
      </c>
      <c r="G113" s="3" t="n">
        <v>353250</v>
      </c>
      <c r="H113" s="3">
        <f>IF(E113="Maharashtra",ROUND(G113*9%,0),0)</f>
        <v/>
      </c>
      <c r="I113" s="3">
        <f>IF(E113="Maharashtra",ROUND(G113*9%,0),0)</f>
        <v/>
      </c>
      <c r="J113" s="3">
        <f>IF(E113="Maharashtra",0,ROUND(G113*18%,0))</f>
        <v/>
      </c>
      <c r="K113" s="3">
        <f>SUM(G113:J113)</f>
        <v/>
      </c>
    </row>
    <row r="114">
      <c r="A114" t="inlineStr">
        <is>
          <t>SAF/26-27/1113</t>
        </is>
      </c>
      <c r="B114" s="17" t="n">
        <v>46288</v>
      </c>
      <c r="C114" t="inlineStr">
        <is>
          <t>Malwa Kirana</t>
        </is>
      </c>
      <c r="D114" t="inlineStr">
        <is>
          <t>23AAMFM1147C1ZT</t>
        </is>
      </c>
      <c r="E114" t="inlineStr">
        <is>
          <t>Madhya Pradesh</t>
        </is>
      </c>
      <c r="F114" t="inlineStr">
        <is>
          <t>0902</t>
        </is>
      </c>
      <c r="G114" s="3" t="n">
        <v>366900</v>
      </c>
      <c r="H114" s="3">
        <f>IF(E114="Maharashtra",ROUND(G114*9%,0),0)</f>
        <v/>
      </c>
      <c r="I114" s="3">
        <f>IF(E114="Maharashtra",ROUND(G114*9%,0),0)</f>
        <v/>
      </c>
      <c r="J114" s="3">
        <f>IF(E114="Maharashtra",0,ROUND(G114*18%,0))</f>
        <v/>
      </c>
      <c r="K114" s="3">
        <f>SUM(G114:J114)</f>
        <v/>
      </c>
    </row>
    <row r="115">
      <c r="A115" t="inlineStr">
        <is>
          <t>SAF/26-27/1114</t>
        </is>
      </c>
      <c r="B115" s="17" t="n">
        <v>46291</v>
      </c>
      <c r="C115" t="inlineStr">
        <is>
          <t>Balaji Wholesale</t>
        </is>
      </c>
      <c r="D115" t="inlineStr">
        <is>
          <t>29AADFB7314K1Z8</t>
        </is>
      </c>
      <c r="E115" t="inlineStr">
        <is>
          <t>Karnataka</t>
        </is>
      </c>
      <c r="F115" t="inlineStr">
        <is>
          <t>0713</t>
        </is>
      </c>
      <c r="G115" s="3" t="n">
        <v>88150</v>
      </c>
      <c r="H115" s="3">
        <f>IF(E115="Maharashtra",ROUND(G115*9%,0),0)</f>
        <v/>
      </c>
      <c r="I115" s="3">
        <f>IF(E115="Maharashtra",ROUND(G115*9%,0),0)</f>
        <v/>
      </c>
      <c r="J115" s="3">
        <f>IF(E115="Maharashtra",0,ROUND(G115*18%,0))</f>
        <v/>
      </c>
      <c r="K115" s="3">
        <f>SUM(G115:J115)</f>
        <v/>
      </c>
    </row>
    <row r="116">
      <c r="A116" t="inlineStr">
        <is>
          <t>SAF/26-27/1115</t>
        </is>
      </c>
      <c r="B116" s="17" t="n">
        <v>46292</v>
      </c>
      <c r="C116" t="inlineStr">
        <is>
          <t>Chennai Spice House</t>
        </is>
      </c>
      <c r="D116" t="inlineStr">
        <is>
          <t>33AACFC3305D1Z4</t>
        </is>
      </c>
      <c r="E116" t="inlineStr">
        <is>
          <t>Tamil Nadu</t>
        </is>
      </c>
      <c r="F116" t="inlineStr">
        <is>
          <t>0902</t>
        </is>
      </c>
      <c r="G116" s="3" t="n">
        <v>52150</v>
      </c>
      <c r="H116" s="3">
        <f>IF(E116="Maharashtra",ROUND(G116*9%,0),0)</f>
        <v/>
      </c>
      <c r="I116" s="3">
        <f>IF(E116="Maharashtra",ROUND(G116*9%,0),0)</f>
        <v/>
      </c>
      <c r="J116" s="3">
        <f>IF(E116="Maharashtra",0,ROUND(G116*18%,0))</f>
        <v/>
      </c>
      <c r="K116" s="3">
        <f>SUM(G116:J116)</f>
        <v/>
      </c>
    </row>
    <row r="117">
      <c r="A117" t="inlineStr">
        <is>
          <t>SAF/26-27/1116</t>
        </is>
      </c>
      <c r="B117" s="17" t="n">
        <v>46292</v>
      </c>
      <c r="C117" t="inlineStr">
        <is>
          <t>Gujarat Agro Mart</t>
        </is>
      </c>
      <c r="D117" t="inlineStr">
        <is>
          <t>24AAGCG5530R1Z1</t>
        </is>
      </c>
      <c r="E117" t="inlineStr">
        <is>
          <t>Gujarat</t>
        </is>
      </c>
      <c r="F117" t="inlineStr">
        <is>
          <t>0910</t>
        </is>
      </c>
      <c r="G117" s="3" t="n">
        <v>341750</v>
      </c>
      <c r="H117" s="3">
        <f>IF(E117="Maharashtra",ROUND(G117*9%,0),0)</f>
        <v/>
      </c>
      <c r="I117" s="3">
        <f>IF(E117="Maharashtra",ROUND(G117*9%,0),0)</f>
        <v/>
      </c>
      <c r="J117" s="3">
        <f>IF(E117="Maharashtra",0,ROUND(G117*18%,0))</f>
        <v/>
      </c>
      <c r="K117" s="3">
        <f>SUM(G117:J117)</f>
        <v/>
      </c>
    </row>
    <row r="118">
      <c r="A118" t="inlineStr">
        <is>
          <t>SAF/26-27/1117</t>
        </is>
      </c>
      <c r="B118" s="17" t="n">
        <v>46295</v>
      </c>
      <c r="C118" t="inlineStr">
        <is>
          <t>Gujarat Agro Mart</t>
        </is>
      </c>
      <c r="D118" t="inlineStr">
        <is>
          <t>24AAGCG5530R1Z1</t>
        </is>
      </c>
      <c r="E118" t="inlineStr">
        <is>
          <t>Gujarat</t>
        </is>
      </c>
      <c r="F118" t="inlineStr">
        <is>
          <t>1101</t>
        </is>
      </c>
      <c r="G118" s="3" t="n">
        <v>99700</v>
      </c>
      <c r="H118" s="3">
        <f>IF(E118="Maharashtra",ROUND(G118*9%,0),0)</f>
        <v/>
      </c>
      <c r="I118" s="3">
        <f>IF(E118="Maharashtra",ROUND(G118*9%,0),0)</f>
        <v/>
      </c>
      <c r="J118" s="3">
        <f>IF(E118="Maharashtra",0,ROUND(G118*18%,0))</f>
        <v/>
      </c>
      <c r="K118" s="3">
        <f>SUM(G118:J118)</f>
        <v/>
      </c>
    </row>
    <row r="119">
      <c r="A119" t="inlineStr">
        <is>
          <t>SAF/26-27/1118</t>
        </is>
      </c>
      <c r="B119" s="17" t="n">
        <v>46296</v>
      </c>
      <c r="C119" t="inlineStr">
        <is>
          <t>Annapurna Stores</t>
        </is>
      </c>
      <c r="D119" t="inlineStr">
        <is>
          <t>27AABPA2219L1ZQ</t>
        </is>
      </c>
      <c r="E119" t="inlineStr">
        <is>
          <t>Maharashtra</t>
        </is>
      </c>
      <c r="F119" t="inlineStr">
        <is>
          <t>0713</t>
        </is>
      </c>
      <c r="G119" s="3" t="n">
        <v>260200</v>
      </c>
      <c r="H119" s="3">
        <f>IF(E119="Maharashtra",ROUND(G119*9%,0),0)</f>
        <v/>
      </c>
      <c r="I119" s="3">
        <f>IF(E119="Maharashtra",ROUND(G119*9%,0),0)</f>
        <v/>
      </c>
      <c r="J119" s="3">
        <f>IF(E119="Maharashtra",0,ROUND(G119*18%,0))</f>
        <v/>
      </c>
      <c r="K119" s="3">
        <f>SUM(G119:J119)</f>
        <v/>
      </c>
    </row>
    <row r="120">
      <c r="A120" t="inlineStr">
        <is>
          <t>SAF/26-27/1119</t>
        </is>
      </c>
      <c r="B120" s="17" t="n">
        <v>46297</v>
      </c>
      <c r="C120" t="inlineStr">
        <is>
          <t>Annapurna Stores</t>
        </is>
      </c>
      <c r="D120" t="inlineStr">
        <is>
          <t>27AABPA2219L1ZQ</t>
        </is>
      </c>
      <c r="E120" t="inlineStr">
        <is>
          <t>Maharashtra</t>
        </is>
      </c>
      <c r="F120" t="inlineStr">
        <is>
          <t>0713</t>
        </is>
      </c>
      <c r="G120" s="3" t="n">
        <v>400150</v>
      </c>
      <c r="H120" s="3">
        <f>IF(E120="Maharashtra",ROUND(G120*9%,0),0)</f>
        <v/>
      </c>
      <c r="I120" s="3">
        <f>IF(E120="Maharashtra",ROUND(G120*9%,0),0)</f>
        <v/>
      </c>
      <c r="J120" s="3">
        <f>IF(E120="Maharashtra",0,ROUND(G120*18%,0))</f>
        <v/>
      </c>
      <c r="K120" s="3">
        <f>SUM(G120:J120)</f>
        <v/>
      </c>
    </row>
    <row r="121">
      <c r="A121" t="inlineStr">
        <is>
          <t>SAF/26-27/1120</t>
        </is>
      </c>
      <c r="B121" s="17" t="n">
        <v>46299</v>
      </c>
      <c r="C121" t="inlineStr">
        <is>
          <t>Annapurna Stores</t>
        </is>
      </c>
      <c r="D121" t="inlineStr">
        <is>
          <t>27AABPA2219L1ZQ</t>
        </is>
      </c>
      <c r="E121" t="inlineStr">
        <is>
          <t>Maharashtra</t>
        </is>
      </c>
      <c r="F121" t="inlineStr">
        <is>
          <t>0713</t>
        </is>
      </c>
      <c r="G121" s="3" t="n">
        <v>359050</v>
      </c>
      <c r="H121" s="3">
        <f>IF(E121="Maharashtra",ROUND(G121*9%,0),0)</f>
        <v/>
      </c>
      <c r="I121" s="3">
        <f>IF(E121="Maharashtra",ROUND(G121*9%,0),0)</f>
        <v/>
      </c>
      <c r="J121" s="3">
        <f>IF(E121="Maharashtra",0,ROUND(G121*18%,0))</f>
        <v/>
      </c>
      <c r="K121" s="3">
        <f>SUM(G121:J121)</f>
        <v/>
      </c>
    </row>
    <row r="122">
      <c r="A122" t="inlineStr">
        <is>
          <t>SAF/26-27/1121</t>
        </is>
      </c>
      <c r="B122" s="17" t="n">
        <v>46301</v>
      </c>
      <c r="C122" t="inlineStr">
        <is>
          <t>Konkan Fresh</t>
        </is>
      </c>
      <c r="D122" t="inlineStr">
        <is>
          <t>27AAKCK6638P1Z9</t>
        </is>
      </c>
      <c r="E122" t="inlineStr">
        <is>
          <t>Maharashtra</t>
        </is>
      </c>
      <c r="F122" t="inlineStr">
        <is>
          <t>0902</t>
        </is>
      </c>
      <c r="G122" s="3" t="n">
        <v>53350</v>
      </c>
      <c r="H122" s="3">
        <f>IF(E122="Maharashtra",ROUND(G122*9%,0),0)</f>
        <v/>
      </c>
      <c r="I122" s="3">
        <f>IF(E122="Maharashtra",ROUND(G122*9%,0),0)</f>
        <v/>
      </c>
      <c r="J122" s="3">
        <f>IF(E122="Maharashtra",0,ROUND(G122*18%,0))</f>
        <v/>
      </c>
      <c r="K122" s="3">
        <f>SUM(G122:J122)</f>
        <v/>
      </c>
    </row>
    <row r="123">
      <c r="A123" t="inlineStr">
        <is>
          <t>SAF/26-27/1122</t>
        </is>
      </c>
      <c r="B123" s="17" t="n">
        <v>46302</v>
      </c>
      <c r="C123" t="inlineStr">
        <is>
          <t>Chennai Spice House</t>
        </is>
      </c>
      <c r="D123" t="inlineStr">
        <is>
          <t>33AACFC3305D1Z4</t>
        </is>
      </c>
      <c r="E123" t="inlineStr">
        <is>
          <t>Tamil Nadu</t>
        </is>
      </c>
      <c r="F123" t="inlineStr">
        <is>
          <t>0713</t>
        </is>
      </c>
      <c r="G123" s="3" t="n">
        <v>398350</v>
      </c>
      <c r="H123" s="3">
        <f>IF(E123="Maharashtra",ROUND(G123*9%,0),0)</f>
        <v/>
      </c>
      <c r="I123" s="3">
        <f>IF(E123="Maharashtra",ROUND(G123*9%,0),0)</f>
        <v/>
      </c>
      <c r="J123" s="3">
        <f>IF(E123="Maharashtra",0,ROUND(G123*18%,0))</f>
        <v/>
      </c>
      <c r="K123" s="3">
        <f>SUM(G123:J123)</f>
        <v/>
      </c>
    </row>
    <row r="124">
      <c r="A124" t="inlineStr">
        <is>
          <t>SAF/26-27/1123</t>
        </is>
      </c>
      <c r="B124" s="17" t="n">
        <v>46302</v>
      </c>
      <c r="C124" t="inlineStr">
        <is>
          <t>Konkan Fresh</t>
        </is>
      </c>
      <c r="D124" t="inlineStr">
        <is>
          <t>27AAKCK6638P1Z9</t>
        </is>
      </c>
      <c r="E124" t="inlineStr">
        <is>
          <t>Maharashtra</t>
        </is>
      </c>
      <c r="F124" t="inlineStr">
        <is>
          <t>1101</t>
        </is>
      </c>
      <c r="G124" s="3" t="n">
        <v>257000</v>
      </c>
      <c r="H124" s="3">
        <f>IF(E124="Maharashtra",ROUND(G124*9%,0),0)</f>
        <v/>
      </c>
      <c r="I124" s="3">
        <f>IF(E124="Maharashtra",ROUND(G124*9%,0),0)</f>
        <v/>
      </c>
      <c r="J124" s="3">
        <f>IF(E124="Maharashtra",0,ROUND(G124*18%,0))</f>
        <v/>
      </c>
      <c r="K124" s="3">
        <f>SUM(G124:J124)</f>
        <v/>
      </c>
    </row>
    <row r="125">
      <c r="A125" t="inlineStr">
        <is>
          <t>SAF/26-27/1124</t>
        </is>
      </c>
      <c r="B125" s="17" t="n">
        <v>46302</v>
      </c>
      <c r="C125" t="inlineStr">
        <is>
          <t>Konkan Fresh</t>
        </is>
      </c>
      <c r="D125" t="inlineStr">
        <is>
          <t>27AAKCK6638P1Z9</t>
        </is>
      </c>
      <c r="E125" t="inlineStr">
        <is>
          <t>Maharashtra</t>
        </is>
      </c>
      <c r="F125" t="inlineStr">
        <is>
          <t>1006</t>
        </is>
      </c>
      <c r="G125" s="3" t="n">
        <v>89550</v>
      </c>
      <c r="H125" s="3">
        <f>IF(E125="Maharashtra",ROUND(G125*9%,0),0)</f>
        <v/>
      </c>
      <c r="I125" s="3">
        <f>IF(E125="Maharashtra",ROUND(G125*9%,0),0)</f>
        <v/>
      </c>
      <c r="J125" s="3">
        <f>IF(E125="Maharashtra",0,ROUND(G125*18%,0))</f>
        <v/>
      </c>
      <c r="K125" s="3">
        <f>SUM(G125:J125)</f>
        <v/>
      </c>
    </row>
    <row r="126">
      <c r="A126" t="inlineStr">
        <is>
          <t>SAF/26-27/1125</t>
        </is>
      </c>
      <c r="B126" s="17" t="n">
        <v>46305</v>
      </c>
      <c r="C126" t="inlineStr">
        <is>
          <t>Konkan Fresh</t>
        </is>
      </c>
      <c r="D126" t="inlineStr">
        <is>
          <t>27AAKCK6638P1Z9</t>
        </is>
      </c>
      <c r="E126" t="inlineStr">
        <is>
          <t>Maharashtra</t>
        </is>
      </c>
      <c r="F126" t="inlineStr">
        <is>
          <t>0713</t>
        </is>
      </c>
      <c r="G126" s="3" t="n">
        <v>474650</v>
      </c>
      <c r="H126" s="3">
        <f>IF(E126="Maharashtra",ROUND(G126*9%,0),0)</f>
        <v/>
      </c>
      <c r="I126" s="3">
        <f>IF(E126="Maharashtra",ROUND(G126*9%,0),0)</f>
        <v/>
      </c>
      <c r="J126" s="3">
        <f>IF(E126="Maharashtra",0,ROUND(G126*18%,0))</f>
        <v/>
      </c>
      <c r="K126" s="3">
        <f>SUM(G126:J126)</f>
        <v/>
      </c>
    </row>
    <row r="127">
      <c r="A127" t="inlineStr">
        <is>
          <t>SAF/26-27/1126</t>
        </is>
      </c>
      <c r="B127" s="17" t="n">
        <v>46306</v>
      </c>
      <c r="C127" t="inlineStr">
        <is>
          <t>Shree Krishna Traders</t>
        </is>
      </c>
      <c r="D127" t="inlineStr">
        <is>
          <t>27AAKFS4821M1Z3</t>
        </is>
      </c>
      <c r="E127" t="inlineStr">
        <is>
          <t>Maharashtra</t>
        </is>
      </c>
      <c r="F127" t="inlineStr">
        <is>
          <t>1101</t>
        </is>
      </c>
      <c r="G127" s="3" t="n">
        <v>434350</v>
      </c>
      <c r="H127" s="3">
        <f>IF(E127="Maharashtra",ROUND(G127*9%,0),0)</f>
        <v/>
      </c>
      <c r="I127" s="3">
        <f>IF(E127="Maharashtra",ROUND(G127*9%,0),0)</f>
        <v/>
      </c>
      <c r="J127" s="3">
        <f>IF(E127="Maharashtra",0,ROUND(G127*18%,0))</f>
        <v/>
      </c>
      <c r="K127" s="3">
        <f>SUM(G127:J127)</f>
        <v/>
      </c>
    </row>
    <row r="128">
      <c r="A128" t="inlineStr">
        <is>
          <t>SAF/26-27/1127</t>
        </is>
      </c>
      <c r="B128" s="17" t="n">
        <v>46309</v>
      </c>
      <c r="C128" t="inlineStr">
        <is>
          <t>Chennai Spice House</t>
        </is>
      </c>
      <c r="D128" t="inlineStr">
        <is>
          <t>33AACFC3305D1Z4</t>
        </is>
      </c>
      <c r="E128" t="inlineStr">
        <is>
          <t>Tamil Nadu</t>
        </is>
      </c>
      <c r="F128" t="inlineStr">
        <is>
          <t>0902</t>
        </is>
      </c>
      <c r="G128" s="3" t="n">
        <v>377950</v>
      </c>
      <c r="H128" s="3">
        <f>IF(E128="Maharashtra",ROUND(G128*9%,0),0)</f>
        <v/>
      </c>
      <c r="I128" s="3">
        <f>IF(E128="Maharashtra",ROUND(G128*9%,0),0)</f>
        <v/>
      </c>
      <c r="J128" s="3">
        <f>IF(E128="Maharashtra",0,ROUND(G128*18%,0))</f>
        <v/>
      </c>
      <c r="K128" s="3">
        <f>SUM(G128:J128)</f>
        <v/>
      </c>
    </row>
    <row r="129">
      <c r="A129" t="inlineStr">
        <is>
          <t>SAF/26-27/1128</t>
        </is>
      </c>
      <c r="B129" s="17" t="n">
        <v>46309</v>
      </c>
      <c r="C129" t="inlineStr">
        <is>
          <t>Chennai Spice House</t>
        </is>
      </c>
      <c r="D129" t="inlineStr">
        <is>
          <t>33AACFC3305D1Z4</t>
        </is>
      </c>
      <c r="E129" t="inlineStr">
        <is>
          <t>Tamil Nadu</t>
        </is>
      </c>
      <c r="F129" t="inlineStr">
        <is>
          <t>1006</t>
        </is>
      </c>
      <c r="G129" s="3" t="n">
        <v>352100</v>
      </c>
      <c r="H129" s="3">
        <f>IF(E129="Maharashtra",ROUND(G129*9%,0),0)</f>
        <v/>
      </c>
      <c r="I129" s="3">
        <f>IF(E129="Maharashtra",ROUND(G129*9%,0),0)</f>
        <v/>
      </c>
      <c r="J129" s="3">
        <f>IF(E129="Maharashtra",0,ROUND(G129*18%,0))</f>
        <v/>
      </c>
      <c r="K129" s="3">
        <f>SUM(G129:J129)</f>
        <v/>
      </c>
    </row>
    <row r="130">
      <c r="A130" t="inlineStr">
        <is>
          <t>SAF/26-27/1129</t>
        </is>
      </c>
      <c r="B130" s="17" t="n">
        <v>46309</v>
      </c>
      <c r="C130" t="inlineStr">
        <is>
          <t>Gujarat Agro Mart</t>
        </is>
      </c>
      <c r="D130" t="inlineStr">
        <is>
          <t>24AAGCG5530R1Z1</t>
        </is>
      </c>
      <c r="E130" t="inlineStr">
        <is>
          <t>Gujarat</t>
        </is>
      </c>
      <c r="F130" t="inlineStr">
        <is>
          <t>1101</t>
        </is>
      </c>
      <c r="G130" s="3" t="n">
        <v>257150</v>
      </c>
      <c r="H130" s="3">
        <f>IF(E130="Maharashtra",ROUND(G130*9%,0),0)</f>
        <v/>
      </c>
      <c r="I130" s="3">
        <f>IF(E130="Maharashtra",ROUND(G130*9%,0),0)</f>
        <v/>
      </c>
      <c r="J130" s="3">
        <f>IF(E130="Maharashtra",0,ROUND(G130*18%,0))</f>
        <v/>
      </c>
      <c r="K130" s="3">
        <f>SUM(G130:J130)</f>
        <v/>
      </c>
    </row>
    <row r="131">
      <c r="A131" t="inlineStr">
        <is>
          <t>SAF/26-27/1130</t>
        </is>
      </c>
      <c r="B131" s="17" t="n">
        <v>46312</v>
      </c>
      <c r="C131" t="inlineStr">
        <is>
          <t>Malwa Kirana</t>
        </is>
      </c>
      <c r="D131" t="inlineStr">
        <is>
          <t>23AAMFM1147C1ZT</t>
        </is>
      </c>
      <c r="E131" t="inlineStr">
        <is>
          <t>Madhya Pradesh</t>
        </is>
      </c>
      <c r="F131" t="inlineStr">
        <is>
          <t>0910</t>
        </is>
      </c>
      <c r="G131" s="3" t="n">
        <v>197250</v>
      </c>
      <c r="H131" s="3">
        <f>IF(E131="Maharashtra",ROUND(G131*9%,0),0)</f>
        <v/>
      </c>
      <c r="I131" s="3">
        <f>IF(E131="Maharashtra",ROUND(G131*9%,0),0)</f>
        <v/>
      </c>
      <c r="J131" s="3">
        <f>IF(E131="Maharashtra",0,ROUND(G131*18%,0))</f>
        <v/>
      </c>
      <c r="K131" s="3">
        <f>SUM(G131:J131)</f>
        <v/>
      </c>
    </row>
    <row r="132">
      <c r="A132" t="inlineStr">
        <is>
          <t>SAF/26-27/1131</t>
        </is>
      </c>
      <c r="B132" s="17" t="n">
        <v>46313</v>
      </c>
      <c r="C132" t="inlineStr">
        <is>
          <t>Gujarat Agro Mart</t>
        </is>
      </c>
      <c r="D132" t="inlineStr">
        <is>
          <t>24AAGCG5530R1Z1</t>
        </is>
      </c>
      <c r="E132" t="inlineStr">
        <is>
          <t>Gujarat</t>
        </is>
      </c>
      <c r="F132" t="inlineStr">
        <is>
          <t>0910</t>
        </is>
      </c>
      <c r="G132" s="3" t="n">
        <v>179000</v>
      </c>
      <c r="H132" s="3">
        <f>IF(E132="Maharashtra",ROUND(G132*9%,0),0)</f>
        <v/>
      </c>
      <c r="I132" s="3">
        <f>IF(E132="Maharashtra",ROUND(G132*9%,0),0)</f>
        <v/>
      </c>
      <c r="J132" s="3">
        <f>IF(E132="Maharashtra",0,ROUND(G132*18%,0))</f>
        <v/>
      </c>
      <c r="K132" s="3">
        <f>SUM(G132:J132)</f>
        <v/>
      </c>
    </row>
    <row r="133">
      <c r="A133" t="inlineStr">
        <is>
          <t>SAF/26-27/1132</t>
        </is>
      </c>
      <c r="B133" s="17" t="n">
        <v>46314</v>
      </c>
      <c r="C133" t="inlineStr">
        <is>
          <t>Malwa Kirana</t>
        </is>
      </c>
      <c r="D133" t="inlineStr">
        <is>
          <t>23AAMFM1147C1ZT</t>
        </is>
      </c>
      <c r="E133" t="inlineStr">
        <is>
          <t>Madhya Pradesh</t>
        </is>
      </c>
      <c r="F133" t="inlineStr">
        <is>
          <t>0902</t>
        </is>
      </c>
      <c r="G133" s="3" t="n">
        <v>366550</v>
      </c>
      <c r="H133" s="3">
        <f>IF(E133="Maharashtra",ROUND(G133*9%,0),0)</f>
        <v/>
      </c>
      <c r="I133" s="3">
        <f>IF(E133="Maharashtra",ROUND(G133*9%,0),0)</f>
        <v/>
      </c>
      <c r="J133" s="3">
        <f>IF(E133="Maharashtra",0,ROUND(G133*18%,0))</f>
        <v/>
      </c>
      <c r="K133" s="3">
        <f>SUM(G133:J133)</f>
        <v/>
      </c>
    </row>
    <row r="134">
      <c r="A134" t="inlineStr">
        <is>
          <t>SAF/26-27/1133</t>
        </is>
      </c>
      <c r="B134" s="17" t="n">
        <v>46316</v>
      </c>
      <c r="C134" t="inlineStr">
        <is>
          <t>Annapurna Stores</t>
        </is>
      </c>
      <c r="D134" t="inlineStr">
        <is>
          <t>27AABPA2219L1ZQ</t>
        </is>
      </c>
      <c r="E134" t="inlineStr">
        <is>
          <t>Maharashtra</t>
        </is>
      </c>
      <c r="F134" t="inlineStr">
        <is>
          <t>1006</t>
        </is>
      </c>
      <c r="G134" s="3" t="n">
        <v>142150</v>
      </c>
      <c r="H134" s="3">
        <f>IF(E134="Maharashtra",ROUND(G134*9%,0),0)</f>
        <v/>
      </c>
      <c r="I134" s="3">
        <f>IF(E134="Maharashtra",ROUND(G134*9%,0),0)</f>
        <v/>
      </c>
      <c r="J134" s="3">
        <f>IF(E134="Maharashtra",0,ROUND(G134*18%,0))</f>
        <v/>
      </c>
      <c r="K134" s="3">
        <f>SUM(G134:J134)</f>
        <v/>
      </c>
    </row>
    <row r="135">
      <c r="A135" t="inlineStr">
        <is>
          <t>SAF/26-27/1134</t>
        </is>
      </c>
      <c r="B135" s="17" t="n">
        <v>46319</v>
      </c>
      <c r="C135" t="inlineStr">
        <is>
          <t>Konkan Fresh</t>
        </is>
      </c>
      <c r="D135" t="inlineStr">
        <is>
          <t>27AAKCK6638P1Z9</t>
        </is>
      </c>
      <c r="E135" t="inlineStr">
        <is>
          <t>Maharashtra</t>
        </is>
      </c>
      <c r="F135" t="inlineStr">
        <is>
          <t>1006</t>
        </is>
      </c>
      <c r="G135" s="3" t="n">
        <v>346850</v>
      </c>
      <c r="H135" s="3">
        <f>IF(E135="Maharashtra",ROUND(G135*9%,0),0)</f>
        <v/>
      </c>
      <c r="I135" s="3">
        <f>IF(E135="Maharashtra",ROUND(G135*9%,0),0)</f>
        <v/>
      </c>
      <c r="J135" s="3">
        <f>IF(E135="Maharashtra",0,ROUND(G135*18%,0))</f>
        <v/>
      </c>
      <c r="K135" s="3">
        <f>SUM(G135:J135)</f>
        <v/>
      </c>
    </row>
    <row r="136">
      <c r="A136" t="inlineStr">
        <is>
          <t>SAF/26-27/1135</t>
        </is>
      </c>
      <c r="B136" s="17" t="n">
        <v>46320</v>
      </c>
      <c r="C136" t="inlineStr">
        <is>
          <t>Gujarat Agro Mart</t>
        </is>
      </c>
      <c r="D136" t="inlineStr">
        <is>
          <t>24AAGCG5530R1Z1</t>
        </is>
      </c>
      <c r="E136" t="inlineStr">
        <is>
          <t>Gujarat</t>
        </is>
      </c>
      <c r="F136" t="inlineStr">
        <is>
          <t>1101</t>
        </is>
      </c>
      <c r="G136" s="3" t="n">
        <v>91550</v>
      </c>
      <c r="H136" s="3">
        <f>IF(E136="Maharashtra",ROUND(G136*9%,0),0)</f>
        <v/>
      </c>
      <c r="I136" s="3">
        <f>IF(E136="Maharashtra",ROUND(G136*9%,0),0)</f>
        <v/>
      </c>
      <c r="J136" s="3">
        <f>IF(E136="Maharashtra",0,ROUND(G136*18%,0))</f>
        <v/>
      </c>
      <c r="K136" s="3">
        <f>SUM(G136:J136)</f>
        <v/>
      </c>
    </row>
    <row r="137">
      <c r="A137" t="inlineStr">
        <is>
          <t>SAF/26-27/1136</t>
        </is>
      </c>
      <c r="B137" s="17" t="n">
        <v>46320</v>
      </c>
      <c r="C137" t="inlineStr">
        <is>
          <t>Malwa Kirana</t>
        </is>
      </c>
      <c r="D137" t="inlineStr">
        <is>
          <t>23AAMFM1147C1ZT</t>
        </is>
      </c>
      <c r="E137" t="inlineStr">
        <is>
          <t>Madhya Pradesh</t>
        </is>
      </c>
      <c r="F137" t="inlineStr">
        <is>
          <t>0910</t>
        </is>
      </c>
      <c r="G137" s="3" t="n">
        <v>265000</v>
      </c>
      <c r="H137" s="3">
        <f>IF(E137="Maharashtra",ROUND(G137*9%,0),0)</f>
        <v/>
      </c>
      <c r="I137" s="3">
        <f>IF(E137="Maharashtra",ROUND(G137*9%,0),0)</f>
        <v/>
      </c>
      <c r="J137" s="3">
        <f>IF(E137="Maharashtra",0,ROUND(G137*18%,0))</f>
        <v/>
      </c>
      <c r="K137" s="3">
        <f>SUM(G137:J137)</f>
        <v/>
      </c>
    </row>
    <row r="138">
      <c r="A138" t="inlineStr">
        <is>
          <t>SAF/26-27/1137</t>
        </is>
      </c>
      <c r="B138" s="17" t="n">
        <v>46321</v>
      </c>
      <c r="C138" t="inlineStr">
        <is>
          <t>Gujarat Agro Mart</t>
        </is>
      </c>
      <c r="D138" t="inlineStr">
        <is>
          <t>24AAGCG5530R1Z1</t>
        </is>
      </c>
      <c r="E138" t="inlineStr">
        <is>
          <t>Gujarat</t>
        </is>
      </c>
      <c r="F138" t="inlineStr">
        <is>
          <t>0902</t>
        </is>
      </c>
      <c r="G138" s="3" t="n">
        <v>247300</v>
      </c>
      <c r="H138" s="3">
        <f>IF(E138="Maharashtra",ROUND(G138*9%,0),0)</f>
        <v/>
      </c>
      <c r="I138" s="3">
        <f>IF(E138="Maharashtra",ROUND(G138*9%,0),0)</f>
        <v/>
      </c>
      <c r="J138" s="3">
        <f>IF(E138="Maharashtra",0,ROUND(G138*18%,0))</f>
        <v/>
      </c>
      <c r="K138" s="3">
        <f>SUM(G138:J138)</f>
        <v/>
      </c>
    </row>
    <row r="139">
      <c r="A139" t="inlineStr">
        <is>
          <t>SAF/26-27/1138</t>
        </is>
      </c>
      <c r="B139" s="17" t="n">
        <v>46324</v>
      </c>
      <c r="C139" t="inlineStr">
        <is>
          <t>Gujarat Agro Mart</t>
        </is>
      </c>
      <c r="D139" t="inlineStr">
        <is>
          <t>24AAGCG5530R1Z1</t>
        </is>
      </c>
      <c r="E139" t="inlineStr">
        <is>
          <t>Gujarat</t>
        </is>
      </c>
      <c r="F139" t="inlineStr">
        <is>
          <t>0713</t>
        </is>
      </c>
      <c r="G139" s="3" t="n">
        <v>236100</v>
      </c>
      <c r="H139" s="3">
        <f>IF(E139="Maharashtra",ROUND(G139*9%,0),0)</f>
        <v/>
      </c>
      <c r="I139" s="3">
        <f>IF(E139="Maharashtra",ROUND(G139*9%,0),0)</f>
        <v/>
      </c>
      <c r="J139" s="3">
        <f>IF(E139="Maharashtra",0,ROUND(G139*18%,0))</f>
        <v/>
      </c>
      <c r="K139" s="3">
        <f>SUM(G139:J139)</f>
        <v/>
      </c>
    </row>
    <row r="140">
      <c r="A140" t="inlineStr">
        <is>
          <t>SAF/26-27/1139</t>
        </is>
      </c>
      <c r="B140" s="17" t="n">
        <v>46324</v>
      </c>
      <c r="C140" t="inlineStr">
        <is>
          <t>Malwa Kirana</t>
        </is>
      </c>
      <c r="D140" t="inlineStr">
        <is>
          <t>23AAMFM1147C1ZT</t>
        </is>
      </c>
      <c r="E140" t="inlineStr">
        <is>
          <t>Madhya Pradesh</t>
        </is>
      </c>
      <c r="F140" t="inlineStr">
        <is>
          <t>0713</t>
        </is>
      </c>
      <c r="G140" s="3" t="n">
        <v>151300</v>
      </c>
      <c r="H140" s="3">
        <f>IF(E140="Maharashtra",ROUND(G140*9%,0),0)</f>
        <v/>
      </c>
      <c r="I140" s="3">
        <f>IF(E140="Maharashtra",ROUND(G140*9%,0),0)</f>
        <v/>
      </c>
      <c r="J140" s="3">
        <f>IF(E140="Maharashtra",0,ROUND(G140*18%,0))</f>
        <v/>
      </c>
      <c r="K140" s="3">
        <f>SUM(G140:J140)</f>
        <v/>
      </c>
    </row>
    <row r="141">
      <c r="A141" t="inlineStr">
        <is>
          <t>SAF/26-27/1140</t>
        </is>
      </c>
      <c r="B141" s="17" t="n">
        <v>46324</v>
      </c>
      <c r="C141" t="inlineStr">
        <is>
          <t>Gujarat Agro Mart</t>
        </is>
      </c>
      <c r="D141" t="inlineStr">
        <is>
          <t>24AAGCG5530R1Z1</t>
        </is>
      </c>
      <c r="E141" t="inlineStr">
        <is>
          <t>Gujarat</t>
        </is>
      </c>
      <c r="F141" t="inlineStr">
        <is>
          <t>0713</t>
        </is>
      </c>
      <c r="G141" s="3" t="n">
        <v>355500</v>
      </c>
      <c r="H141" s="3">
        <f>IF(E141="Maharashtra",ROUND(G141*9%,0),0)</f>
        <v/>
      </c>
      <c r="I141" s="3">
        <f>IF(E141="Maharashtra",ROUND(G141*9%,0),0)</f>
        <v/>
      </c>
      <c r="J141" s="3">
        <f>IF(E141="Maharashtra",0,ROUND(G141*18%,0))</f>
        <v/>
      </c>
      <c r="K141" s="3">
        <f>SUM(G141:J141)</f>
        <v/>
      </c>
    </row>
    <row r="142">
      <c r="A142" t="inlineStr">
        <is>
          <t>SAF/26-27/1141</t>
        </is>
      </c>
      <c r="B142" s="17" t="n">
        <v>46324</v>
      </c>
      <c r="C142" t="inlineStr">
        <is>
          <t>Deccan Retail</t>
        </is>
      </c>
      <c r="D142" t="inlineStr">
        <is>
          <t>36AAECD9902H1Z6</t>
        </is>
      </c>
      <c r="E142" t="inlineStr">
        <is>
          <t>Telangana</t>
        </is>
      </c>
      <c r="F142" t="inlineStr">
        <is>
          <t>1101</t>
        </is>
      </c>
      <c r="G142" s="3" t="n">
        <v>65200</v>
      </c>
      <c r="H142" s="3">
        <f>IF(E142="Maharashtra",ROUND(G142*9%,0),0)</f>
        <v/>
      </c>
      <c r="I142" s="3">
        <f>IF(E142="Maharashtra",ROUND(G142*9%,0),0)</f>
        <v/>
      </c>
      <c r="J142" s="3">
        <f>IF(E142="Maharashtra",0,ROUND(G142*18%,0))</f>
        <v/>
      </c>
      <c r="K142" s="3">
        <f>SUM(G142:J142)</f>
        <v/>
      </c>
    </row>
    <row r="143">
      <c r="A143" t="inlineStr">
        <is>
          <t>SAF/26-27/1142</t>
        </is>
      </c>
      <c r="B143" s="17" t="n">
        <v>46326</v>
      </c>
      <c r="C143" t="inlineStr">
        <is>
          <t>Chennai Spice House</t>
        </is>
      </c>
      <c r="D143" t="inlineStr">
        <is>
          <t>33AACFC3305D1Z4</t>
        </is>
      </c>
      <c r="E143" t="inlineStr">
        <is>
          <t>Tamil Nadu</t>
        </is>
      </c>
      <c r="F143" t="inlineStr">
        <is>
          <t>0713</t>
        </is>
      </c>
      <c r="G143" s="3" t="n">
        <v>56450</v>
      </c>
      <c r="H143" s="3">
        <f>IF(E143="Maharashtra",ROUND(G143*9%,0),0)</f>
        <v/>
      </c>
      <c r="I143" s="3">
        <f>IF(E143="Maharashtra",ROUND(G143*9%,0),0)</f>
        <v/>
      </c>
      <c r="J143" s="3">
        <f>IF(E143="Maharashtra",0,ROUND(G143*18%,0))</f>
        <v/>
      </c>
      <c r="K143" s="3">
        <f>SUM(G143:J143)</f>
        <v/>
      </c>
    </row>
    <row r="144">
      <c r="A144" t="inlineStr">
        <is>
          <t>SAF/26-27/1143</t>
        </is>
      </c>
      <c r="B144" s="17" t="n">
        <v>46326</v>
      </c>
      <c r="C144" t="inlineStr">
        <is>
          <t>Konkan Fresh</t>
        </is>
      </c>
      <c r="D144" t="inlineStr">
        <is>
          <t>27AAKCK6638P1Z9</t>
        </is>
      </c>
      <c r="E144" t="inlineStr">
        <is>
          <t>Maharashtra</t>
        </is>
      </c>
      <c r="F144" t="inlineStr">
        <is>
          <t>0713</t>
        </is>
      </c>
      <c r="G144" s="3" t="n">
        <v>239950</v>
      </c>
      <c r="H144" s="3">
        <f>IF(E144="Maharashtra",ROUND(G144*9%,0),0)</f>
        <v/>
      </c>
      <c r="I144" s="3">
        <f>IF(E144="Maharashtra",ROUND(G144*9%,0),0)</f>
        <v/>
      </c>
      <c r="J144" s="3">
        <f>IF(E144="Maharashtra",0,ROUND(G144*18%,0))</f>
        <v/>
      </c>
      <c r="K144" s="3">
        <f>SUM(G144:J144)</f>
        <v/>
      </c>
    </row>
    <row r="145">
      <c r="A145" t="inlineStr">
        <is>
          <t>SAF/26-27/1144</t>
        </is>
      </c>
      <c r="B145" s="17" t="n">
        <v>46329</v>
      </c>
      <c r="C145" t="inlineStr">
        <is>
          <t>Annapurna Stores</t>
        </is>
      </c>
      <c r="D145" t="inlineStr">
        <is>
          <t>27AABPA2219L1ZQ</t>
        </is>
      </c>
      <c r="E145" t="inlineStr">
        <is>
          <t>Maharashtra</t>
        </is>
      </c>
      <c r="F145" t="inlineStr">
        <is>
          <t>0713</t>
        </is>
      </c>
      <c r="G145" s="3" t="n">
        <v>385150</v>
      </c>
      <c r="H145" s="3">
        <f>IF(E145="Maharashtra",ROUND(G145*9%,0),0)</f>
        <v/>
      </c>
      <c r="I145" s="3">
        <f>IF(E145="Maharashtra",ROUND(G145*9%,0),0)</f>
        <v/>
      </c>
      <c r="J145" s="3">
        <f>IF(E145="Maharashtra",0,ROUND(G145*18%,0))</f>
        <v/>
      </c>
      <c r="K145" s="3">
        <f>SUM(G145:J145)</f>
        <v/>
      </c>
    </row>
    <row r="146">
      <c r="A146" t="inlineStr">
        <is>
          <t>SAF/26-27/1145</t>
        </is>
      </c>
      <c r="B146" s="17" t="n">
        <v>46330</v>
      </c>
      <c r="C146" t="inlineStr">
        <is>
          <t>Malwa Kirana</t>
        </is>
      </c>
      <c r="D146" t="inlineStr">
        <is>
          <t>23AAMFM1147C1ZT</t>
        </is>
      </c>
      <c r="E146" t="inlineStr">
        <is>
          <t>Madhya Pradesh</t>
        </is>
      </c>
      <c r="F146" t="inlineStr">
        <is>
          <t>1006</t>
        </is>
      </c>
      <c r="G146" s="3" t="n">
        <v>260050</v>
      </c>
      <c r="H146" s="3">
        <f>IF(E146="Maharashtra",ROUND(G146*9%,0),0)</f>
        <v/>
      </c>
      <c r="I146" s="3">
        <f>IF(E146="Maharashtra",ROUND(G146*9%,0),0)</f>
        <v/>
      </c>
      <c r="J146" s="3">
        <f>IF(E146="Maharashtra",0,ROUND(G146*18%,0))</f>
        <v/>
      </c>
      <c r="K146" s="3">
        <f>SUM(G146:J146)</f>
        <v/>
      </c>
    </row>
    <row r="147">
      <c r="A147" t="inlineStr">
        <is>
          <t>SAF/26-27/1146</t>
        </is>
      </c>
      <c r="B147" s="17" t="n">
        <v>46333</v>
      </c>
      <c r="C147" t="inlineStr">
        <is>
          <t>Deccan Retail</t>
        </is>
      </c>
      <c r="D147" t="inlineStr">
        <is>
          <t>36AAECD9902H1Z6</t>
        </is>
      </c>
      <c r="E147" t="inlineStr">
        <is>
          <t>Telangana</t>
        </is>
      </c>
      <c r="F147" t="inlineStr">
        <is>
          <t>0902</t>
        </is>
      </c>
      <c r="G147" s="3" t="n">
        <v>396900</v>
      </c>
      <c r="H147" s="3">
        <f>IF(E147="Maharashtra",ROUND(G147*9%,0),0)</f>
        <v/>
      </c>
      <c r="I147" s="3">
        <f>IF(E147="Maharashtra",ROUND(G147*9%,0),0)</f>
        <v/>
      </c>
      <c r="J147" s="3">
        <f>IF(E147="Maharashtra",0,ROUND(G147*18%,0))</f>
        <v/>
      </c>
      <c r="K147" s="3">
        <f>SUM(G147:J147)</f>
        <v/>
      </c>
    </row>
    <row r="148">
      <c r="A148" t="inlineStr">
        <is>
          <t>SAF/26-27/1147</t>
        </is>
      </c>
      <c r="B148" s="17" t="n">
        <v>46334</v>
      </c>
      <c r="C148" t="inlineStr">
        <is>
          <t>Gujarat Agro Mart</t>
        </is>
      </c>
      <c r="D148" t="inlineStr">
        <is>
          <t>24AAGCG5530R1Z1</t>
        </is>
      </c>
      <c r="E148" t="inlineStr">
        <is>
          <t>Gujarat</t>
        </is>
      </c>
      <c r="F148" t="inlineStr">
        <is>
          <t>0713</t>
        </is>
      </c>
      <c r="G148" s="3" t="n">
        <v>467900</v>
      </c>
      <c r="H148" s="3">
        <f>IF(E148="Maharashtra",ROUND(G148*9%,0),0)</f>
        <v/>
      </c>
      <c r="I148" s="3">
        <f>IF(E148="Maharashtra",ROUND(G148*9%,0),0)</f>
        <v/>
      </c>
      <c r="J148" s="3">
        <f>IF(E148="Maharashtra",0,ROUND(G148*18%,0))</f>
        <v/>
      </c>
      <c r="K148" s="3">
        <f>SUM(G148:J148)</f>
        <v/>
      </c>
    </row>
    <row r="149">
      <c r="A149" t="inlineStr">
        <is>
          <t>SAF/26-27/1148</t>
        </is>
      </c>
      <c r="B149" s="17" t="n">
        <v>46334</v>
      </c>
      <c r="C149" t="inlineStr">
        <is>
          <t>Shree Krishna Traders</t>
        </is>
      </c>
      <c r="D149" t="inlineStr">
        <is>
          <t>27AAKFS4821M1Z3</t>
        </is>
      </c>
      <c r="E149" t="inlineStr">
        <is>
          <t>Maharashtra</t>
        </is>
      </c>
      <c r="F149" t="inlineStr">
        <is>
          <t>1006</t>
        </is>
      </c>
      <c r="G149" s="3" t="n">
        <v>75200</v>
      </c>
      <c r="H149" s="3">
        <f>IF(E149="Maharashtra",ROUND(G149*9%,0),0)</f>
        <v/>
      </c>
      <c r="I149" s="3">
        <f>IF(E149="Maharashtra",ROUND(G149*9%,0),0)</f>
        <v/>
      </c>
      <c r="J149" s="3">
        <f>IF(E149="Maharashtra",0,ROUND(G149*18%,0))</f>
        <v/>
      </c>
      <c r="K149" s="3">
        <f>SUM(G149:J149)</f>
        <v/>
      </c>
    </row>
    <row r="150">
      <c r="A150" t="inlineStr">
        <is>
          <t>SAF/26-27/1149</t>
        </is>
      </c>
      <c r="B150" s="17" t="n">
        <v>46334</v>
      </c>
      <c r="C150" t="inlineStr">
        <is>
          <t>Shree Krishna Traders</t>
        </is>
      </c>
      <c r="D150" t="inlineStr">
        <is>
          <t>27AAKFS4821M1Z3</t>
        </is>
      </c>
      <c r="E150" t="inlineStr">
        <is>
          <t>Maharashtra</t>
        </is>
      </c>
      <c r="F150" t="inlineStr">
        <is>
          <t>0713</t>
        </is>
      </c>
      <c r="G150" s="3" t="n">
        <v>396600</v>
      </c>
      <c r="H150" s="3">
        <f>IF(E150="Maharashtra",ROUND(G150*9%,0),0)</f>
        <v/>
      </c>
      <c r="I150" s="3">
        <f>IF(E150="Maharashtra",ROUND(G150*9%,0),0)</f>
        <v/>
      </c>
      <c r="J150" s="3">
        <f>IF(E150="Maharashtra",0,ROUND(G150*18%,0))</f>
        <v/>
      </c>
      <c r="K150" s="3">
        <f>SUM(G150:J150)</f>
        <v/>
      </c>
    </row>
    <row r="151">
      <c r="A151" t="inlineStr">
        <is>
          <t>SAF/26-27/1150</t>
        </is>
      </c>
      <c r="B151" s="17" t="n">
        <v>46335</v>
      </c>
      <c r="C151" t="inlineStr">
        <is>
          <t>Gujarat Agro Mart</t>
        </is>
      </c>
      <c r="D151" t="inlineStr">
        <is>
          <t>24AAGCG5530R1Z1</t>
        </is>
      </c>
      <c r="E151" t="inlineStr">
        <is>
          <t>Gujarat</t>
        </is>
      </c>
      <c r="F151" t="inlineStr">
        <is>
          <t>0910</t>
        </is>
      </c>
      <c r="G151" s="3" t="n">
        <v>214550</v>
      </c>
      <c r="H151" s="3">
        <f>IF(E151="Maharashtra",ROUND(G151*9%,0),0)</f>
        <v/>
      </c>
      <c r="I151" s="3">
        <f>IF(E151="Maharashtra",ROUND(G151*9%,0),0)</f>
        <v/>
      </c>
      <c r="J151" s="3">
        <f>IF(E151="Maharashtra",0,ROUND(G151*18%,0))</f>
        <v/>
      </c>
      <c r="K151" s="3">
        <f>SUM(G151:J151)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1" customWidth="1" min="4" max="4"/>
    <col width="11" customWidth="1" min="5" max="5"/>
    <col width="3" customWidth="1" min="6" max="6"/>
    <col width="12" customWidth="1" min="7" max="7"/>
    <col width="12" customWidth="1" min="8" max="8"/>
    <col width="12" customWidth="1" min="9" max="9"/>
  </cols>
  <sheetData>
    <row r="1" ht="62" customHeight="1">
      <c r="C1" s="34" t="inlineStr">
        <is>
          <t>Sahyadri Agro Foods Pvt Ltd</t>
        </is>
      </c>
    </row>
    <row r="2">
      <c r="C2" s="23" t="inlineStr">
        <is>
          <t>Product catalogue 2026-27</t>
        </is>
      </c>
    </row>
    <row r="5">
      <c r="A5" s="2" t="inlineStr">
        <is>
          <t>Photo</t>
        </is>
      </c>
      <c r="B5" s="2" t="inlineStr">
        <is>
          <t>Product Code</t>
        </is>
      </c>
      <c r="C5" s="2" t="inlineStr">
        <is>
          <t>Product</t>
        </is>
      </c>
      <c r="D5" s="2" t="inlineStr">
        <is>
          <t>Pack Size</t>
        </is>
      </c>
      <c r="E5" s="2" t="inlineStr">
        <is>
          <t>MRP (₹)</t>
        </is>
      </c>
    </row>
    <row r="6" ht="64" customHeight="1">
      <c r="A6" s="35" t="n"/>
      <c r="B6" s="36" t="inlineStr">
        <is>
          <t>AGR-RICE-05</t>
        </is>
      </c>
      <c r="C6" s="36" t="inlineStr">
        <is>
          <t>Sahyadri Basmati Rice</t>
        </is>
      </c>
      <c r="D6" s="36" t="inlineStr">
        <is>
          <t>5 kg</t>
        </is>
      </c>
      <c r="E6" s="37" t="n">
        <v>685</v>
      </c>
    </row>
    <row r="7" ht="64" customHeight="1">
      <c r="A7" s="35" t="n"/>
      <c r="B7" s="36" t="inlineStr">
        <is>
          <t>AGR-TEA-01</t>
        </is>
      </c>
      <c r="C7" s="36" t="inlineStr">
        <is>
          <t>Sahyadri Assam Tea</t>
        </is>
      </c>
      <c r="D7" s="36" t="inlineStr">
        <is>
          <t>1 kg</t>
        </is>
      </c>
      <c r="E7" s="37" t="n">
        <v>540</v>
      </c>
    </row>
    <row r="8" ht="64" customHeight="1">
      <c r="A8" s="35" t="n"/>
      <c r="B8" s="36" t="inlineStr">
        <is>
          <t>AGR-MAS-02</t>
        </is>
      </c>
      <c r="C8" s="36" t="inlineStr">
        <is>
          <t>Sahyadri Garam Masala</t>
        </is>
      </c>
      <c r="D8" s="36" t="inlineStr">
        <is>
          <t>200 g</t>
        </is>
      </c>
      <c r="E8" s="37" t="n">
        <v>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1" customWidth="1" min="4" max="4"/>
    <col width="11" customWidth="1" min="5" max="5"/>
    <col width="3" customWidth="1" min="6" max="6"/>
    <col width="12" customWidth="1" min="7" max="7"/>
    <col width="12" customWidth="1" min="8" max="8"/>
    <col width="12" customWidth="1" min="9" max="9"/>
  </cols>
  <sheetData>
    <row r="1" ht="62" customHeight="1">
      <c r="C1" s="34" t="inlineStr">
        <is>
          <t>Sahyadri Agro Foods Pvt Ltd</t>
        </is>
      </c>
    </row>
    <row r="2">
      <c r="C2" s="23" t="inlineStr">
        <is>
          <t>Product catalogue 2026-27</t>
        </is>
      </c>
    </row>
    <row r="5">
      <c r="A5" s="2" t="inlineStr">
        <is>
          <t>Photo</t>
        </is>
      </c>
      <c r="B5" s="2" t="inlineStr">
        <is>
          <t>Product Code</t>
        </is>
      </c>
      <c r="C5" s="2" t="inlineStr">
        <is>
          <t>Product</t>
        </is>
      </c>
      <c r="D5" s="2" t="inlineStr">
        <is>
          <t>Pack Size</t>
        </is>
      </c>
      <c r="E5" s="2" t="inlineStr">
        <is>
          <t>MRP (₹)</t>
        </is>
      </c>
    </row>
    <row r="6" ht="64" customHeight="1">
      <c r="A6" s="36" t="n"/>
      <c r="B6" s="36" t="inlineStr">
        <is>
          <t>AGR-RICE-05</t>
        </is>
      </c>
      <c r="C6" s="36" t="inlineStr">
        <is>
          <t>Sahyadri Basmati Rice</t>
        </is>
      </c>
      <c r="D6" s="36" t="inlineStr">
        <is>
          <t>5 kg</t>
        </is>
      </c>
      <c r="E6" s="37" t="n">
        <v>685</v>
      </c>
    </row>
    <row r="7" ht="64" customHeight="1">
      <c r="A7" s="36" t="n"/>
      <c r="B7" s="36" t="inlineStr">
        <is>
          <t>AGR-TEA-01</t>
        </is>
      </c>
      <c r="C7" s="36" t="inlineStr">
        <is>
          <t>Sahyadri Assam Tea</t>
        </is>
      </c>
      <c r="D7" s="36" t="inlineStr">
        <is>
          <t>1 kg</t>
        </is>
      </c>
      <c r="E7" s="37" t="n">
        <v>540</v>
      </c>
    </row>
    <row r="8" ht="64" customHeight="1">
      <c r="A8" s="36" t="n"/>
      <c r="B8" s="36" t="inlineStr">
        <is>
          <t>AGR-MAS-02</t>
        </is>
      </c>
      <c r="C8" s="36" t="inlineStr">
        <is>
          <t>Sahyadri Garam Masala</t>
        </is>
      </c>
      <c r="D8" s="36" t="inlineStr">
        <is>
          <t>200 g</t>
        </is>
      </c>
      <c r="E8" s="37" t="n">
        <v>135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3" customWidth="1" min="4" max="4"/>
    <col width="11" customWidth="1" min="5" max="5"/>
    <col width="13" customWidth="1" min="6" max="6"/>
    <col width="3" customWidth="1" min="7" max="7"/>
    <col width="3" customWidth="1" min="8" max="8"/>
    <col width="3" customWidth="1" min="9" max="9"/>
    <col width="72" customWidth="1" min="10" max="10"/>
  </cols>
  <sheetData>
    <row r="1">
      <c r="A1" t="inlineStr">
        <is>
          <t>Monthly expense report</t>
        </is>
      </c>
      <c r="J1" s="38" t="inlineStr">
        <is>
          <t>Your tasks (Challenge 2)</t>
        </is>
      </c>
    </row>
    <row r="2">
      <c r="A2" t="inlineStr">
        <is>
          <t>Department: Sales, Mumbai  |  Month: April 2026</t>
        </is>
      </c>
      <c r="J2" t="inlineStr">
        <is>
          <t>1. Title in A1: bold, size 14, centred across A1:F1 (Center Across Selection, no merging).</t>
        </is>
      </c>
    </row>
    <row r="3">
      <c r="J3" t="inlineStr">
        <is>
          <t>2. Header row A4:F4: bold, Dark Blue fill, white text, Wrap Text.</t>
        </is>
      </c>
    </row>
    <row r="4">
      <c r="A4" t="inlineStr">
        <is>
          <t>Date</t>
        </is>
      </c>
      <c r="B4" t="inlineStr">
        <is>
          <t>Expense Head</t>
        </is>
      </c>
      <c r="C4" t="inlineStr">
        <is>
          <t>Vendor</t>
        </is>
      </c>
      <c r="D4" t="inlineStr">
        <is>
          <t>Amount (₹)</t>
        </is>
      </c>
      <c r="E4" t="inlineStr">
        <is>
          <t>GST (₹)</t>
        </is>
      </c>
      <c r="F4" t="inlineStr">
        <is>
          <t>Total (₹)</t>
        </is>
      </c>
      <c r="J4" t="inlineStr">
        <is>
          <t>3. Dates in A5:A16 as DD-MM-YYYY.</t>
        </is>
      </c>
    </row>
    <row r="5">
      <c r="A5" t="n">
        <v>46113</v>
      </c>
      <c r="B5" t="inlineStr">
        <is>
          <t>Office rent</t>
        </is>
      </c>
      <c r="C5" t="inlineStr">
        <is>
          <t>Shah Properties</t>
        </is>
      </c>
      <c r="D5" t="n">
        <v>145000</v>
      </c>
      <c r="E5" t="n">
        <v>26100</v>
      </c>
      <c r="F5">
        <f>D5+E5</f>
        <v/>
      </c>
      <c r="J5" t="inlineStr">
        <is>
          <t>4. D5:F17 and F19:F20 in Indian rupee format, e.g. ₹1,45,000 (custom format).</t>
        </is>
      </c>
    </row>
    <row r="6">
      <c r="A6" t="n">
        <v>46115</v>
      </c>
      <c r="B6" t="inlineStr">
        <is>
          <t>Electricity</t>
        </is>
      </c>
      <c r="C6" t="inlineStr">
        <is>
          <t>Adani Electricity Mumbai</t>
        </is>
      </c>
      <c r="D6" t="n">
        <v>18450</v>
      </c>
      <c r="E6" t="n">
        <v>0</v>
      </c>
      <c r="F6">
        <f>D6+E6</f>
        <v/>
      </c>
      <c r="J6" t="inlineStr">
        <is>
          <t>5. F21 as a percentage with one decimal.</t>
        </is>
      </c>
    </row>
    <row r="7">
      <c r="A7" t="n">
        <v>46117</v>
      </c>
      <c r="B7" t="inlineStr">
        <is>
          <t>Internet</t>
        </is>
      </c>
      <c r="C7" t="inlineStr">
        <is>
          <t>Tata Play Fiber</t>
        </is>
      </c>
      <c r="D7" t="n">
        <v>4720</v>
      </c>
      <c r="E7" t="n">
        <v>850</v>
      </c>
      <c r="F7">
        <f>D7+E7</f>
        <v/>
      </c>
      <c r="J7" t="inlineStr">
        <is>
          <t>6. All Borders on A4:F17, and Top and Double Bottom Border on the total row A17:F17.</t>
        </is>
      </c>
    </row>
    <row r="8">
      <c r="A8" t="n">
        <v>46120</v>
      </c>
      <c r="B8" t="inlineStr">
        <is>
          <t>Courier</t>
        </is>
      </c>
      <c r="C8" t="inlineStr">
        <is>
          <t>Blue Dart Express</t>
        </is>
      </c>
      <c r="D8" t="n">
        <v>6380</v>
      </c>
      <c r="E8" t="n">
        <v>1148</v>
      </c>
      <c r="F8">
        <f>D8+E8</f>
        <v/>
      </c>
      <c r="J8" t="inlineStr">
        <is>
          <t>7. Freeze panes so rows 1 to 4 stay visible (select A5).</t>
        </is>
      </c>
    </row>
    <row r="9">
      <c r="A9" t="n">
        <v>46122</v>
      </c>
      <c r="B9" t="inlineStr">
        <is>
          <t>Stationery</t>
        </is>
      </c>
      <c r="C9" t="inlineStr">
        <is>
          <t>Kokuyo Camlin Dealer</t>
        </is>
      </c>
      <c r="D9" t="n">
        <v>3925</v>
      </c>
      <c r="E9" t="n">
        <v>707</v>
      </c>
      <c r="F9">
        <f>D9+E9</f>
        <v/>
      </c>
      <c r="J9" t="inlineStr">
        <is>
          <t>Answers: sheet 'S02-07 Answers'.</t>
        </is>
      </c>
    </row>
    <row r="10">
      <c r="A10" t="n">
        <v>46125</v>
      </c>
      <c r="B10" t="inlineStr">
        <is>
          <t>Client meeting</t>
        </is>
      </c>
      <c r="C10" t="inlineStr">
        <is>
          <t>Taj Lands End</t>
        </is>
      </c>
      <c r="D10" t="n">
        <v>12600</v>
      </c>
      <c r="E10" t="n">
        <v>630</v>
      </c>
      <c r="F10">
        <f>D10+E10</f>
        <v/>
      </c>
    </row>
    <row r="11">
      <c r="A11" t="n">
        <v>46127</v>
      </c>
      <c r="B11" t="inlineStr">
        <is>
          <t>Travel</t>
        </is>
      </c>
      <c r="C11" t="inlineStr">
        <is>
          <t>IndiGo Airlines</t>
        </is>
      </c>
      <c r="D11" t="n">
        <v>23840</v>
      </c>
      <c r="E11" t="n">
        <v>1192</v>
      </c>
      <c r="F11">
        <f>D11+E11</f>
        <v/>
      </c>
    </row>
    <row r="12">
      <c r="A12" t="n">
        <v>46129</v>
      </c>
      <c r="B12" t="inlineStr">
        <is>
          <t>Housekeeping</t>
        </is>
      </c>
      <c r="C12" t="inlineStr">
        <is>
          <t>Swachh Facility Services</t>
        </is>
      </c>
      <c r="D12" t="n">
        <v>21000</v>
      </c>
      <c r="E12" t="n">
        <v>3780</v>
      </c>
      <c r="F12">
        <f>D12+E12</f>
        <v/>
      </c>
    </row>
    <row r="13">
      <c r="A13" t="n">
        <v>46132</v>
      </c>
      <c r="B13" t="inlineStr">
        <is>
          <t>Printing</t>
        </is>
      </c>
      <c r="C13" t="inlineStr">
        <is>
          <t>Prakash Offset Printers</t>
        </is>
      </c>
      <c r="D13" t="n">
        <v>15400</v>
      </c>
      <c r="E13" t="n">
        <v>1848</v>
      </c>
      <c r="F13">
        <f>D13+E13</f>
        <v/>
      </c>
    </row>
    <row r="14">
      <c r="A14" t="n">
        <v>46134</v>
      </c>
      <c r="B14" t="inlineStr">
        <is>
          <t>Mobile bills</t>
        </is>
      </c>
      <c r="C14" t="inlineStr">
        <is>
          <t>Jio Postpaid</t>
        </is>
      </c>
      <c r="D14" t="n">
        <v>5996</v>
      </c>
      <c r="E14" t="n">
        <v>1079</v>
      </c>
      <c r="F14">
        <f>D14+E14</f>
        <v/>
      </c>
    </row>
    <row r="15">
      <c r="A15" t="n">
        <v>46137</v>
      </c>
      <c r="B15" t="inlineStr">
        <is>
          <t>Repairs</t>
        </is>
      </c>
      <c r="C15" t="inlineStr">
        <is>
          <t>Cool Air AC Services</t>
        </is>
      </c>
      <c r="D15" t="n">
        <v>8750</v>
      </c>
      <c r="E15" t="n">
        <v>1575</v>
      </c>
      <c r="F15">
        <f>D15+E15</f>
        <v/>
      </c>
    </row>
    <row r="16">
      <c r="A16" t="n">
        <v>46141</v>
      </c>
      <c r="B16" t="inlineStr">
        <is>
          <t>Team lunch</t>
        </is>
      </c>
      <c r="C16" t="inlineStr">
        <is>
          <t>Mainland China</t>
        </is>
      </c>
      <c r="D16" t="n">
        <v>9480</v>
      </c>
      <c r="E16" t="n">
        <v>474</v>
      </c>
      <c r="F16">
        <f>D16+E16</f>
        <v/>
      </c>
    </row>
    <row r="17">
      <c r="A17" t="inlineStr">
        <is>
          <t>Total</t>
        </is>
      </c>
      <c r="D17">
        <f>SUM(D5:D16)</f>
        <v/>
      </c>
      <c r="E17">
        <f>SUM(E5:E16)</f>
        <v/>
      </c>
      <c r="F17">
        <f>SUM(F5:F16)</f>
        <v/>
      </c>
    </row>
    <row r="19">
      <c r="A19" t="inlineStr">
        <is>
          <t>Budget (₹)</t>
        </is>
      </c>
      <c r="F19" t="n">
        <v>400000</v>
      </c>
    </row>
    <row r="20">
      <c r="A20" t="inlineStr">
        <is>
          <t>Variance (₹)</t>
        </is>
      </c>
      <c r="F20">
        <f>F19-F17</f>
        <v/>
      </c>
    </row>
    <row r="21">
      <c r="A21" t="inlineStr">
        <is>
          <t>Budget used</t>
        </is>
      </c>
      <c r="F21">
        <f>F17/F19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3" customWidth="1" min="4" max="4"/>
    <col width="11" customWidth="1" min="5" max="5"/>
    <col width="13" customWidth="1" min="6" max="6"/>
    <col width="3" customWidth="1" min="7" max="7"/>
    <col width="3" customWidth="1" min="8" max="8"/>
    <col width="3" customWidth="1" min="9" max="9"/>
    <col width="72" customWidth="1" min="10" max="10"/>
  </cols>
  <sheetData>
    <row r="1">
      <c r="A1" s="39" t="inlineStr">
        <is>
          <t>Monthly expense report</t>
        </is>
      </c>
      <c r="B1" s="6" t="n"/>
      <c r="C1" s="6" t="n"/>
      <c r="D1" s="6" t="n"/>
      <c r="E1" s="6" t="n"/>
      <c r="F1" s="6" t="n"/>
      <c r="J1" s="38" t="inlineStr">
        <is>
          <t>Your tasks (Challenge 2)</t>
        </is>
      </c>
    </row>
    <row r="2">
      <c r="A2" t="inlineStr">
        <is>
          <t>Department: Sales, Mumbai  |  Month: April 2026</t>
        </is>
      </c>
      <c r="J2" t="inlineStr">
        <is>
          <t>1. Title in A1: bold, size 14, centred across A1:F1 (Center Across Selection, no merging).</t>
        </is>
      </c>
    </row>
    <row r="3">
      <c r="J3" t="inlineStr">
        <is>
          <t>2. Header row A4:F4: bold, Dark Blue fill, white text, Wrap Text.</t>
        </is>
      </c>
    </row>
    <row r="4">
      <c r="A4" s="40" t="inlineStr">
        <is>
          <t>Date</t>
        </is>
      </c>
      <c r="B4" s="9" t="inlineStr">
        <is>
          <t>Expense Head</t>
        </is>
      </c>
      <c r="C4" s="9" t="inlineStr">
        <is>
          <t>Vendor</t>
        </is>
      </c>
      <c r="D4" s="9" t="inlineStr">
        <is>
          <t>Amount (₹)</t>
        </is>
      </c>
      <c r="E4" s="9" t="inlineStr">
        <is>
          <t>GST (₹)</t>
        </is>
      </c>
      <c r="F4" s="9" t="inlineStr">
        <is>
          <t>Total (₹)</t>
        </is>
      </c>
      <c r="J4" t="inlineStr">
        <is>
          <t>3. Dates in A5:A16 as DD-MM-YYYY.</t>
        </is>
      </c>
    </row>
    <row r="5">
      <c r="A5" s="41" t="n">
        <v>46113</v>
      </c>
      <c r="B5" s="10" t="inlineStr">
        <is>
          <t>Office rent</t>
        </is>
      </c>
      <c r="C5" s="10" t="inlineStr">
        <is>
          <t>Shah Properties</t>
        </is>
      </c>
      <c r="D5" s="11" t="n">
        <v>145000</v>
      </c>
      <c r="E5" s="11" t="n">
        <v>26100</v>
      </c>
      <c r="F5" s="11">
        <f>D5+E5</f>
        <v/>
      </c>
      <c r="J5" t="inlineStr">
        <is>
          <t>4. D5:F17 and F19:F20 in Indian rupee format, e.g. ₹1,45,000 (custom format).</t>
        </is>
      </c>
    </row>
    <row r="6">
      <c r="A6" s="41" t="n">
        <v>46115</v>
      </c>
      <c r="B6" s="10" t="inlineStr">
        <is>
          <t>Electricity</t>
        </is>
      </c>
      <c r="C6" s="10" t="inlineStr">
        <is>
          <t>Adani Electricity Mumbai</t>
        </is>
      </c>
      <c r="D6" s="11" t="n">
        <v>18450</v>
      </c>
      <c r="E6" s="11" t="n">
        <v>0</v>
      </c>
      <c r="F6" s="11">
        <f>D6+E6</f>
        <v/>
      </c>
      <c r="J6" t="inlineStr">
        <is>
          <t>5. F21 as a percentage with one decimal.</t>
        </is>
      </c>
    </row>
    <row r="7">
      <c r="A7" s="41" t="n">
        <v>46117</v>
      </c>
      <c r="B7" s="10" t="inlineStr">
        <is>
          <t>Internet</t>
        </is>
      </c>
      <c r="C7" s="10" t="inlineStr">
        <is>
          <t>Tata Play Fiber</t>
        </is>
      </c>
      <c r="D7" s="11" t="n">
        <v>4720</v>
      </c>
      <c r="E7" s="11" t="n">
        <v>850</v>
      </c>
      <c r="F7" s="11">
        <f>D7+E7</f>
        <v/>
      </c>
      <c r="J7" t="inlineStr">
        <is>
          <t>6. All Borders on A4:F17, and Top and Double Bottom Border on the total row A17:F17.</t>
        </is>
      </c>
    </row>
    <row r="8">
      <c r="A8" s="41" t="n">
        <v>46120</v>
      </c>
      <c r="B8" s="10" t="inlineStr">
        <is>
          <t>Courier</t>
        </is>
      </c>
      <c r="C8" s="10" t="inlineStr">
        <is>
          <t>Blue Dart Express</t>
        </is>
      </c>
      <c r="D8" s="11" t="n">
        <v>6380</v>
      </c>
      <c r="E8" s="11" t="n">
        <v>1148</v>
      </c>
      <c r="F8" s="11">
        <f>D8+E8</f>
        <v/>
      </c>
      <c r="J8" t="inlineStr">
        <is>
          <t>7. Freeze panes so rows 1 to 4 stay visible (select A5).</t>
        </is>
      </c>
    </row>
    <row r="9">
      <c r="A9" s="41" t="n">
        <v>46122</v>
      </c>
      <c r="B9" s="10" t="inlineStr">
        <is>
          <t>Stationery</t>
        </is>
      </c>
      <c r="C9" s="10" t="inlineStr">
        <is>
          <t>Kokuyo Camlin Dealer</t>
        </is>
      </c>
      <c r="D9" s="11" t="n">
        <v>3925</v>
      </c>
      <c r="E9" s="11" t="n">
        <v>707</v>
      </c>
      <c r="F9" s="11">
        <f>D9+E9</f>
        <v/>
      </c>
      <c r="J9" t="inlineStr">
        <is>
          <t>Answers: sheet 'S02-07 Answers'.</t>
        </is>
      </c>
    </row>
    <row r="10">
      <c r="A10" s="41" t="n">
        <v>46125</v>
      </c>
      <c r="B10" s="10" t="inlineStr">
        <is>
          <t>Client meeting</t>
        </is>
      </c>
      <c r="C10" s="10" t="inlineStr">
        <is>
          <t>Taj Lands End</t>
        </is>
      </c>
      <c r="D10" s="11" t="n">
        <v>12600</v>
      </c>
      <c r="E10" s="11" t="n">
        <v>630</v>
      </c>
      <c r="F10" s="11">
        <f>D10+E10</f>
        <v/>
      </c>
    </row>
    <row r="11">
      <c r="A11" s="41" t="n">
        <v>46127</v>
      </c>
      <c r="B11" s="10" t="inlineStr">
        <is>
          <t>Travel</t>
        </is>
      </c>
      <c r="C11" s="10" t="inlineStr">
        <is>
          <t>IndiGo Airlines</t>
        </is>
      </c>
      <c r="D11" s="11" t="n">
        <v>23840</v>
      </c>
      <c r="E11" s="11" t="n">
        <v>1192</v>
      </c>
      <c r="F11" s="11">
        <f>D11+E11</f>
        <v/>
      </c>
    </row>
    <row r="12">
      <c r="A12" s="41" t="n">
        <v>46129</v>
      </c>
      <c r="B12" s="10" t="inlineStr">
        <is>
          <t>Housekeeping</t>
        </is>
      </c>
      <c r="C12" s="10" t="inlineStr">
        <is>
          <t>Swachh Facility Services</t>
        </is>
      </c>
      <c r="D12" s="11" t="n">
        <v>21000</v>
      </c>
      <c r="E12" s="11" t="n">
        <v>3780</v>
      </c>
      <c r="F12" s="11">
        <f>D12+E12</f>
        <v/>
      </c>
    </row>
    <row r="13">
      <c r="A13" s="41" t="n">
        <v>46132</v>
      </c>
      <c r="B13" s="10" t="inlineStr">
        <is>
          <t>Printing</t>
        </is>
      </c>
      <c r="C13" s="10" t="inlineStr">
        <is>
          <t>Prakash Offset Printers</t>
        </is>
      </c>
      <c r="D13" s="11" t="n">
        <v>15400</v>
      </c>
      <c r="E13" s="11" t="n">
        <v>1848</v>
      </c>
      <c r="F13" s="11">
        <f>D13+E13</f>
        <v/>
      </c>
    </row>
    <row r="14">
      <c r="A14" s="41" t="n">
        <v>46134</v>
      </c>
      <c r="B14" s="10" t="inlineStr">
        <is>
          <t>Mobile bills</t>
        </is>
      </c>
      <c r="C14" s="10" t="inlineStr">
        <is>
          <t>Jio Postpaid</t>
        </is>
      </c>
      <c r="D14" s="11" t="n">
        <v>5996</v>
      </c>
      <c r="E14" s="11" t="n">
        <v>1079</v>
      </c>
      <c r="F14" s="11">
        <f>D14+E14</f>
        <v/>
      </c>
    </row>
    <row r="15">
      <c r="A15" s="41" t="n">
        <v>46137</v>
      </c>
      <c r="B15" s="10" t="inlineStr">
        <is>
          <t>Repairs</t>
        </is>
      </c>
      <c r="C15" s="10" t="inlineStr">
        <is>
          <t>Cool Air AC Services</t>
        </is>
      </c>
      <c r="D15" s="11" t="n">
        <v>8750</v>
      </c>
      <c r="E15" s="11" t="n">
        <v>1575</v>
      </c>
      <c r="F15" s="11">
        <f>D15+E15</f>
        <v/>
      </c>
    </row>
    <row r="16">
      <c r="A16" s="41" t="n">
        <v>46141</v>
      </c>
      <c r="B16" s="10" t="inlineStr">
        <is>
          <t>Team lunch</t>
        </is>
      </c>
      <c r="C16" s="10" t="inlineStr">
        <is>
          <t>Mainland China</t>
        </is>
      </c>
      <c r="D16" s="11" t="n">
        <v>9480</v>
      </c>
      <c r="E16" s="11" t="n">
        <v>474</v>
      </c>
      <c r="F16" s="11">
        <f>D16+E16</f>
        <v/>
      </c>
    </row>
    <row r="17">
      <c r="A17" s="12" t="inlineStr">
        <is>
          <t>Total</t>
        </is>
      </c>
      <c r="B17" s="12" t="n"/>
      <c r="C17" s="12" t="n"/>
      <c r="D17" s="13">
        <f>SUM(D5:D16)</f>
        <v/>
      </c>
      <c r="E17" s="13">
        <f>SUM(E5:E16)</f>
        <v/>
      </c>
      <c r="F17" s="13">
        <f>SUM(F5:F16)</f>
        <v/>
      </c>
    </row>
    <row r="19">
      <c r="A19" t="inlineStr">
        <is>
          <t>Budget (₹)</t>
        </is>
      </c>
      <c r="F19" s="3" t="n">
        <v>400000</v>
      </c>
    </row>
    <row r="20">
      <c r="A20" t="inlineStr">
        <is>
          <t>Variance (₹)</t>
        </is>
      </c>
      <c r="F20" s="3">
        <f>F19-F17</f>
        <v/>
      </c>
    </row>
    <row r="21">
      <c r="A21" t="inlineStr">
        <is>
          <t>Budget used</t>
        </is>
      </c>
      <c r="F21" s="4">
        <f>F17/F19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2026-10-23T10:09:09Z</dcterms:created>
  <dcterms:modified xmlns:dcterms="http://purl.org/dc/terms/" xmlns:xsi="http://www.w3.org/2001/XMLSchema-instance" xsi:type="dcterms:W3CDTF">2026-10-23T10:09:09Z</dcterms:modified>
</cp:coreProperties>
</file>