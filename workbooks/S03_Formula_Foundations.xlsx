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3-01" sheetId="2" state="visible" r:id="rId2"/>
    <sheet xmlns:r="http://schemas.openxmlformats.org/officeDocument/2006/relationships" name="S03-01 Done" sheetId="3" state="visible" r:id="rId3"/>
    <sheet xmlns:r="http://schemas.openxmlformats.org/officeDocument/2006/relationships" name="S03-02" sheetId="4" state="visible" r:id="rId4"/>
    <sheet xmlns:r="http://schemas.openxmlformats.org/officeDocument/2006/relationships" name="S03-02 Done" sheetId="5" state="visible" r:id="rId5"/>
    <sheet xmlns:r="http://schemas.openxmlformats.org/officeDocument/2006/relationships" name="S03-03" sheetId="6" state="visible" r:id="rId6"/>
    <sheet xmlns:r="http://schemas.openxmlformats.org/officeDocument/2006/relationships" name="S03-03 Done" sheetId="7" state="visible" r:id="rId7"/>
    <sheet xmlns:r="http://schemas.openxmlformats.org/officeDocument/2006/relationships" name="S03-04" sheetId="8" state="visible" r:id="rId8"/>
    <sheet xmlns:r="http://schemas.openxmlformats.org/officeDocument/2006/relationships" name="S03-04 Done" sheetId="9" state="visible" r:id="rId9"/>
    <sheet xmlns:r="http://schemas.openxmlformats.org/officeDocument/2006/relationships" name="S03-05" sheetId="10" state="visible" r:id="rId10"/>
    <sheet xmlns:r="http://schemas.openxmlformats.org/officeDocument/2006/relationships" name="S03-05 Done" sheetId="11" state="visible" r:id="rId11"/>
    <sheet xmlns:r="http://schemas.openxmlformats.org/officeDocument/2006/relationships" name="Apr" sheetId="12" state="visible" r:id="rId12"/>
    <sheet xmlns:r="http://schemas.openxmlformats.org/officeDocument/2006/relationships" name="May" sheetId="13" state="visible" r:id="rId13"/>
    <sheet xmlns:r="http://schemas.openxmlformats.org/officeDocument/2006/relationships" name="Jun" sheetId="14" state="visible" r:id="rId14"/>
    <sheet xmlns:r="http://schemas.openxmlformats.org/officeDocument/2006/relationships" name="Targets FY27" sheetId="15" state="visible" r:id="rId15"/>
    <sheet xmlns:r="http://schemas.openxmlformats.org/officeDocument/2006/relationships" name="S03-06" sheetId="16" state="visible" r:id="rId16"/>
    <sheet xmlns:r="http://schemas.openxmlformats.org/officeDocument/2006/relationships" name="S03-06 Done" sheetId="17" state="visible" r:id="rId17"/>
    <sheet xmlns:r="http://schemas.openxmlformats.org/officeDocument/2006/relationships" name="S03-07" sheetId="18" state="visible" r:id="rId18"/>
    <sheet xmlns:r="http://schemas.openxmlformats.org/officeDocument/2006/relationships" name="S03-07 Done" sheetId="19" state="visible" r:id="rId19"/>
    <sheet xmlns:r="http://schemas.openxmlformats.org/officeDocument/2006/relationships" name="S03-08" sheetId="20" state="visible" r:id="rId20"/>
    <sheet xmlns:r="http://schemas.openxmlformats.org/officeDocument/2006/relationships" name="S03-08 Done" sheetId="21" state="visible" r:id="rId21"/>
    <sheet xmlns:r="http://schemas.openxmlformats.org/officeDocument/2006/relationships" name="S03-09" sheetId="22" state="visible" r:id="rId22"/>
    <sheet xmlns:r="http://schemas.openxmlformats.org/officeDocument/2006/relationships" name="S03-09 Done" sheetId="23" state="visible" r:id="rId23"/>
    <sheet xmlns:r="http://schemas.openxmlformats.org/officeDocument/2006/relationships" name="S03-10" sheetId="24" state="visible" r:id="rId24"/>
    <sheet xmlns:r="http://schemas.openxmlformats.org/officeDocument/2006/relationships" name="S03-10 Answers" sheetId="25" state="visible" r:id="rId25"/>
  </sheets>
  <definedNames>
    <definedName name="GST_Rate" localSheetId="16">'S03-06 Done'!$G$1</definedName>
    <definedName name="Taxable" localSheetId="16">'S03-06 Done'!$B$2:$B$7</definedName>
    <definedName name="North" localSheetId="16">'S03-06 Done'!$F$4:$F$9</definedName>
    <definedName name="South" localSheetId="16">'S03-06 Done'!$G$4:$G$9</definedName>
    <definedName name="East" localSheetId="16">'S03-06 Done'!$H$4:$H$9</definedName>
    <definedName name="West" localSheetId="16">'S03-06 Done'!$I$4:$I$9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&gt;=10000000]&quot;₹&quot;##\,##\,##\,##0;[&gt;=100000]&quot;₹&quot;##\,##\,##0;&quot;₹&quot;##,##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/>
    <font>
      <b val="1"/>
    </font>
    <font>
      <b val="1"/>
      <sz val="12"/>
    </font>
    <font>
      <b val="1"/>
      <color rgb="00000000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9" fontId="2" fillId="2" borderId="0" applyAlignment="1" pivotButton="0" quotePrefix="0" xfId="0">
      <alignment vertical="center" wrapText="1"/>
    </xf>
    <xf numFmtId="9" fontId="6" fillId="3" borderId="0" applyAlignment="1" pivotButton="0" quotePrefix="0" xfId="0">
      <alignment vertical="center" wrapText="1"/>
    </xf>
    <xf numFmtId="0" fontId="7" fillId="0" borderId="0" pivotButton="0" quotePrefix="0" xfId="0"/>
    <xf numFmtId="165" fontId="0" fillId="3" borderId="0" pivotButton="0" quotePrefix="0" xfId="0"/>
    <xf numFmtId="1" fontId="0" fillId="0" borderId="0" pivotButton="0" quotePrefix="0" xfId="0"/>
    <xf numFmtId="1" fontId="0" fillId="3" borderId="0" pivotButton="0" quotePrefix="0" xfId="0"/>
    <xf numFmtId="1" fontId="4" fillId="0" borderId="0" pivotButton="0" quotePrefix="0" xfId="0"/>
    <xf numFmtId="1" fontId="4" fillId="3" borderId="0" pivotButton="0" quotePrefix="0" xfId="0"/>
    <xf numFmtId="166" fontId="0" fillId="3" borderId="0" pivotButton="0" quotePrefix="0" xfId="0"/>
    <xf numFmtId="3" fontId="0" fillId="0" borderId="0" pivotButton="0" quotePrefix="0" xfId="0"/>
    <xf numFmtId="164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8" customWidth="1" min="3" max="3"/>
    <col width="15" customWidth="1" min="4" max="4"/>
    <col width="17" customWidth="1" min="5" max="5"/>
  </cols>
  <sheetData>
    <row r="1">
      <c r="A1" s="1" t="inlineStr">
        <is>
          <t>Excel Mastery for Mac | Section S03: Formula foundations</t>
        </is>
      </c>
    </row>
    <row r="2">
      <c r="A2" t="inlineStr">
        <is>
          <t>Each lesson has a practice sheet (same name as the lesson id) and a finished copy ('Done' or 'Answers'). Yellow cells are the ones you fill in.</t>
        </is>
      </c>
    </row>
    <row r="4">
      <c r="A4" s="2" t="inlineStr">
        <is>
          <t>Lesson</t>
        </is>
      </c>
      <c r="B4" s="2" t="inlineStr">
        <is>
          <t>Type</t>
        </is>
      </c>
      <c r="C4" s="2" t="inlineStr">
        <is>
          <t>Title</t>
        </is>
      </c>
      <c r="D4" s="2" t="inlineStr">
        <is>
          <t>Practice sheet</t>
        </is>
      </c>
      <c r="E4" s="2" t="inlineStr">
        <is>
          <t>Finished sheet</t>
        </is>
      </c>
    </row>
    <row r="5">
      <c r="A5" t="inlineStr">
        <is>
          <t>S03-01</t>
        </is>
      </c>
      <c r="B5" t="inlineStr">
        <is>
          <t>demo</t>
        </is>
      </c>
      <c r="C5" t="inlineStr">
        <is>
          <t>Your first formula: operators and order</t>
        </is>
      </c>
      <c r="D5" t="inlineStr">
        <is>
          <t>S03-01</t>
        </is>
      </c>
      <c r="E5" t="inlineStr">
        <is>
          <t>S03-01 Done</t>
        </is>
      </c>
    </row>
    <row r="6">
      <c r="A6" t="inlineStr">
        <is>
          <t>S03-02</t>
        </is>
      </c>
      <c r="B6" t="inlineStr">
        <is>
          <t>demo</t>
        </is>
      </c>
      <c r="C6" t="inlineStr">
        <is>
          <t>Relative, absolute and mixed references</t>
        </is>
      </c>
      <c r="D6" t="inlineStr">
        <is>
          <t>S03-02</t>
        </is>
      </c>
      <c r="E6" t="inlineStr">
        <is>
          <t>S03-02 Done</t>
        </is>
      </c>
    </row>
    <row r="7">
      <c r="A7" t="inlineStr">
        <is>
          <t>S03-03</t>
        </is>
      </c>
      <c r="B7" t="inlineStr">
        <is>
          <t>demo</t>
        </is>
      </c>
      <c r="C7" t="inlineStr">
        <is>
          <t>SUM, AVERAGE, MIN, MAX and the COUNT family</t>
        </is>
      </c>
      <c r="D7" t="inlineStr">
        <is>
          <t>S03-03</t>
        </is>
      </c>
      <c r="E7" t="inlineStr">
        <is>
          <t>S03-03 Done</t>
        </is>
      </c>
    </row>
    <row r="8">
      <c r="A8" t="inlineStr">
        <is>
          <t>S03-04</t>
        </is>
      </c>
      <c r="B8" t="inlineStr">
        <is>
          <t>demo</t>
        </is>
      </c>
      <c r="C8" t="inlineStr">
        <is>
          <t>Rounding the right way</t>
        </is>
      </c>
      <c r="D8" t="inlineStr">
        <is>
          <t>S03-04</t>
        </is>
      </c>
      <c r="E8" t="inlineStr">
        <is>
          <t>S03-04 Done</t>
        </is>
      </c>
    </row>
    <row r="9">
      <c r="A9" t="inlineStr">
        <is>
          <t>S03-05</t>
        </is>
      </c>
      <c r="B9" t="inlineStr">
        <is>
          <t>demo</t>
        </is>
      </c>
      <c r="C9" t="inlineStr">
        <is>
          <t>Formulas across sheets and files</t>
        </is>
      </c>
      <c r="D9" t="inlineStr">
        <is>
          <t>S03-05</t>
        </is>
      </c>
      <c r="E9" t="inlineStr">
        <is>
          <t>S03-05 Done</t>
        </is>
      </c>
    </row>
    <row r="10">
      <c r="A10" t="inlineStr">
        <is>
          <t>S03-06</t>
        </is>
      </c>
      <c r="B10" t="inlineStr">
        <is>
          <t>demo</t>
        </is>
      </c>
      <c r="C10" t="inlineStr">
        <is>
          <t>Named ranges and the Name Manager</t>
        </is>
      </c>
      <c r="D10" t="inlineStr">
        <is>
          <t>S03-06</t>
        </is>
      </c>
      <c r="E10" t="inlineStr">
        <is>
          <t>S03-06 Done</t>
        </is>
      </c>
    </row>
    <row r="11">
      <c r="A11" t="inlineStr">
        <is>
          <t>S03-07</t>
        </is>
      </c>
      <c r="B11" t="inlineStr">
        <is>
          <t>demo</t>
        </is>
      </c>
      <c r="C11" t="inlineStr">
        <is>
          <t>Every error value and how to fix it</t>
        </is>
      </c>
      <c r="D11" t="inlineStr">
        <is>
          <t>S03-07</t>
        </is>
      </c>
      <c r="E11" t="inlineStr">
        <is>
          <t>S03-07 Done</t>
        </is>
      </c>
    </row>
    <row r="12">
      <c r="A12" t="inlineStr">
        <is>
          <t>S03-08</t>
        </is>
      </c>
      <c r="B12" t="inlineStr">
        <is>
          <t>demo</t>
        </is>
      </c>
      <c r="C12" t="inlineStr">
        <is>
          <t>Auditing formulas</t>
        </is>
      </c>
      <c r="D12" t="inlineStr">
        <is>
          <t>S03-08</t>
        </is>
      </c>
      <c r="E12" t="inlineStr">
        <is>
          <t>S03-08 Done</t>
        </is>
      </c>
    </row>
    <row r="13">
      <c r="A13" t="inlineStr">
        <is>
          <t>S03-09</t>
        </is>
      </c>
      <c r="B13" t="inlineStr">
        <is>
          <t>demo</t>
        </is>
      </c>
      <c r="C13" t="inlineStr">
        <is>
          <t>Calculation settings and circular references</t>
        </is>
      </c>
      <c r="D13" t="inlineStr">
        <is>
          <t>S03-09</t>
        </is>
      </c>
      <c r="E13" t="inlineStr">
        <is>
          <t>S03-09 Done</t>
        </is>
      </c>
    </row>
    <row r="14">
      <c r="A14" t="inlineStr">
        <is>
          <t>S03-10</t>
        </is>
      </c>
      <c r="B14" t="inlineStr">
        <is>
          <t>challenge</t>
        </is>
      </c>
      <c r="C14" t="inlineStr">
        <is>
          <t>Challenge 3: a sales commission sheet</t>
        </is>
      </c>
      <c r="D14" t="inlineStr">
        <is>
          <t>S03-10</t>
        </is>
      </c>
      <c r="E14" t="inlineStr">
        <is>
          <t>S03-10 Answers</t>
        </is>
      </c>
    </row>
    <row r="16">
      <c r="A16" t="inlineStr">
        <is>
          <t>Lesson S03-05 also uses the sheets Apr, May, Jun and Targets FY27.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4" customWidth="1" min="4" max="4"/>
    <col width="3" customWidth="1" min="5" max="5"/>
    <col width="34" customWidth="1" min="6" max="6"/>
    <col width="26" customWidth="1" min="7" max="7"/>
  </cols>
  <sheetData>
    <row r="1">
      <c r="A1" s="2" t="inlineStr">
        <is>
          <t>Item</t>
        </is>
      </c>
      <c r="B1" s="2" t="inlineStr">
        <is>
          <t>Qty</t>
        </is>
      </c>
      <c r="C1" s="2" t="inlineStr">
        <is>
          <t>Rate (₹)</t>
        </is>
      </c>
      <c r="D1" s="2" t="inlineStr">
        <is>
          <t>Amount (₹)</t>
        </is>
      </c>
      <c r="F1" s="3" t="inlineStr">
        <is>
          <t>Client</t>
        </is>
      </c>
      <c r="G1" t="inlineStr">
        <is>
          <t>Mehta Interiors</t>
        </is>
      </c>
    </row>
    <row r="2">
      <c r="A2" t="inlineStr">
        <is>
          <t>Ergonomic office chair</t>
        </is>
      </c>
      <c r="B2" t="n">
        <v>12</v>
      </c>
      <c r="C2" s="4" t="n">
        <v>8500</v>
      </c>
      <c r="D2" s="5" t="n"/>
      <c r="F2" s="3" t="inlineStr">
        <is>
          <t>Quote title</t>
        </is>
      </c>
      <c r="G2" s="6" t="n"/>
    </row>
    <row r="3">
      <c r="A3" t="inlineStr">
        <is>
          <t>Workstation desk</t>
        </is>
      </c>
      <c r="B3" t="n">
        <v>6</v>
      </c>
      <c r="C3" s="4" t="n">
        <v>14200</v>
      </c>
      <c r="D3" s="5" t="n"/>
    </row>
    <row r="4">
      <c r="A4" t="inlineStr">
        <is>
          <t>Steel filing cabinet</t>
        </is>
      </c>
      <c r="B4" t="n">
        <v>4</v>
      </c>
      <c r="C4" s="4" t="n">
        <v>11800</v>
      </c>
      <c r="D4" s="5" t="n"/>
      <c r="F4" s="3" t="inlineStr">
        <is>
          <t>Chair rate in 3 years at 6% a year</t>
        </is>
      </c>
      <c r="G4" s="5" t="n"/>
    </row>
    <row r="5">
      <c r="A5" t="inlineStr">
        <is>
          <t>Visitor chair</t>
        </is>
      </c>
      <c r="B5" t="n">
        <v>10</v>
      </c>
      <c r="C5" s="4" t="n">
        <v>3600</v>
      </c>
      <c r="D5" s="5" t="n"/>
    </row>
    <row r="6">
      <c r="A6" t="inlineStr">
        <is>
          <t>Whiteboard 6x4 ft</t>
        </is>
      </c>
      <c r="B6" t="n">
        <v>2</v>
      </c>
      <c r="C6" s="4" t="n">
        <v>5400</v>
      </c>
      <c r="D6" s="5" t="n"/>
      <c r="F6" s="3" t="inlineStr">
        <is>
          <t>Challenge: chair rate incl. 18% GST</t>
        </is>
      </c>
      <c r="G6" s="5" t="n"/>
    </row>
    <row r="8">
      <c r="A8" s="7" t="inlineStr">
        <is>
          <t>Subtotal</t>
        </is>
      </c>
      <c r="D8" s="5" t="n"/>
    </row>
    <row r="9">
      <c r="A9" s="7" t="inlineStr">
        <is>
          <t>Discount 5%</t>
        </is>
      </c>
      <c r="D9" s="5" t="n"/>
    </row>
    <row r="10">
      <c r="A10" s="7" t="inlineStr">
        <is>
          <t>After discount</t>
        </is>
      </c>
      <c r="D10" s="5" t="n"/>
    </row>
    <row r="11">
      <c r="A11" s="7" t="inlineStr">
        <is>
          <t>GST 18%</t>
        </is>
      </c>
      <c r="D11" s="5" t="n"/>
    </row>
    <row r="12">
      <c r="A12" s="3" t="inlineStr">
        <is>
          <t>Grand total</t>
        </is>
      </c>
      <c r="D12" s="5" t="n"/>
    </row>
    <row r="13">
      <c r="A13" s="7" t="inlineStr">
        <is>
          <t>Grand total in one formula</t>
        </is>
      </c>
      <c r="D1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4" customWidth="1" min="4" max="4"/>
    <col width="3" customWidth="1" min="5" max="5"/>
    <col width="34" customWidth="1" min="6" max="6"/>
    <col width="26" customWidth="1" min="7" max="7"/>
  </cols>
  <sheetData>
    <row r="1">
      <c r="A1" s="2" t="inlineStr">
        <is>
          <t>Item</t>
        </is>
      </c>
      <c r="B1" s="2" t="inlineStr">
        <is>
          <t>Qty</t>
        </is>
      </c>
      <c r="C1" s="2" t="inlineStr">
        <is>
          <t>Rate (₹)</t>
        </is>
      </c>
      <c r="D1" s="2" t="inlineStr">
        <is>
          <t>Amount (₹)</t>
        </is>
      </c>
      <c r="F1" s="3" t="inlineStr">
        <is>
          <t>Client</t>
        </is>
      </c>
      <c r="G1" t="inlineStr">
        <is>
          <t>Mehta Interiors</t>
        </is>
      </c>
    </row>
    <row r="2">
      <c r="A2" t="inlineStr">
        <is>
          <t>Ergonomic office chair</t>
        </is>
      </c>
      <c r="B2" t="n">
        <v>12</v>
      </c>
      <c r="C2" s="4" t="n">
        <v>8500</v>
      </c>
      <c r="D2" s="5">
        <f>B2*C2</f>
        <v/>
      </c>
      <c r="F2" s="3" t="inlineStr">
        <is>
          <t>Quote title</t>
        </is>
      </c>
      <c r="G2" s="6">
        <f>"Quote for "&amp;G1</f>
        <v/>
      </c>
    </row>
    <row r="3">
      <c r="A3" t="inlineStr">
        <is>
          <t>Workstation desk</t>
        </is>
      </c>
      <c r="B3" t="n">
        <v>6</v>
      </c>
      <c r="C3" s="4" t="n">
        <v>14200</v>
      </c>
      <c r="D3" s="5">
        <f>B3*C3</f>
        <v/>
      </c>
    </row>
    <row r="4">
      <c r="A4" t="inlineStr">
        <is>
          <t>Steel filing cabinet</t>
        </is>
      </c>
      <c r="B4" t="n">
        <v>4</v>
      </c>
      <c r="C4" s="4" t="n">
        <v>11800</v>
      </c>
      <c r="D4" s="5">
        <f>B4*C4</f>
        <v/>
      </c>
      <c r="F4" s="3" t="inlineStr">
        <is>
          <t>Chair rate in 3 years at 6% a year</t>
        </is>
      </c>
      <c r="G4" s="5">
        <f>C2*(1+6%)^3</f>
        <v/>
      </c>
    </row>
    <row r="5">
      <c r="A5" t="inlineStr">
        <is>
          <t>Visitor chair</t>
        </is>
      </c>
      <c r="B5" t="n">
        <v>10</v>
      </c>
      <c r="C5" s="4" t="n">
        <v>3600</v>
      </c>
      <c r="D5" s="5">
        <f>B5*C5</f>
        <v/>
      </c>
    </row>
    <row r="6">
      <c r="A6" t="inlineStr">
        <is>
          <t>Whiteboard 6x4 ft</t>
        </is>
      </c>
      <c r="B6" t="n">
        <v>2</v>
      </c>
      <c r="C6" s="4" t="n">
        <v>5400</v>
      </c>
      <c r="D6" s="5">
        <f>B6*C6</f>
        <v/>
      </c>
      <c r="F6" s="3" t="inlineStr">
        <is>
          <t>Challenge: chair rate incl. 18% GST</t>
        </is>
      </c>
      <c r="G6" s="5">
        <f>C2*(1+18%)</f>
        <v/>
      </c>
    </row>
    <row r="8">
      <c r="A8" s="7" t="inlineStr">
        <is>
          <t>Subtotal</t>
        </is>
      </c>
      <c r="D8" s="5">
        <f>D2+D3+D4+D5+D6</f>
        <v/>
      </c>
    </row>
    <row r="9">
      <c r="A9" s="7" t="inlineStr">
        <is>
          <t>Discount 5%</t>
        </is>
      </c>
      <c r="D9" s="5">
        <f>D8*5%</f>
        <v/>
      </c>
    </row>
    <row r="10">
      <c r="A10" s="7" t="inlineStr">
        <is>
          <t>After discount</t>
        </is>
      </c>
      <c r="D10" s="5">
        <f>D8-D9</f>
        <v/>
      </c>
    </row>
    <row r="11">
      <c r="A11" s="7" t="inlineStr">
        <is>
          <t>GST 18%</t>
        </is>
      </c>
      <c r="D11" s="5">
        <f>D10*18%</f>
        <v/>
      </c>
    </row>
    <row r="12">
      <c r="A12" s="3" t="inlineStr">
        <is>
          <t>Grand total</t>
        </is>
      </c>
      <c r="D12" s="5">
        <f>D10+D11</f>
        <v/>
      </c>
    </row>
    <row r="13">
      <c r="A13" s="7" t="inlineStr">
        <is>
          <t>Grand total in one formula</t>
        </is>
      </c>
      <c r="D13" s="5">
        <f>(D8-D9)*1.18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Invoice No</t>
        </is>
      </c>
      <c r="B1" s="2" t="inlineStr">
        <is>
          <t>Taxable Value (₹)</t>
        </is>
      </c>
      <c r="C1" s="2" t="inlineStr">
        <is>
          <t>GST (₹)</t>
        </is>
      </c>
      <c r="E1" s="3" t="inlineStr">
        <is>
          <t>GST rate</t>
        </is>
      </c>
      <c r="F1" s="8" t="n">
        <v>0.18</v>
      </c>
    </row>
    <row r="2">
      <c r="A2" t="inlineStr">
        <is>
          <t>SAF/26-27/0201</t>
        </is>
      </c>
      <c r="B2" s="4" t="n">
        <v>125000</v>
      </c>
      <c r="C2" s="5" t="n"/>
    </row>
    <row r="3">
      <c r="A3" t="inlineStr">
        <is>
          <t>SAF/26-27/0202</t>
        </is>
      </c>
      <c r="B3" s="4" t="n">
        <v>84600</v>
      </c>
      <c r="C3" s="5" t="n"/>
    </row>
    <row r="4">
      <c r="A4" t="inlineStr">
        <is>
          <t>SAF/26-27/0203</t>
        </is>
      </c>
      <c r="B4" s="4" t="n">
        <v>236500</v>
      </c>
      <c r="C4" s="5" t="n"/>
    </row>
    <row r="5">
      <c r="A5" t="inlineStr">
        <is>
          <t>SAF/26-27/0204</t>
        </is>
      </c>
      <c r="B5" s="4" t="n">
        <v>47800</v>
      </c>
      <c r="C5" s="5" t="n"/>
    </row>
    <row r="6">
      <c r="A6" t="inlineStr">
        <is>
          <t>SAF/26-27/0205</t>
        </is>
      </c>
      <c r="B6" s="4" t="n">
        <v>158900</v>
      </c>
      <c r="C6" s="5" t="n"/>
    </row>
    <row r="7">
      <c r="A7" t="inlineStr">
        <is>
          <t>SAF/26-27/0206</t>
        </is>
      </c>
      <c r="B7" s="4" t="n">
        <v>92300</v>
      </c>
      <c r="C7" s="5" t="n"/>
    </row>
    <row r="10">
      <c r="A10" s="9" t="inlineStr">
        <is>
          <t>Price list after discount</t>
        </is>
      </c>
    </row>
    <row r="11">
      <c r="A11" s="2" t="inlineStr">
        <is>
          <t>Product</t>
        </is>
      </c>
      <c r="B11" s="2" t="inlineStr">
        <is>
          <t>List Price (₹)</t>
        </is>
      </c>
      <c r="C11" s="10" t="n">
        <v>0.05</v>
      </c>
      <c r="D11" s="10" t="n">
        <v>0.1</v>
      </c>
      <c r="E11" s="10" t="n">
        <v>0.15</v>
      </c>
      <c r="F11" s="11" t="n"/>
    </row>
    <row r="12">
      <c r="A12" t="inlineStr">
        <is>
          <t>Ergonomic office chair</t>
        </is>
      </c>
      <c r="B12" s="4" t="n">
        <v>8500</v>
      </c>
      <c r="C12" s="5" t="n"/>
      <c r="D12" s="5" t="n"/>
      <c r="E12" s="5" t="n"/>
      <c r="F12" s="5" t="n"/>
    </row>
    <row r="13">
      <c r="A13" t="inlineStr">
        <is>
          <t>Executive desk</t>
        </is>
      </c>
      <c r="B13" s="4" t="n">
        <v>24600</v>
      </c>
      <c r="C13" s="5" t="n"/>
      <c r="D13" s="5" t="n"/>
      <c r="E13" s="5" t="n"/>
      <c r="F13" s="5" t="n"/>
    </row>
    <row r="14">
      <c r="A14" t="inlineStr">
        <is>
          <t>Steel filing cabinet</t>
        </is>
      </c>
      <c r="B14" s="4" t="n">
        <v>11800</v>
      </c>
      <c r="C14" s="5" t="n"/>
      <c r="D14" s="5" t="n"/>
      <c r="E14" s="5" t="n"/>
      <c r="F14" s="5" t="n"/>
    </row>
    <row r="15">
      <c r="A15" t="inlineStr">
        <is>
          <t>Bookshelf</t>
        </is>
      </c>
      <c r="B15" s="4" t="n">
        <v>7200</v>
      </c>
      <c r="C15" s="5" t="n"/>
      <c r="D15" s="5" t="n"/>
      <c r="E15" s="5" t="n"/>
      <c r="F15" s="5" t="n"/>
    </row>
    <row r="16">
      <c r="A16" t="inlineStr">
        <is>
          <t>Conference table</t>
        </is>
      </c>
      <c r="B16" s="4" t="n">
        <v>46500</v>
      </c>
      <c r="C16" s="5" t="n"/>
      <c r="D16" s="5" t="n"/>
      <c r="E16" s="5" t="n"/>
      <c r="F16" s="5" t="n"/>
    </row>
    <row r="18">
      <c r="A18" s="12" t="inlineStr">
        <is>
          <t>Challenge: add a 20% column in F11:F16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Invoice No</t>
        </is>
      </c>
      <c r="B1" s="2" t="inlineStr">
        <is>
          <t>Taxable Value (₹)</t>
        </is>
      </c>
      <c r="C1" s="2" t="inlineStr">
        <is>
          <t>GST (₹)</t>
        </is>
      </c>
      <c r="E1" s="3" t="inlineStr">
        <is>
          <t>GST rate</t>
        </is>
      </c>
      <c r="F1" s="8" t="n">
        <v>0.18</v>
      </c>
    </row>
    <row r="2">
      <c r="A2" t="inlineStr">
        <is>
          <t>SAF/26-27/0201</t>
        </is>
      </c>
      <c r="B2" s="4" t="n">
        <v>125000</v>
      </c>
      <c r="C2" s="5">
        <f>B2*$F$1</f>
        <v/>
      </c>
    </row>
    <row r="3">
      <c r="A3" t="inlineStr">
        <is>
          <t>SAF/26-27/0202</t>
        </is>
      </c>
      <c r="B3" s="4" t="n">
        <v>84600</v>
      </c>
      <c r="C3" s="5">
        <f>B3*$F$1</f>
        <v/>
      </c>
    </row>
    <row r="4">
      <c r="A4" t="inlineStr">
        <is>
          <t>SAF/26-27/0203</t>
        </is>
      </c>
      <c r="B4" s="4" t="n">
        <v>236500</v>
      </c>
      <c r="C4" s="5">
        <f>B4*$F$1</f>
        <v/>
      </c>
    </row>
    <row r="5">
      <c r="A5" t="inlineStr">
        <is>
          <t>SAF/26-27/0204</t>
        </is>
      </c>
      <c r="B5" s="4" t="n">
        <v>47800</v>
      </c>
      <c r="C5" s="5">
        <f>B5*$F$1</f>
        <v/>
      </c>
    </row>
    <row r="6">
      <c r="A6" t="inlineStr">
        <is>
          <t>SAF/26-27/0205</t>
        </is>
      </c>
      <c r="B6" s="4" t="n">
        <v>158900</v>
      </c>
      <c r="C6" s="5">
        <f>B6*$F$1</f>
        <v/>
      </c>
    </row>
    <row r="7">
      <c r="A7" t="inlineStr">
        <is>
          <t>SAF/26-27/0206</t>
        </is>
      </c>
      <c r="B7" s="4" t="n">
        <v>92300</v>
      </c>
      <c r="C7" s="5">
        <f>B7*$F$1</f>
        <v/>
      </c>
    </row>
    <row r="10">
      <c r="A10" s="9" t="inlineStr">
        <is>
          <t>Price list after discount</t>
        </is>
      </c>
    </row>
    <row r="11">
      <c r="A11" s="2" t="inlineStr">
        <is>
          <t>Product</t>
        </is>
      </c>
      <c r="B11" s="2" t="inlineStr">
        <is>
          <t>List Price (₹)</t>
        </is>
      </c>
      <c r="C11" s="10" t="n">
        <v>0.05</v>
      </c>
      <c r="D11" s="10" t="n">
        <v>0.1</v>
      </c>
      <c r="E11" s="10" t="n">
        <v>0.15</v>
      </c>
      <c r="F11" s="11" t="n">
        <v>0.2</v>
      </c>
    </row>
    <row r="12">
      <c r="A12" t="inlineStr">
        <is>
          <t>Ergonomic office chair</t>
        </is>
      </c>
      <c r="B12" s="4" t="n">
        <v>8500</v>
      </c>
      <c r="C12" s="5">
        <f>$B12*(1-C$11)</f>
        <v/>
      </c>
      <c r="D12" s="5">
        <f>$B12*(1-D$11)</f>
        <v/>
      </c>
      <c r="E12" s="5">
        <f>$B12*(1-E$11)</f>
        <v/>
      </c>
      <c r="F12" s="5">
        <f>$B12*(1-F$11)</f>
        <v/>
      </c>
    </row>
    <row r="13">
      <c r="A13" t="inlineStr">
        <is>
          <t>Executive desk</t>
        </is>
      </c>
      <c r="B13" s="4" t="n">
        <v>24600</v>
      </c>
      <c r="C13" s="5">
        <f>$B13*(1-C$11)</f>
        <v/>
      </c>
      <c r="D13" s="5">
        <f>$B13*(1-D$11)</f>
        <v/>
      </c>
      <c r="E13" s="5">
        <f>$B13*(1-E$11)</f>
        <v/>
      </c>
      <c r="F13" s="5">
        <f>$B13*(1-F$11)</f>
        <v/>
      </c>
    </row>
    <row r="14">
      <c r="A14" t="inlineStr">
        <is>
          <t>Steel filing cabinet</t>
        </is>
      </c>
      <c r="B14" s="4" t="n">
        <v>11800</v>
      </c>
      <c r="C14" s="5">
        <f>$B14*(1-C$11)</f>
        <v/>
      </c>
      <c r="D14" s="5">
        <f>$B14*(1-D$11)</f>
        <v/>
      </c>
      <c r="E14" s="5">
        <f>$B14*(1-E$11)</f>
        <v/>
      </c>
      <c r="F14" s="5">
        <f>$B14*(1-F$11)</f>
        <v/>
      </c>
    </row>
    <row r="15">
      <c r="A15" t="inlineStr">
        <is>
          <t>Bookshelf</t>
        </is>
      </c>
      <c r="B15" s="4" t="n">
        <v>7200</v>
      </c>
      <c r="C15" s="5">
        <f>$B15*(1-C$11)</f>
        <v/>
      </c>
      <c r="D15" s="5">
        <f>$B15*(1-D$11)</f>
        <v/>
      </c>
      <c r="E15" s="5">
        <f>$B15*(1-E$11)</f>
        <v/>
      </c>
      <c r="F15" s="5">
        <f>$B15*(1-F$11)</f>
        <v/>
      </c>
    </row>
    <row r="16">
      <c r="A16" t="inlineStr">
        <is>
          <t>Conference table</t>
        </is>
      </c>
      <c r="B16" s="4" t="n">
        <v>46500</v>
      </c>
      <c r="C16" s="5">
        <f>$B16*(1-C$11)</f>
        <v/>
      </c>
      <c r="D16" s="5">
        <f>$B16*(1-D$11)</f>
        <v/>
      </c>
      <c r="E16" s="5">
        <f>$B16*(1-E$11)</f>
        <v/>
      </c>
      <c r="F16" s="5">
        <f>$B16*(1-F$11)</f>
        <v/>
      </c>
    </row>
    <row r="18">
      <c r="A18" s="12" t="inlineStr">
        <is>
          <t>Challenge: add a 20% column in F11:F16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5" customWidth="1" min="4" max="4"/>
    <col width="3" customWidth="1" min="5" max="5"/>
    <col width="28" customWidth="1" min="6" max="6"/>
    <col width="13" customWidth="1" min="7" max="7"/>
  </cols>
  <sheetData>
    <row r="1">
      <c r="A1" s="2" t="inlineStr">
        <is>
          <t>Salesperson</t>
        </is>
      </c>
      <c r="B1" s="2" t="inlineStr">
        <is>
          <t>City</t>
        </is>
      </c>
      <c r="C1" s="2" t="inlineStr">
        <is>
          <t>Sales (₹)</t>
        </is>
      </c>
      <c r="D1" s="2" t="inlineStr">
        <is>
          <t>Customer Visits</t>
        </is>
      </c>
      <c r="F1" s="9" t="inlineStr">
        <is>
          <t>Summary</t>
        </is>
      </c>
    </row>
    <row r="2">
      <c r="A2" t="inlineStr">
        <is>
          <t>Amit Joshi</t>
        </is>
      </c>
      <c r="B2" t="inlineStr">
        <is>
          <t>Pune</t>
        </is>
      </c>
      <c r="C2" s="4" t="n">
        <v>485200</v>
      </c>
      <c r="D2" t="n">
        <v>42</v>
      </c>
      <c r="F2" t="inlineStr">
        <is>
          <t>Average sales</t>
        </is>
      </c>
      <c r="G2" s="5" t="n"/>
    </row>
    <row r="3">
      <c r="A3" t="inlineStr">
        <is>
          <t>Sneha Kale</t>
        </is>
      </c>
      <c r="B3" t="inlineStr">
        <is>
          <t>Pune</t>
        </is>
      </c>
      <c r="C3" s="4" t="n">
        <v>512750</v>
      </c>
      <c r="D3" t="n">
        <v>38</v>
      </c>
      <c r="F3" t="inlineStr">
        <is>
          <t>Lowest sales</t>
        </is>
      </c>
      <c r="G3" s="5" t="n"/>
    </row>
    <row r="4">
      <c r="A4" t="inlineStr">
        <is>
          <t>Rakesh Nair</t>
        </is>
      </c>
      <c r="B4" t="inlineStr">
        <is>
          <t>Mumbai</t>
        </is>
      </c>
      <c r="C4" s="4" t="n">
        <v>638400</v>
      </c>
      <c r="D4" t="n">
        <v>51</v>
      </c>
      <c r="F4" t="inlineStr">
        <is>
          <t>Highest sales</t>
        </is>
      </c>
      <c r="G4" s="5" t="n"/>
    </row>
    <row r="5">
      <c r="A5" t="inlineStr">
        <is>
          <t>Fatima Shaikh</t>
        </is>
      </c>
      <c r="B5" t="inlineStr">
        <is>
          <t>Mumbai</t>
        </is>
      </c>
      <c r="C5" s="4" t="n">
        <v>702150</v>
      </c>
      <c r="D5" t="n">
        <v>47</v>
      </c>
      <c r="F5" t="inlineStr">
        <is>
          <t>Visits entered as numbers</t>
        </is>
      </c>
      <c r="G5" s="6" t="n"/>
    </row>
    <row r="6">
      <c r="A6" t="inlineStr">
        <is>
          <t>Vivek Deshpande</t>
        </is>
      </c>
      <c r="B6" t="inlineStr">
        <is>
          <t>Nagpur</t>
        </is>
      </c>
      <c r="C6" s="4" t="n">
        <v>356900</v>
      </c>
      <c r="D6" t="inlineStr">
        <is>
          <t>On leave</t>
        </is>
      </c>
      <c r="F6" t="inlineStr">
        <is>
          <t>Entries in the visits column</t>
        </is>
      </c>
      <c r="G6" s="6" t="n"/>
    </row>
    <row r="7">
      <c r="A7" t="inlineStr">
        <is>
          <t>Pallavi More</t>
        </is>
      </c>
      <c r="B7" t="inlineStr">
        <is>
          <t>Nashik</t>
        </is>
      </c>
      <c r="C7" s="4" t="n">
        <v>298450</v>
      </c>
      <c r="D7" t="n">
        <v>29</v>
      </c>
      <c r="F7" t="inlineStr">
        <is>
          <t>Blank visit cells</t>
        </is>
      </c>
      <c r="G7" s="6" t="n"/>
    </row>
    <row r="8">
      <c r="A8" t="inlineStr">
        <is>
          <t>Kiran Salunkhe</t>
        </is>
      </c>
      <c r="B8" t="inlineStr">
        <is>
          <t>Thane</t>
        </is>
      </c>
      <c r="C8" s="4" t="n">
        <v>447600</v>
      </c>
      <c r="D8" t="n">
        <v>35</v>
      </c>
      <c r="F8" t="inlineStr">
        <is>
          <t>Team size</t>
        </is>
      </c>
      <c r="G8" s="6" t="n"/>
    </row>
    <row r="9">
      <c r="A9" t="inlineStr">
        <is>
          <t>Manoj Gupta</t>
        </is>
      </c>
      <c r="B9" t="inlineStr">
        <is>
          <t>Thane</t>
        </is>
      </c>
      <c r="C9" s="4" t="n">
        <v>391200</v>
      </c>
      <c r="D9" t="n">
        <v>33</v>
      </c>
      <c r="F9" t="inlineStr">
        <is>
          <t>Challenge: average visits</t>
        </is>
      </c>
      <c r="G9" s="13" t="n"/>
    </row>
    <row r="10">
      <c r="A10" t="inlineStr">
        <is>
          <t>Rohit Pawar</t>
        </is>
      </c>
      <c r="B10" t="inlineStr">
        <is>
          <t>Kolhapur</t>
        </is>
      </c>
      <c r="C10" s="4" t="n">
        <v>274300</v>
      </c>
    </row>
    <row r="11">
      <c r="A11" t="inlineStr">
        <is>
          <t>Swati Kulkarni</t>
        </is>
      </c>
      <c r="B11" t="inlineStr">
        <is>
          <t>Pune</t>
        </is>
      </c>
      <c r="C11" s="4" t="n">
        <v>529800</v>
      </c>
      <c r="D11" t="n">
        <v>40</v>
      </c>
    </row>
    <row r="12">
      <c r="A12" t="inlineStr">
        <is>
          <t>Imran Sayyed</t>
        </is>
      </c>
      <c r="B12" t="inlineStr">
        <is>
          <t>Nagpur</t>
        </is>
      </c>
      <c r="C12" s="4" t="n">
        <v>333750</v>
      </c>
      <c r="D12" t="n">
        <v>31</v>
      </c>
    </row>
    <row r="13">
      <c r="A13" t="inlineStr">
        <is>
          <t>Neha Agarwal</t>
        </is>
      </c>
      <c r="B13" t="inlineStr">
        <is>
          <t>Mumbai</t>
        </is>
      </c>
      <c r="C13" s="4" t="n">
        <v>584900</v>
      </c>
      <c r="D13" t="n">
        <v>44</v>
      </c>
    </row>
    <row r="14">
      <c r="A14" s="3" t="inlineStr">
        <is>
          <t>Total</t>
        </is>
      </c>
      <c r="C14" s="5" t="n"/>
      <c r="D14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5" customWidth="1" min="4" max="4"/>
    <col width="3" customWidth="1" min="5" max="5"/>
    <col width="28" customWidth="1" min="6" max="6"/>
    <col width="13" customWidth="1" min="7" max="7"/>
  </cols>
  <sheetData>
    <row r="1">
      <c r="A1" s="2" t="inlineStr">
        <is>
          <t>Salesperson</t>
        </is>
      </c>
      <c r="B1" s="2" t="inlineStr">
        <is>
          <t>City</t>
        </is>
      </c>
      <c r="C1" s="2" t="inlineStr">
        <is>
          <t>Sales (₹)</t>
        </is>
      </c>
      <c r="D1" s="2" t="inlineStr">
        <is>
          <t>Customer Visits</t>
        </is>
      </c>
      <c r="F1" s="9" t="inlineStr">
        <is>
          <t>Summary</t>
        </is>
      </c>
    </row>
    <row r="2">
      <c r="A2" t="inlineStr">
        <is>
          <t>Amit Joshi</t>
        </is>
      </c>
      <c r="B2" t="inlineStr">
        <is>
          <t>Pune</t>
        </is>
      </c>
      <c r="C2" s="4" t="n">
        <v>485200</v>
      </c>
      <c r="D2" t="n">
        <v>42</v>
      </c>
      <c r="F2" t="inlineStr">
        <is>
          <t>Average sales</t>
        </is>
      </c>
      <c r="G2" s="5">
        <f>AVERAGE(C2:C13)</f>
        <v/>
      </c>
    </row>
    <row r="3">
      <c r="A3" t="inlineStr">
        <is>
          <t>Sneha Kale</t>
        </is>
      </c>
      <c r="B3" t="inlineStr">
        <is>
          <t>Pune</t>
        </is>
      </c>
      <c r="C3" s="4" t="n">
        <v>512750</v>
      </c>
      <c r="D3" t="n">
        <v>38</v>
      </c>
      <c r="F3" t="inlineStr">
        <is>
          <t>Lowest sales</t>
        </is>
      </c>
      <c r="G3" s="5">
        <f>MIN(C2:C13)</f>
        <v/>
      </c>
    </row>
    <row r="4">
      <c r="A4" t="inlineStr">
        <is>
          <t>Rakesh Nair</t>
        </is>
      </c>
      <c r="B4" t="inlineStr">
        <is>
          <t>Mumbai</t>
        </is>
      </c>
      <c r="C4" s="4" t="n">
        <v>638400</v>
      </c>
      <c r="D4" t="n">
        <v>51</v>
      </c>
      <c r="F4" t="inlineStr">
        <is>
          <t>Highest sales</t>
        </is>
      </c>
      <c r="G4" s="5">
        <f>MAX(C2:C13)</f>
        <v/>
      </c>
    </row>
    <row r="5">
      <c r="A5" t="inlineStr">
        <is>
          <t>Fatima Shaikh</t>
        </is>
      </c>
      <c r="B5" t="inlineStr">
        <is>
          <t>Mumbai</t>
        </is>
      </c>
      <c r="C5" s="4" t="n">
        <v>702150</v>
      </c>
      <c r="D5" t="n">
        <v>47</v>
      </c>
      <c r="F5" t="inlineStr">
        <is>
          <t>Visits entered as numbers</t>
        </is>
      </c>
      <c r="G5" s="6">
        <f>COUNT(D2:D13)</f>
        <v/>
      </c>
    </row>
    <row r="6">
      <c r="A6" t="inlineStr">
        <is>
          <t>Vivek Deshpande</t>
        </is>
      </c>
      <c r="B6" t="inlineStr">
        <is>
          <t>Nagpur</t>
        </is>
      </c>
      <c r="C6" s="4" t="n">
        <v>356900</v>
      </c>
      <c r="D6" t="inlineStr">
        <is>
          <t>On leave</t>
        </is>
      </c>
      <c r="F6" t="inlineStr">
        <is>
          <t>Entries in the visits column</t>
        </is>
      </c>
      <c r="G6" s="6">
        <f>COUNTA(D2:D13)</f>
        <v/>
      </c>
    </row>
    <row r="7">
      <c r="A7" t="inlineStr">
        <is>
          <t>Pallavi More</t>
        </is>
      </c>
      <c r="B7" t="inlineStr">
        <is>
          <t>Nashik</t>
        </is>
      </c>
      <c r="C7" s="4" t="n">
        <v>298450</v>
      </c>
      <c r="D7" t="n">
        <v>29</v>
      </c>
      <c r="F7" t="inlineStr">
        <is>
          <t>Blank visit cells</t>
        </is>
      </c>
      <c r="G7" s="6">
        <f>COUNTBLANK(D2:D13)</f>
        <v/>
      </c>
    </row>
    <row r="8">
      <c r="A8" t="inlineStr">
        <is>
          <t>Kiran Salunkhe</t>
        </is>
      </c>
      <c r="B8" t="inlineStr">
        <is>
          <t>Thane</t>
        </is>
      </c>
      <c r="C8" s="4" t="n">
        <v>447600</v>
      </c>
      <c r="D8" t="n">
        <v>35</v>
      </c>
      <c r="F8" t="inlineStr">
        <is>
          <t>Team size</t>
        </is>
      </c>
      <c r="G8" s="6">
        <f>COUNTA(A2:A13)</f>
        <v/>
      </c>
    </row>
    <row r="9">
      <c r="A9" t="inlineStr">
        <is>
          <t>Manoj Gupta</t>
        </is>
      </c>
      <c r="B9" t="inlineStr">
        <is>
          <t>Thane</t>
        </is>
      </c>
      <c r="C9" s="4" t="n">
        <v>391200</v>
      </c>
      <c r="D9" t="n">
        <v>33</v>
      </c>
      <c r="F9" t="inlineStr">
        <is>
          <t>Challenge: average visits</t>
        </is>
      </c>
      <c r="G9" s="13">
        <f>AVERAGE(D2:D13)</f>
        <v/>
      </c>
    </row>
    <row r="10">
      <c r="A10" t="inlineStr">
        <is>
          <t>Rohit Pawar</t>
        </is>
      </c>
      <c r="B10" t="inlineStr">
        <is>
          <t>Kolhapur</t>
        </is>
      </c>
      <c r="C10" s="4" t="n">
        <v>274300</v>
      </c>
    </row>
    <row r="11">
      <c r="A11" t="inlineStr">
        <is>
          <t>Swati Kulkarni</t>
        </is>
      </c>
      <c r="B11" t="inlineStr">
        <is>
          <t>Pune</t>
        </is>
      </c>
      <c r="C11" s="4" t="n">
        <v>529800</v>
      </c>
      <c r="D11" t="n">
        <v>40</v>
      </c>
    </row>
    <row r="12">
      <c r="A12" t="inlineStr">
        <is>
          <t>Imran Sayyed</t>
        </is>
      </c>
      <c r="B12" t="inlineStr">
        <is>
          <t>Nagpur</t>
        </is>
      </c>
      <c r="C12" s="4" t="n">
        <v>333750</v>
      </c>
      <c r="D12" t="n">
        <v>31</v>
      </c>
    </row>
    <row r="13">
      <c r="A13" t="inlineStr">
        <is>
          <t>Neha Agarwal</t>
        </is>
      </c>
      <c r="B13" t="inlineStr">
        <is>
          <t>Mumbai</t>
        </is>
      </c>
      <c r="C13" s="4" t="n">
        <v>584900</v>
      </c>
      <c r="D13" t="n">
        <v>44</v>
      </c>
    </row>
    <row r="14">
      <c r="A14" s="3" t="inlineStr">
        <is>
          <t>Total</t>
        </is>
      </c>
      <c r="C14" s="5">
        <f>SUM(C2:C13)</f>
        <v/>
      </c>
      <c r="D14" s="6">
        <f>SUM(D2:D13)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3" customWidth="1" min="4" max="4"/>
    <col width="16" customWidth="1" min="5" max="5"/>
    <col width="16" customWidth="1" min="6" max="6"/>
  </cols>
  <sheetData>
    <row r="1">
      <c r="A1" s="2" t="inlineStr">
        <is>
          <t>Situation</t>
        </is>
      </c>
      <c r="B1" s="2" t="inlineStr">
        <is>
          <t>Value</t>
        </is>
      </c>
      <c r="C1" s="2" t="inlineStr">
        <is>
          <t>Formula result</t>
        </is>
      </c>
      <c r="E1" s="2" t="inlineStr">
        <is>
          <t>Amount (0 decimals shown)</t>
        </is>
      </c>
      <c r="F1" s="2" t="inlineStr">
        <is>
          <t>Rounded with ROUND</t>
        </is>
      </c>
    </row>
    <row r="2">
      <c r="A2" t="inlineStr">
        <is>
          <t>GST on ₹12,347 to the nearest rupee (ROUND, 0)</t>
        </is>
      </c>
      <c r="B2" t="n">
        <v>2222.46</v>
      </c>
      <c r="C2" s="6" t="n"/>
      <c r="E2" s="14" t="n">
        <v>10.4</v>
      </c>
      <c r="F2" s="15" t="n"/>
    </row>
    <row r="3">
      <c r="A3" t="inlineStr">
        <is>
          <t>Interest to the nearest paisa (ROUND, 2)</t>
        </is>
      </c>
      <c r="B3" t="n">
        <v>456.789</v>
      </c>
      <c r="C3" s="6" t="n"/>
      <c r="E3" s="14" t="n">
        <v>10.4</v>
      </c>
      <c r="F3" s="15" t="n"/>
    </row>
    <row r="4">
      <c r="A4" t="inlineStr">
        <is>
          <t>Cartons for 250 units, 24 per carton (ROUNDUP)</t>
        </is>
      </c>
      <c r="B4">
        <f>250/24</f>
        <v/>
      </c>
      <c r="C4" s="6" t="n"/>
      <c r="E4" s="14" t="n">
        <v>10.4</v>
      </c>
      <c r="F4" s="15" t="n"/>
    </row>
    <row r="5">
      <c r="A5" t="inlineStr">
        <is>
          <t>Full cartons you can pack (ROUNDDOWN)</t>
        </is>
      </c>
      <c r="B5">
        <f>250/24</f>
        <v/>
      </c>
      <c r="C5" s="6" t="n"/>
      <c r="E5" s="16">
        <f>SUM(E2:E4)</f>
        <v/>
      </c>
      <c r="F5" s="17" t="n"/>
    </row>
    <row r="6">
      <c r="A6" t="inlineStr">
        <is>
          <t>Price to the nearest ₹5 (MROUND)</t>
        </is>
      </c>
      <c r="B6" t="n">
        <v>487</v>
      </c>
      <c r="C6" s="6" t="n"/>
    </row>
    <row r="7">
      <c r="A7" t="inlineStr">
        <is>
          <t>Price up to the next ₹10 (CEILING)</t>
        </is>
      </c>
      <c r="B7" t="n">
        <v>487</v>
      </c>
      <c r="C7" s="6" t="n"/>
    </row>
    <row r="8">
      <c r="A8" t="inlineStr">
        <is>
          <t>Price down to the ₹10 below (FLOOR)</t>
        </is>
      </c>
      <c r="B8" t="n">
        <v>487</v>
      </c>
      <c r="C8" s="6" t="n"/>
    </row>
    <row r="9">
      <c r="A9" t="inlineStr">
        <is>
          <t>Revenue to the nearest lakh (ROUND, -5)</t>
        </is>
      </c>
      <c r="B9" s="4" t="n">
        <v>1234567</v>
      </c>
      <c r="C9" s="5" t="n"/>
    </row>
    <row r="10">
      <c r="A10" t="inlineStr">
        <is>
          <t>Whole years of service (INT)</t>
        </is>
      </c>
      <c r="B10" t="n">
        <v>7.83</v>
      </c>
      <c r="C10" s="6" t="n"/>
    </row>
    <row r="11">
      <c r="A11" t="inlineStr">
        <is>
          <t>A loss of 7.83 with INT</t>
        </is>
      </c>
      <c r="B11" t="n">
        <v>-7.83</v>
      </c>
      <c r="C11" s="6" t="n"/>
    </row>
    <row r="12">
      <c r="A12" t="inlineStr">
        <is>
          <t>The same loss with TRUNC</t>
        </is>
      </c>
      <c r="B12" t="n">
        <v>-7.83</v>
      </c>
      <c r="C12" s="6" t="n"/>
    </row>
    <row r="13">
      <c r="A13" s="12" t="inlineStr">
        <is>
          <t>Challenge: ₹12,34,567 to the nearest thousand</t>
        </is>
      </c>
      <c r="B13" s="4" t="n">
        <v>1234567</v>
      </c>
      <c r="C13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5" customWidth="1" min="3" max="3"/>
    <col width="3" customWidth="1" min="4" max="4"/>
    <col width="16" customWidth="1" min="5" max="5"/>
    <col width="16" customWidth="1" min="6" max="6"/>
  </cols>
  <sheetData>
    <row r="1">
      <c r="A1" s="2" t="inlineStr">
        <is>
          <t>Situation</t>
        </is>
      </c>
      <c r="B1" s="2" t="inlineStr">
        <is>
          <t>Value</t>
        </is>
      </c>
      <c r="C1" s="2" t="inlineStr">
        <is>
          <t>Formula result</t>
        </is>
      </c>
      <c r="E1" s="2" t="inlineStr">
        <is>
          <t>Amount (0 decimals shown)</t>
        </is>
      </c>
      <c r="F1" s="2" t="inlineStr">
        <is>
          <t>Rounded with ROUND</t>
        </is>
      </c>
    </row>
    <row r="2">
      <c r="A2" t="inlineStr">
        <is>
          <t>GST on ₹12,347 to the nearest rupee (ROUND, 0)</t>
        </is>
      </c>
      <c r="B2" t="n">
        <v>2222.46</v>
      </c>
      <c r="C2" s="6">
        <f>ROUND(B2,0)</f>
        <v/>
      </c>
      <c r="E2" s="14" t="n">
        <v>10.4</v>
      </c>
      <c r="F2" s="15">
        <f>ROUND(E2,0)</f>
        <v/>
      </c>
    </row>
    <row r="3">
      <c r="A3" t="inlineStr">
        <is>
          <t>Interest to the nearest paisa (ROUND, 2)</t>
        </is>
      </c>
      <c r="B3" t="n">
        <v>456.789</v>
      </c>
      <c r="C3" s="6">
        <f>ROUND(B3,2)</f>
        <v/>
      </c>
      <c r="E3" s="14" t="n">
        <v>10.4</v>
      </c>
      <c r="F3" s="15">
        <f>ROUND(E3,0)</f>
        <v/>
      </c>
    </row>
    <row r="4">
      <c r="A4" t="inlineStr">
        <is>
          <t>Cartons for 250 units, 24 per carton (ROUNDUP)</t>
        </is>
      </c>
      <c r="B4">
        <f>250/24</f>
        <v/>
      </c>
      <c r="C4" s="6">
        <f>ROUNDUP(B4,0)</f>
        <v/>
      </c>
      <c r="E4" s="14" t="n">
        <v>10.4</v>
      </c>
      <c r="F4" s="15">
        <f>ROUND(E4,0)</f>
        <v/>
      </c>
    </row>
    <row r="5">
      <c r="A5" t="inlineStr">
        <is>
          <t>Full cartons you can pack (ROUNDDOWN)</t>
        </is>
      </c>
      <c r="B5">
        <f>250/24</f>
        <v/>
      </c>
      <c r="C5" s="6">
        <f>ROUNDDOWN(B5,0)</f>
        <v/>
      </c>
      <c r="E5" s="16">
        <f>SUM(E2:E4)</f>
        <v/>
      </c>
      <c r="F5" s="17">
        <f>SUM(F2:F4)</f>
        <v/>
      </c>
    </row>
    <row r="6">
      <c r="A6" t="inlineStr">
        <is>
          <t>Price to the nearest ₹5 (MROUND)</t>
        </is>
      </c>
      <c r="B6" t="n">
        <v>487</v>
      </c>
      <c r="C6" s="6">
        <f>MROUND(B6,5)</f>
        <v/>
      </c>
    </row>
    <row r="7">
      <c r="A7" t="inlineStr">
        <is>
          <t>Price up to the next ₹10 (CEILING)</t>
        </is>
      </c>
      <c r="B7" t="n">
        <v>487</v>
      </c>
      <c r="C7" s="6">
        <f>CEILING(B7,10)</f>
        <v/>
      </c>
    </row>
    <row r="8">
      <c r="A8" t="inlineStr">
        <is>
          <t>Price down to the ₹10 below (FLOOR)</t>
        </is>
      </c>
      <c r="B8" t="n">
        <v>487</v>
      </c>
      <c r="C8" s="6">
        <f>FLOOR(B8,10)</f>
        <v/>
      </c>
    </row>
    <row r="9">
      <c r="A9" t="inlineStr">
        <is>
          <t>Revenue to the nearest lakh (ROUND, -5)</t>
        </is>
      </c>
      <c r="B9" s="4" t="n">
        <v>1234567</v>
      </c>
      <c r="C9" s="5">
        <f>ROUND(B9,-5)</f>
        <v/>
      </c>
    </row>
    <row r="10">
      <c r="A10" t="inlineStr">
        <is>
          <t>Whole years of service (INT)</t>
        </is>
      </c>
      <c r="B10" t="n">
        <v>7.83</v>
      </c>
      <c r="C10" s="6">
        <f>INT(B10)</f>
        <v/>
      </c>
    </row>
    <row r="11">
      <c r="A11" t="inlineStr">
        <is>
          <t>A loss of 7.83 with INT</t>
        </is>
      </c>
      <c r="B11" t="n">
        <v>-7.83</v>
      </c>
      <c r="C11" s="6">
        <f>INT(B11)</f>
        <v/>
      </c>
    </row>
    <row r="12">
      <c r="A12" t="inlineStr">
        <is>
          <t>The same loss with TRUNC</t>
        </is>
      </c>
      <c r="B12" t="n">
        <v>-7.83</v>
      </c>
      <c r="C12" s="6">
        <f>TRUNC(B12)</f>
        <v/>
      </c>
    </row>
    <row r="13">
      <c r="A13" s="12" t="inlineStr">
        <is>
          <t>Challenge: ₹12,34,567 to the nearest thousand</t>
        </is>
      </c>
      <c r="B13" s="4" t="n">
        <v>1234567</v>
      </c>
      <c r="C13" s="5">
        <f>ROUND(B13,-3)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5" customWidth="1" min="4" max="4"/>
    <col width="12" customWidth="1" min="5" max="5"/>
  </cols>
  <sheetData>
    <row r="1">
      <c r="A1" s="2" t="inlineStr">
        <is>
          <t>Branch</t>
        </is>
      </c>
      <c r="B1" s="2" t="inlineStr">
        <is>
          <t>April (linked)</t>
        </is>
      </c>
      <c r="C1" s="2" t="inlineStr">
        <is>
          <t>Q1 Total (3-D SUM)</t>
        </is>
      </c>
      <c r="D1" s="2" t="inlineStr">
        <is>
          <t>Q1 Target (₹)</t>
        </is>
      </c>
      <c r="E1" s="2" t="inlineStr">
        <is>
          <t>Achieved %</t>
        </is>
      </c>
    </row>
    <row r="2">
      <c r="A2" t="inlineStr">
        <is>
          <t>Pune</t>
        </is>
      </c>
      <c r="B2" s="5" t="n"/>
      <c r="C2" s="5" t="n"/>
      <c r="D2" s="5" t="n"/>
      <c r="E2" s="18" t="n"/>
    </row>
    <row r="3">
      <c r="A3" t="inlineStr">
        <is>
          <t>Mumbai</t>
        </is>
      </c>
      <c r="B3" s="5" t="n"/>
      <c r="C3" s="5" t="n"/>
      <c r="D3" s="5" t="n"/>
      <c r="E3" s="18" t="n"/>
    </row>
    <row r="4">
      <c r="A4" t="inlineStr">
        <is>
          <t>Nashik</t>
        </is>
      </c>
      <c r="B4" s="5" t="n"/>
      <c r="C4" s="5" t="n"/>
      <c r="D4" s="5" t="n"/>
      <c r="E4" s="18" t="n"/>
    </row>
    <row r="5">
      <c r="A5" t="inlineStr">
        <is>
          <t>Nagpur</t>
        </is>
      </c>
      <c r="B5" s="5" t="n"/>
      <c r="C5" s="5" t="n"/>
      <c r="D5" s="5" t="n"/>
      <c r="E5" s="18" t="n"/>
    </row>
    <row r="6">
      <c r="A6" t="inlineStr">
        <is>
          <t>Kolhapur</t>
        </is>
      </c>
      <c r="B6" s="5" t="n"/>
      <c r="C6" s="5" t="n"/>
      <c r="D6" s="5" t="n"/>
      <c r="E6" s="18" t="n"/>
    </row>
    <row r="8">
      <c r="A8" s="12" t="inlineStr">
        <is>
          <t>Challenge: Achieved % in E2:E6 = Q1 Total ÷ Q1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5" customWidth="1" min="4" max="4"/>
    <col width="12" customWidth="1" min="5" max="5"/>
  </cols>
  <sheetData>
    <row r="1">
      <c r="A1" s="2" t="inlineStr">
        <is>
          <t>Branch</t>
        </is>
      </c>
      <c r="B1" s="2" t="inlineStr">
        <is>
          <t>April (linked)</t>
        </is>
      </c>
      <c r="C1" s="2" t="inlineStr">
        <is>
          <t>Q1 Total (3-D SUM)</t>
        </is>
      </c>
      <c r="D1" s="2" t="inlineStr">
        <is>
          <t>Q1 Target (₹)</t>
        </is>
      </c>
      <c r="E1" s="2" t="inlineStr">
        <is>
          <t>Achieved %</t>
        </is>
      </c>
    </row>
    <row r="2">
      <c r="A2" t="inlineStr">
        <is>
          <t>Pune</t>
        </is>
      </c>
      <c r="B2" s="5">
        <f>Apr!B2</f>
        <v/>
      </c>
      <c r="C2" s="5">
        <f>SUM(Apr:Jun!B2)</f>
        <v/>
      </c>
      <c r="D2" s="5">
        <f>'Targets FY27'!B2</f>
        <v/>
      </c>
      <c r="E2" s="18">
        <f>C2/D2</f>
        <v/>
      </c>
    </row>
    <row r="3">
      <c r="A3" t="inlineStr">
        <is>
          <t>Mumbai</t>
        </is>
      </c>
      <c r="B3" s="5">
        <f>Apr!B3</f>
        <v/>
      </c>
      <c r="C3" s="5">
        <f>SUM(Apr:Jun!B3)</f>
        <v/>
      </c>
      <c r="D3" s="5">
        <f>'Targets FY27'!B3</f>
        <v/>
      </c>
      <c r="E3" s="18">
        <f>C3/D3</f>
        <v/>
      </c>
    </row>
    <row r="4">
      <c r="A4" t="inlineStr">
        <is>
          <t>Nashik</t>
        </is>
      </c>
      <c r="B4" s="5">
        <f>Apr!B4</f>
        <v/>
      </c>
      <c r="C4" s="5">
        <f>SUM(Apr:Jun!B4)</f>
        <v/>
      </c>
      <c r="D4" s="5">
        <f>'Targets FY27'!B4</f>
        <v/>
      </c>
      <c r="E4" s="18">
        <f>C4/D4</f>
        <v/>
      </c>
    </row>
    <row r="5">
      <c r="A5" t="inlineStr">
        <is>
          <t>Nagpur</t>
        </is>
      </c>
      <c r="B5" s="5">
        <f>Apr!B5</f>
        <v/>
      </c>
      <c r="C5" s="5">
        <f>SUM(Apr:Jun!B5)</f>
        <v/>
      </c>
      <c r="D5" s="5">
        <f>'Targets FY27'!B5</f>
        <v/>
      </c>
      <c r="E5" s="18">
        <f>C5/D5</f>
        <v/>
      </c>
    </row>
    <row r="6">
      <c r="A6" t="inlineStr">
        <is>
          <t>Kolhapur</t>
        </is>
      </c>
      <c r="B6" s="5">
        <f>Apr!B6</f>
        <v/>
      </c>
      <c r="C6" s="5">
        <f>SUM(Apr:Jun!B6)</f>
        <v/>
      </c>
      <c r="D6" s="5">
        <f>'Targets FY27'!B6</f>
        <v/>
      </c>
      <c r="E6" s="18">
        <f>C6/D6</f>
        <v/>
      </c>
    </row>
    <row r="8">
      <c r="A8" s="12" t="inlineStr">
        <is>
          <t>Challenge: Achieved % in E2:E6 = Q1 Total ÷ Q1 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2" t="inlineStr">
        <is>
          <t>Branch</t>
        </is>
      </c>
      <c r="B1" s="2" t="inlineStr">
        <is>
          <t>Sales Apr 2026 (₹)</t>
        </is>
      </c>
    </row>
    <row r="2">
      <c r="A2" t="inlineStr">
        <is>
          <t>Pune</t>
        </is>
      </c>
      <c r="B2" s="4" t="n">
        <v>1845000</v>
      </c>
    </row>
    <row r="3">
      <c r="A3" t="inlineStr">
        <is>
          <t>Mumbai</t>
        </is>
      </c>
      <c r="B3" s="4" t="n">
        <v>2612800</v>
      </c>
    </row>
    <row r="4">
      <c r="A4" t="inlineStr">
        <is>
          <t>Nashik</t>
        </is>
      </c>
      <c r="B4" s="4" t="n">
        <v>965400</v>
      </c>
    </row>
    <row r="5">
      <c r="A5" t="inlineStr">
        <is>
          <t>Nagpur</t>
        </is>
      </c>
      <c r="B5" s="4" t="n">
        <v>1123600</v>
      </c>
    </row>
    <row r="6">
      <c r="A6" t="inlineStr">
        <is>
          <t>Kolhapur</t>
        </is>
      </c>
      <c r="B6" s="4" t="n">
        <v>684500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2" t="inlineStr">
        <is>
          <t>Branch</t>
        </is>
      </c>
      <c r="B1" s="2" t="inlineStr">
        <is>
          <t>Sales May 2026 (₹)</t>
        </is>
      </c>
    </row>
    <row r="2">
      <c r="A2" t="inlineStr">
        <is>
          <t>Pune</t>
        </is>
      </c>
      <c r="B2" s="4" t="n">
        <v>1762500</v>
      </c>
    </row>
    <row r="3">
      <c r="A3" t="inlineStr">
        <is>
          <t>Mumbai</t>
        </is>
      </c>
      <c r="B3" s="4" t="n">
        <v>2540300</v>
      </c>
    </row>
    <row r="4">
      <c r="A4" t="inlineStr">
        <is>
          <t>Nashik</t>
        </is>
      </c>
      <c r="B4" s="4" t="n">
        <v>1012300</v>
      </c>
    </row>
    <row r="5">
      <c r="A5" t="inlineStr">
        <is>
          <t>Nagpur</t>
        </is>
      </c>
      <c r="B5" s="4" t="n">
        <v>1086900</v>
      </c>
    </row>
    <row r="6">
      <c r="A6" t="inlineStr">
        <is>
          <t>Kolhapur</t>
        </is>
      </c>
      <c r="B6" s="4" t="n">
        <v>712800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2" t="inlineStr">
        <is>
          <t>Branch</t>
        </is>
      </c>
      <c r="B1" s="2" t="inlineStr">
        <is>
          <t>Sales Jun 2026 (₹)</t>
        </is>
      </c>
    </row>
    <row r="2">
      <c r="A2" t="inlineStr">
        <is>
          <t>Pune</t>
        </is>
      </c>
      <c r="B2" s="4" t="n">
        <v>1918400</v>
      </c>
    </row>
    <row r="3">
      <c r="A3" t="inlineStr">
        <is>
          <t>Mumbai</t>
        </is>
      </c>
      <c r="B3" s="4" t="n">
        <v>2787600</v>
      </c>
    </row>
    <row r="4">
      <c r="A4" t="inlineStr">
        <is>
          <t>Nashik</t>
        </is>
      </c>
      <c r="B4" s="4" t="n">
        <v>988750</v>
      </c>
    </row>
    <row r="5">
      <c r="A5" t="inlineStr">
        <is>
          <t>Nagpur</t>
        </is>
      </c>
      <c r="B5" s="4" t="n">
        <v>1154200</v>
      </c>
    </row>
    <row r="6">
      <c r="A6" t="inlineStr">
        <is>
          <t>Kolhapur</t>
        </is>
      </c>
      <c r="B6" s="4" t="n">
        <v>701300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2" t="inlineStr">
        <is>
          <t>Branch</t>
        </is>
      </c>
      <c r="B1" s="2" t="inlineStr">
        <is>
          <t>Q1 Target (₹)</t>
        </is>
      </c>
    </row>
    <row r="2">
      <c r="A2" t="inlineStr">
        <is>
          <t>Pune</t>
        </is>
      </c>
      <c r="B2" s="4" t="n">
        <v>5600000</v>
      </c>
    </row>
    <row r="3">
      <c r="A3" t="inlineStr">
        <is>
          <t>Mumbai</t>
        </is>
      </c>
      <c r="B3" s="4" t="n">
        <v>7800000</v>
      </c>
    </row>
    <row r="4">
      <c r="A4" t="inlineStr">
        <is>
          <t>Nashik</t>
        </is>
      </c>
      <c r="B4" s="4" t="n">
        <v>3000000</v>
      </c>
    </row>
    <row r="5">
      <c r="A5" t="inlineStr">
        <is>
          <t>Nagpur</t>
        </is>
      </c>
      <c r="B5" s="4" t="n">
        <v>3200000</v>
      </c>
    </row>
    <row r="6">
      <c r="A6" t="inlineStr">
        <is>
          <t>Kolhapur</t>
        </is>
      </c>
      <c r="B6" s="4" t="n">
        <v>2200000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3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Item</t>
        </is>
      </c>
      <c r="B1" s="2" t="inlineStr">
        <is>
          <t>Taxable Value (₹)</t>
        </is>
      </c>
      <c r="C1" s="2" t="inlineStr">
        <is>
          <t>GST (₹)</t>
        </is>
      </c>
      <c r="D1" s="2" t="inlineStr">
        <is>
          <t>Total (₹)</t>
        </is>
      </c>
      <c r="F1" s="3" t="inlineStr">
        <is>
          <t>GST rate</t>
        </is>
      </c>
      <c r="G1" s="8" t="n">
        <v>0.18</v>
      </c>
    </row>
    <row r="2">
      <c r="A2" t="inlineStr">
        <is>
          <t>Basmati rice, 25 kg bags</t>
        </is>
      </c>
      <c r="B2" s="4" t="n">
        <v>184000</v>
      </c>
      <c r="C2" s="5" t="n"/>
      <c r="D2" s="5" t="n"/>
    </row>
    <row r="3">
      <c r="A3" t="inlineStr">
        <is>
          <t>Assam tea, 1 kg packs</t>
        </is>
      </c>
      <c r="B3" s="4" t="n">
        <v>96500</v>
      </c>
      <c r="C3" s="5" t="n"/>
      <c r="D3" s="5" t="n"/>
      <c r="E3" s="3" t="inlineStr">
        <is>
          <t>Month</t>
        </is>
      </c>
      <c r="F3" s="2" t="inlineStr">
        <is>
          <t>North</t>
        </is>
      </c>
      <c r="G3" s="2" t="inlineStr">
        <is>
          <t>South</t>
        </is>
      </c>
      <c r="H3" s="2" t="inlineStr">
        <is>
          <t>East</t>
        </is>
      </c>
      <c r="I3" s="2" t="inlineStr">
        <is>
          <t>West</t>
        </is>
      </c>
    </row>
    <row r="4">
      <c r="A4" t="inlineStr">
        <is>
          <t>Garam masala, 200 g</t>
        </is>
      </c>
      <c r="B4" s="4" t="n">
        <v>42300</v>
      </c>
      <c r="C4" s="5" t="n"/>
      <c r="D4" s="5" t="n"/>
      <c r="E4" t="inlineStr">
        <is>
          <t>Apr</t>
        </is>
      </c>
      <c r="F4" s="4" t="n">
        <v>412000</v>
      </c>
      <c r="G4" s="4" t="n">
        <v>538500</v>
      </c>
      <c r="H4" s="4" t="n">
        <v>296300</v>
      </c>
      <c r="I4" s="4" t="n">
        <v>645800</v>
      </c>
    </row>
    <row r="5">
      <c r="A5" t="inlineStr">
        <is>
          <t>Turmeric powder, 500 g</t>
        </is>
      </c>
      <c r="B5" s="4" t="n">
        <v>38750</v>
      </c>
      <c r="C5" s="5" t="n"/>
      <c r="D5" s="5" t="n"/>
      <c r="E5" t="inlineStr">
        <is>
          <t>May</t>
        </is>
      </c>
      <c r="F5" s="4" t="n">
        <v>398750</v>
      </c>
      <c r="G5" s="4" t="n">
        <v>552100</v>
      </c>
      <c r="H5" s="4" t="n">
        <v>301900</v>
      </c>
      <c r="I5" s="4" t="n">
        <v>662400</v>
      </c>
    </row>
    <row r="6">
      <c r="A6" t="inlineStr">
        <is>
          <t>Cold-pressed groundnut oil, 5 L</t>
        </is>
      </c>
      <c r="B6" s="4" t="n">
        <v>127600</v>
      </c>
      <c r="C6" s="5" t="n"/>
      <c r="D6" s="5" t="n"/>
      <c r="E6" t="inlineStr">
        <is>
          <t>Jun</t>
        </is>
      </c>
      <c r="F6" s="4" t="n">
        <v>425600</v>
      </c>
      <c r="G6" s="4" t="n">
        <v>561300</v>
      </c>
      <c r="H6" s="4" t="n">
        <v>288700</v>
      </c>
      <c r="I6" s="4" t="n">
        <v>671900</v>
      </c>
    </row>
    <row r="7">
      <c r="A7" t="inlineStr">
        <is>
          <t>Jaggery cubes, 1 kg</t>
        </is>
      </c>
      <c r="B7" s="4" t="n">
        <v>21400</v>
      </c>
      <c r="C7" s="5" t="n"/>
      <c r="D7" s="5" t="n"/>
      <c r="E7" t="inlineStr">
        <is>
          <t>Jul</t>
        </is>
      </c>
      <c r="F7" s="4" t="n">
        <v>431200</v>
      </c>
      <c r="G7" s="4" t="n">
        <v>549800</v>
      </c>
      <c r="H7" s="4" t="n">
        <v>310450</v>
      </c>
      <c r="I7" s="4" t="n">
        <v>690300</v>
      </c>
    </row>
    <row r="8">
      <c r="A8" s="12" t="inlineStr">
        <is>
          <t>Challenge: total taxable value</t>
        </is>
      </c>
      <c r="B8" s="5" t="n"/>
      <c r="E8" t="inlineStr">
        <is>
          <t>Aug</t>
        </is>
      </c>
      <c r="F8" s="4" t="n">
        <v>447900</v>
      </c>
      <c r="G8" s="4" t="n">
        <v>575600</v>
      </c>
      <c r="H8" s="4" t="n">
        <v>318200</v>
      </c>
      <c r="I8" s="4" t="n">
        <v>702100</v>
      </c>
    </row>
    <row r="9">
      <c r="E9" t="inlineStr">
        <is>
          <t>Sep</t>
        </is>
      </c>
      <c r="F9" s="4" t="n">
        <v>452300</v>
      </c>
      <c r="G9" s="4" t="n">
        <v>589400</v>
      </c>
      <c r="H9" s="4" t="n">
        <v>325600</v>
      </c>
      <c r="I9" s="4" t="n">
        <v>715800</v>
      </c>
    </row>
    <row r="10">
      <c r="A10" s="2" t="inlineStr">
        <is>
          <t>Zone</t>
        </is>
      </c>
      <c r="B10" s="2" t="inlineStr">
        <is>
          <t>Total sales (₹)</t>
        </is>
      </c>
    </row>
    <row r="11">
      <c r="A11" t="inlineStr">
        <is>
          <t>North</t>
        </is>
      </c>
      <c r="B11" s="5" t="n"/>
    </row>
    <row r="12">
      <c r="A12" t="inlineStr">
        <is>
          <t>South</t>
        </is>
      </c>
      <c r="B12" s="5" t="n"/>
    </row>
    <row r="13">
      <c r="A13" t="inlineStr">
        <is>
          <t>East</t>
        </is>
      </c>
      <c r="B13" s="5" t="n"/>
    </row>
    <row r="14">
      <c r="A14" t="inlineStr">
        <is>
          <t>West</t>
        </is>
      </c>
      <c r="B14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13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Item</t>
        </is>
      </c>
      <c r="B1" s="2" t="inlineStr">
        <is>
          <t>Taxable Value (₹)</t>
        </is>
      </c>
      <c r="C1" s="2" t="inlineStr">
        <is>
          <t>GST (₹)</t>
        </is>
      </c>
      <c r="D1" s="2" t="inlineStr">
        <is>
          <t>Total (₹)</t>
        </is>
      </c>
      <c r="F1" s="3" t="inlineStr">
        <is>
          <t>GST rate</t>
        </is>
      </c>
      <c r="G1" s="8" t="n">
        <v>0.18</v>
      </c>
    </row>
    <row r="2">
      <c r="A2" t="inlineStr">
        <is>
          <t>Basmati rice, 25 kg bags</t>
        </is>
      </c>
      <c r="B2" s="4" t="n">
        <v>184000</v>
      </c>
      <c r="C2" s="5">
        <f>B2*GST_Rate</f>
        <v/>
      </c>
      <c r="D2" s="5">
        <f>B2+C2</f>
        <v/>
      </c>
    </row>
    <row r="3">
      <c r="A3" t="inlineStr">
        <is>
          <t>Assam tea, 1 kg packs</t>
        </is>
      </c>
      <c r="B3" s="4" t="n">
        <v>96500</v>
      </c>
      <c r="C3" s="5">
        <f>B3*GST_Rate</f>
        <v/>
      </c>
      <c r="D3" s="5">
        <f>B3+C3</f>
        <v/>
      </c>
      <c r="E3" s="3" t="inlineStr">
        <is>
          <t>Month</t>
        </is>
      </c>
      <c r="F3" s="2" t="inlineStr">
        <is>
          <t>North</t>
        </is>
      </c>
      <c r="G3" s="2" t="inlineStr">
        <is>
          <t>South</t>
        </is>
      </c>
      <c r="H3" s="2" t="inlineStr">
        <is>
          <t>East</t>
        </is>
      </c>
      <c r="I3" s="2" t="inlineStr">
        <is>
          <t>West</t>
        </is>
      </c>
    </row>
    <row r="4">
      <c r="A4" t="inlineStr">
        <is>
          <t>Garam masala, 200 g</t>
        </is>
      </c>
      <c r="B4" s="4" t="n">
        <v>42300</v>
      </c>
      <c r="C4" s="5">
        <f>B4*GST_Rate</f>
        <v/>
      </c>
      <c r="D4" s="5">
        <f>B4+C4</f>
        <v/>
      </c>
      <c r="E4" t="inlineStr">
        <is>
          <t>Apr</t>
        </is>
      </c>
      <c r="F4" s="4" t="n">
        <v>412000</v>
      </c>
      <c r="G4" s="4" t="n">
        <v>538500</v>
      </c>
      <c r="H4" s="4" t="n">
        <v>296300</v>
      </c>
      <c r="I4" s="4" t="n">
        <v>645800</v>
      </c>
    </row>
    <row r="5">
      <c r="A5" t="inlineStr">
        <is>
          <t>Turmeric powder, 500 g</t>
        </is>
      </c>
      <c r="B5" s="4" t="n">
        <v>38750</v>
      </c>
      <c r="C5" s="5">
        <f>B5*GST_Rate</f>
        <v/>
      </c>
      <c r="D5" s="5">
        <f>B5+C5</f>
        <v/>
      </c>
      <c r="E5" t="inlineStr">
        <is>
          <t>May</t>
        </is>
      </c>
      <c r="F5" s="4" t="n">
        <v>398750</v>
      </c>
      <c r="G5" s="4" t="n">
        <v>552100</v>
      </c>
      <c r="H5" s="4" t="n">
        <v>301900</v>
      </c>
      <c r="I5" s="4" t="n">
        <v>662400</v>
      </c>
    </row>
    <row r="6">
      <c r="A6" t="inlineStr">
        <is>
          <t>Cold-pressed groundnut oil, 5 L</t>
        </is>
      </c>
      <c r="B6" s="4" t="n">
        <v>127600</v>
      </c>
      <c r="C6" s="5">
        <f>B6*GST_Rate</f>
        <v/>
      </c>
      <c r="D6" s="5">
        <f>B6+C6</f>
        <v/>
      </c>
      <c r="E6" t="inlineStr">
        <is>
          <t>Jun</t>
        </is>
      </c>
      <c r="F6" s="4" t="n">
        <v>425600</v>
      </c>
      <c r="G6" s="4" t="n">
        <v>561300</v>
      </c>
      <c r="H6" s="4" t="n">
        <v>288700</v>
      </c>
      <c r="I6" s="4" t="n">
        <v>671900</v>
      </c>
    </row>
    <row r="7">
      <c r="A7" t="inlineStr">
        <is>
          <t>Jaggery cubes, 1 kg</t>
        </is>
      </c>
      <c r="B7" s="4" t="n">
        <v>21400</v>
      </c>
      <c r="C7" s="5">
        <f>B7*GST_Rate</f>
        <v/>
      </c>
      <c r="D7" s="5">
        <f>B7+C7</f>
        <v/>
      </c>
      <c r="E7" t="inlineStr">
        <is>
          <t>Jul</t>
        </is>
      </c>
      <c r="F7" s="4" t="n">
        <v>431200</v>
      </c>
      <c r="G7" s="4" t="n">
        <v>549800</v>
      </c>
      <c r="H7" s="4" t="n">
        <v>310450</v>
      </c>
      <c r="I7" s="4" t="n">
        <v>690300</v>
      </c>
    </row>
    <row r="8">
      <c r="A8" s="12" t="inlineStr">
        <is>
          <t>Challenge: total taxable value</t>
        </is>
      </c>
      <c r="B8" s="5">
        <f>SUM(Taxable)</f>
        <v/>
      </c>
      <c r="E8" t="inlineStr">
        <is>
          <t>Aug</t>
        </is>
      </c>
      <c r="F8" s="4" t="n">
        <v>447900</v>
      </c>
      <c r="G8" s="4" t="n">
        <v>575600</v>
      </c>
      <c r="H8" s="4" t="n">
        <v>318200</v>
      </c>
      <c r="I8" s="4" t="n">
        <v>702100</v>
      </c>
    </row>
    <row r="9">
      <c r="E9" t="inlineStr">
        <is>
          <t>Sep</t>
        </is>
      </c>
      <c r="F9" s="4" t="n">
        <v>452300</v>
      </c>
      <c r="G9" s="4" t="n">
        <v>589400</v>
      </c>
      <c r="H9" s="4" t="n">
        <v>325600</v>
      </c>
      <c r="I9" s="4" t="n">
        <v>715800</v>
      </c>
    </row>
    <row r="10">
      <c r="A10" s="2" t="inlineStr">
        <is>
          <t>Zone</t>
        </is>
      </c>
      <c r="B10" s="2" t="inlineStr">
        <is>
          <t>Total sales (₹)</t>
        </is>
      </c>
    </row>
    <row r="11">
      <c r="A11" t="inlineStr">
        <is>
          <t>North</t>
        </is>
      </c>
      <c r="B11" s="5">
        <f>SUM(North)</f>
        <v/>
      </c>
    </row>
    <row r="12">
      <c r="A12" t="inlineStr">
        <is>
          <t>South</t>
        </is>
      </c>
      <c r="B12" s="5">
        <f>SUM(South)</f>
        <v/>
      </c>
    </row>
    <row r="13">
      <c r="A13" t="inlineStr">
        <is>
          <t>East</t>
        </is>
      </c>
      <c r="B13" s="5">
        <f>SUM(East)</f>
        <v/>
      </c>
    </row>
    <row r="14">
      <c r="A14" t="inlineStr">
        <is>
          <t>West</t>
        </is>
      </c>
      <c r="B14" s="5">
        <f>SUM(West)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" customWidth="1" min="4" max="4"/>
    <col width="17" customWidth="1" min="5" max="5"/>
    <col width="8" customWidth="1" min="6" max="6"/>
    <col width="13" customWidth="1" min="7" max="7"/>
    <col width="3" customWidth="1" min="8" max="8"/>
    <col width="18" customWidth="1" min="9" max="9"/>
  </cols>
  <sheetData>
    <row r="1">
      <c r="A1" s="2" t="inlineStr">
        <is>
          <t>Error</t>
        </is>
      </c>
      <c r="B1" s="2" t="inlineStr">
        <is>
          <t>Broken formula</t>
        </is>
      </c>
      <c r="C1" s="2" t="inlineStr">
        <is>
          <t>Fixed formula</t>
        </is>
      </c>
      <c r="E1" s="2" t="inlineStr">
        <is>
          <t>Product</t>
        </is>
      </c>
      <c r="F1" s="2" t="inlineStr">
        <is>
          <t>Units</t>
        </is>
      </c>
      <c r="G1" s="2" t="inlineStr">
        <is>
          <t>Revenue (₹)</t>
        </is>
      </c>
      <c r="I1" s="2" t="inlineStr">
        <is>
          <t>Products A to Z</t>
        </is>
      </c>
    </row>
    <row r="2">
      <c r="A2" s="3" t="e">
        <v>#DIV/0!</v>
      </c>
      <c r="B2">
        <f>G2/F2</f>
        <v/>
      </c>
      <c r="C2" s="6" t="n"/>
      <c r="E2" t="inlineStr">
        <is>
          <t>Shrikhand 500 g</t>
        </is>
      </c>
      <c r="F2" t="n">
        <v>0</v>
      </c>
      <c r="G2" s="4" t="n">
        <v>0</v>
      </c>
      <c r="I2" s="6" t="n"/>
    </row>
    <row r="3">
      <c r="A3" s="3" t="e">
        <v>#N/A</v>
      </c>
      <c r="B3">
        <f>_xlfn.XLOOKUP("Ghee 1 L",E2:E6,G2:G6)</f>
        <v/>
      </c>
      <c r="C3" s="6" t="n"/>
      <c r="E3" t="inlineStr">
        <is>
          <t>Paneer 200 g</t>
        </is>
      </c>
      <c r="F3" t="n">
        <v>340</v>
      </c>
      <c r="G3" s="4" t="n">
        <v>30600</v>
      </c>
    </row>
    <row r="4">
      <c r="A4" s="3" t="e">
        <v>#NAME?</v>
      </c>
      <c r="B4">
        <f>SUMM(G2:G6)</f>
        <v/>
      </c>
      <c r="C4" s="6" t="n"/>
      <c r="E4" t="inlineStr">
        <is>
          <t>Dahi 1 kg</t>
        </is>
      </c>
      <c r="F4" s="6" t="inlineStr">
        <is>
          <t>12 pcs</t>
        </is>
      </c>
      <c r="G4" s="4" t="n">
        <v>1440</v>
      </c>
      <c r="I4" t="inlineStr">
        <is>
          <t>old note</t>
        </is>
      </c>
    </row>
    <row r="5">
      <c r="A5" s="3" t="e">
        <v>#REF!</v>
      </c>
      <c r="B5">
        <f>INDEX(G2:G6,7)</f>
        <v/>
      </c>
      <c r="C5" s="6" t="n"/>
      <c r="E5" t="inlineStr">
        <is>
          <t>Lassi 200 ml</t>
        </is>
      </c>
      <c r="F5" t="n">
        <v>860</v>
      </c>
      <c r="G5" s="4" t="n">
        <v>21500</v>
      </c>
    </row>
    <row r="6">
      <c r="A6" s="3" t="e">
        <v>#VALUE!</v>
      </c>
      <c r="B6">
        <f>G4/F4</f>
        <v/>
      </c>
      <c r="C6" s="6" t="n"/>
      <c r="E6" t="inlineStr">
        <is>
          <t>Butter 500 g</t>
        </is>
      </c>
      <c r="F6" t="n">
        <v>210</v>
      </c>
      <c r="G6" s="4" t="n">
        <v>54600</v>
      </c>
    </row>
    <row r="7">
      <c r="A7" s="3" t="e">
        <v>#NUM!</v>
      </c>
      <c r="B7">
        <f>SQRT(-25)</f>
        <v/>
      </c>
      <c r="C7" s="6" t="n"/>
    </row>
    <row r="8">
      <c r="A8" s="3" t="inlineStr">
        <is>
          <t>#CALC!</t>
        </is>
      </c>
      <c r="B8" s="6" t="n"/>
      <c r="C8" s="6" t="n"/>
    </row>
    <row r="10">
      <c r="A10" s="12" t="inlineStr">
        <is>
          <t>Challenge: in C11, revenue per unit for Shrikhand (G2/F2), showing 0 instead of an error (IFERROR).</t>
        </is>
      </c>
    </row>
    <row r="11">
      <c r="A11" t="inlineStr">
        <is>
          <t>Revenue per unit, Shrikhand</t>
        </is>
      </c>
      <c r="C11" s="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" customWidth="1" min="4" max="4"/>
    <col width="17" customWidth="1" min="5" max="5"/>
    <col width="8" customWidth="1" min="6" max="6"/>
    <col width="13" customWidth="1" min="7" max="7"/>
    <col width="3" customWidth="1" min="8" max="8"/>
    <col width="18" customWidth="1" min="9" max="9"/>
  </cols>
  <sheetData>
    <row r="1">
      <c r="A1" s="2" t="inlineStr">
        <is>
          <t>Error</t>
        </is>
      </c>
      <c r="B1" s="2" t="inlineStr">
        <is>
          <t>Broken formula</t>
        </is>
      </c>
      <c r="C1" s="2" t="inlineStr">
        <is>
          <t>Fixed formula</t>
        </is>
      </c>
      <c r="E1" s="2" t="inlineStr">
        <is>
          <t>Product</t>
        </is>
      </c>
      <c r="F1" s="2" t="inlineStr">
        <is>
          <t>Units</t>
        </is>
      </c>
      <c r="G1" s="2" t="inlineStr">
        <is>
          <t>Revenue (₹)</t>
        </is>
      </c>
      <c r="I1" s="2" t="inlineStr">
        <is>
          <t>Products A to Z</t>
        </is>
      </c>
    </row>
    <row r="2">
      <c r="A2" s="3" t="e">
        <v>#DIV/0!</v>
      </c>
      <c r="B2">
        <f>G2/F2</f>
        <v/>
      </c>
      <c r="C2" s="6">
        <f>IF(F2=0,0,G2/F2)</f>
        <v/>
      </c>
      <c r="E2" t="inlineStr">
        <is>
          <t>Shrikhand 500 g</t>
        </is>
      </c>
      <c r="F2" t="n">
        <v>0</v>
      </c>
      <c r="G2" s="4" t="n">
        <v>0</v>
      </c>
      <c r="I2" s="6">
        <f t="array" ref="I2:I6">_xlfn._xlws.SORT(E2:E6)</f>
        <v/>
      </c>
    </row>
    <row r="3">
      <c r="A3" s="3" t="e">
        <v>#N/A</v>
      </c>
      <c r="B3">
        <f>_xlfn.XLOOKUP("Ghee 1 L",E2:E6,G2:G6)</f>
        <v/>
      </c>
      <c r="C3" s="6">
        <f>_xlfn.XLOOKUP("Ghee 1 L",E2:E6,G2:G6,"Not listed")</f>
        <v/>
      </c>
      <c r="E3" t="inlineStr">
        <is>
          <t>Paneer 200 g</t>
        </is>
      </c>
      <c r="F3" t="n">
        <v>340</v>
      </c>
      <c r="G3" s="4" t="n">
        <v>30600</v>
      </c>
    </row>
    <row r="4">
      <c r="A4" s="3" t="e">
        <v>#NAME?</v>
      </c>
      <c r="B4">
        <f>SUMM(G2:G6)</f>
        <v/>
      </c>
      <c r="C4" s="6">
        <f>SUM(G2:G6)</f>
        <v/>
      </c>
      <c r="E4" t="inlineStr">
        <is>
          <t>Dahi 1 kg</t>
        </is>
      </c>
      <c r="F4" s="6" t="n">
        <v>12</v>
      </c>
      <c r="G4" s="4" t="n">
        <v>1440</v>
      </c>
    </row>
    <row r="5">
      <c r="A5" s="3" t="e">
        <v>#REF!</v>
      </c>
      <c r="B5">
        <f>INDEX(G2:G6,7)</f>
        <v/>
      </c>
      <c r="C5" s="6">
        <f>INDEX(G2:G6,5)</f>
        <v/>
      </c>
      <c r="E5" t="inlineStr">
        <is>
          <t>Lassi 200 ml</t>
        </is>
      </c>
      <c r="F5" t="n">
        <v>860</v>
      </c>
      <c r="G5" s="4" t="n">
        <v>21500</v>
      </c>
    </row>
    <row r="6">
      <c r="A6" s="3" t="e">
        <v>#VALUE!</v>
      </c>
      <c r="B6">
        <f>G4/F4</f>
        <v/>
      </c>
      <c r="C6" s="6">
        <f>G4/F4</f>
        <v/>
      </c>
      <c r="E6" t="inlineStr">
        <is>
          <t>Butter 500 g</t>
        </is>
      </c>
      <c r="F6" t="n">
        <v>210</v>
      </c>
      <c r="G6" s="4" t="n">
        <v>54600</v>
      </c>
    </row>
    <row r="7">
      <c r="A7" s="3" t="e">
        <v>#NUM!</v>
      </c>
      <c r="B7">
        <f>SQRT(-25)</f>
        <v/>
      </c>
      <c r="C7" s="6">
        <f>SQRT(25)</f>
        <v/>
      </c>
    </row>
    <row r="8">
      <c r="A8" s="3" t="inlineStr">
        <is>
          <t>#CALC!</t>
        </is>
      </c>
      <c r="B8" s="6">
        <f t="array" ref="B8">_xlfn._xlws.FILTER(E2:E6,G2:G6&gt;100000)</f>
        <v/>
      </c>
      <c r="C8" s="6">
        <f t="array" ref="C8">_xlfn._xlws.FILTER(E2:E6,G2:G6&gt;100000,"None")</f>
        <v/>
      </c>
    </row>
    <row r="10">
      <c r="A10" s="12" t="inlineStr">
        <is>
          <t>Challenge: in C11, revenue per unit for Shrikhand (G2/F2), showing 0 instead of an error (IFERROR).</t>
        </is>
      </c>
    </row>
    <row r="11">
      <c r="A11" t="inlineStr">
        <is>
          <t>Revenue per unit, Shrikhand</t>
        </is>
      </c>
      <c r="C11" s="6">
        <f>IFERROR(G2/F2,0)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" customWidth="1" min="3" max="3"/>
    <col width="34" customWidth="1" min="4" max="4"/>
  </cols>
  <sheetData>
    <row r="1">
      <c r="A1" s="2" t="inlineStr">
        <is>
          <t>Item</t>
        </is>
      </c>
      <c r="B1" s="2" t="inlineStr">
        <is>
          <t>FY 2026-27 (₹)</t>
        </is>
      </c>
      <c r="D1" s="3" t="inlineStr">
        <is>
          <t>Challenge: margin at 20,000 units</t>
        </is>
      </c>
    </row>
    <row r="2">
      <c r="A2" t="inlineStr">
        <is>
          <t>Units sold</t>
        </is>
      </c>
      <c r="B2" s="19" t="n">
        <v>18500</v>
      </c>
      <c r="D2" s="18" t="n"/>
    </row>
    <row r="3">
      <c r="A3" t="inlineStr">
        <is>
          <t>Price per unit (₹)</t>
        </is>
      </c>
      <c r="B3" s="4" t="n">
        <v>1450</v>
      </c>
    </row>
    <row r="4">
      <c r="A4" t="inlineStr">
        <is>
          <t>Revenue</t>
        </is>
      </c>
      <c r="B4" s="4">
        <f>B2*B3</f>
        <v/>
      </c>
    </row>
    <row r="5">
      <c r="A5" t="inlineStr">
        <is>
          <t>Cost of goods sold %</t>
        </is>
      </c>
      <c r="B5" s="8" t="n">
        <v>0.62</v>
      </c>
    </row>
    <row r="6">
      <c r="A6" t="inlineStr">
        <is>
          <t>Cost of goods sold</t>
        </is>
      </c>
      <c r="B6" s="4">
        <f>B4*B5</f>
        <v/>
      </c>
    </row>
    <row r="7">
      <c r="A7" s="3" t="inlineStr">
        <is>
          <t>Gross profit</t>
        </is>
      </c>
      <c r="B7" s="20">
        <f>B4-B6</f>
        <v/>
      </c>
    </row>
    <row r="8">
      <c r="A8" t="inlineStr">
        <is>
          <t>Salaries</t>
        </is>
      </c>
      <c r="B8" s="4" t="n">
        <v>3600000</v>
      </c>
    </row>
    <row r="9">
      <c r="A9" t="inlineStr">
        <is>
          <t>Rent</t>
        </is>
      </c>
      <c r="B9" s="4" t="n">
        <v>840000</v>
      </c>
    </row>
    <row r="10">
      <c r="A10" t="inlineStr">
        <is>
          <t>Other expenses</t>
        </is>
      </c>
      <c r="B10" s="4" t="n">
        <v>525000</v>
      </c>
    </row>
    <row r="11">
      <c r="A11" t="inlineStr">
        <is>
          <t>Total expenses</t>
        </is>
      </c>
      <c r="B11" s="5">
        <f>B8+B9+450000</f>
        <v/>
      </c>
    </row>
    <row r="12">
      <c r="A12" s="3" t="inlineStr">
        <is>
          <t>Operating profit</t>
        </is>
      </c>
      <c r="B12" s="20">
        <f>B7-B11</f>
        <v/>
      </c>
    </row>
    <row r="13">
      <c r="A13" t="inlineStr">
        <is>
          <t>Operating margin</t>
        </is>
      </c>
      <c r="B13" s="21">
        <f>B12/B4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" customWidth="1" min="3" max="3"/>
    <col width="34" customWidth="1" min="4" max="4"/>
  </cols>
  <sheetData>
    <row r="1">
      <c r="A1" s="2" t="inlineStr">
        <is>
          <t>Item</t>
        </is>
      </c>
      <c r="B1" s="2" t="inlineStr">
        <is>
          <t>FY 2026-27 (₹)</t>
        </is>
      </c>
      <c r="D1" s="3" t="inlineStr">
        <is>
          <t>Challenge: margin at 20,000 units</t>
        </is>
      </c>
    </row>
    <row r="2">
      <c r="A2" t="inlineStr">
        <is>
          <t>Units sold</t>
        </is>
      </c>
      <c r="B2" s="19" t="n">
        <v>18500</v>
      </c>
      <c r="D2" s="18" t="n">
        <v>0.208793</v>
      </c>
    </row>
    <row r="3">
      <c r="A3" t="inlineStr">
        <is>
          <t>Price per unit (₹)</t>
        </is>
      </c>
      <c r="B3" s="4" t="n">
        <v>1450</v>
      </c>
    </row>
    <row r="4">
      <c r="A4" t="inlineStr">
        <is>
          <t>Revenue</t>
        </is>
      </c>
      <c r="B4" s="4">
        <f>B2*B3</f>
        <v/>
      </c>
    </row>
    <row r="5">
      <c r="A5" t="inlineStr">
        <is>
          <t>Cost of goods sold %</t>
        </is>
      </c>
      <c r="B5" s="8" t="n">
        <v>0.62</v>
      </c>
    </row>
    <row r="6">
      <c r="A6" t="inlineStr">
        <is>
          <t>Cost of goods sold</t>
        </is>
      </c>
      <c r="B6" s="4">
        <f>B4*B5</f>
        <v/>
      </c>
    </row>
    <row r="7">
      <c r="A7" s="3" t="inlineStr">
        <is>
          <t>Gross profit</t>
        </is>
      </c>
      <c r="B7" s="20">
        <f>B4-B6</f>
        <v/>
      </c>
    </row>
    <row r="8">
      <c r="A8" t="inlineStr">
        <is>
          <t>Salaries</t>
        </is>
      </c>
      <c r="B8" s="4" t="n">
        <v>3600000</v>
      </c>
    </row>
    <row r="9">
      <c r="A9" t="inlineStr">
        <is>
          <t>Rent</t>
        </is>
      </c>
      <c r="B9" s="4" t="n">
        <v>840000</v>
      </c>
    </row>
    <row r="10">
      <c r="A10" t="inlineStr">
        <is>
          <t>Other expenses</t>
        </is>
      </c>
      <c r="B10" s="4" t="n">
        <v>525000</v>
      </c>
    </row>
    <row r="11">
      <c r="A11" t="inlineStr">
        <is>
          <t>Total expenses</t>
        </is>
      </c>
      <c r="B11" s="5">
        <f>SUM(B8:B10)</f>
        <v/>
      </c>
    </row>
    <row r="12">
      <c r="A12" s="3" t="inlineStr">
        <is>
          <t>Operating profit</t>
        </is>
      </c>
      <c r="B12" s="20">
        <f>B7-B11</f>
        <v/>
      </c>
    </row>
    <row r="13">
      <c r="A13" t="inlineStr">
        <is>
          <t>Operating margin</t>
        </is>
      </c>
      <c r="B13" s="21">
        <f>B12/B4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3" customWidth="1" min="3" max="3"/>
    <col width="38" customWidth="1" min="4" max="4"/>
  </cols>
  <sheetData>
    <row r="1">
      <c r="A1" s="3" t="inlineStr">
        <is>
          <t>Profit before bonus (₹)</t>
        </is>
      </c>
      <c r="B1" s="4" t="n">
        <v>2500000</v>
      </c>
      <c r="D1" t="inlineStr">
        <is>
          <t>Check: bonus = rate × profit after bonus</t>
        </is>
      </c>
    </row>
    <row r="2">
      <c r="A2" s="3" t="inlineStr">
        <is>
          <t>Bonus rate (on profit after bonus)</t>
        </is>
      </c>
      <c r="B2" s="8" t="n">
        <v>0.1</v>
      </c>
      <c r="D2" s="4">
        <f>B2*B4</f>
        <v/>
      </c>
    </row>
    <row r="3">
      <c r="A3" s="3" t="inlineStr">
        <is>
          <t>Bonus (₹)</t>
        </is>
      </c>
      <c r="B3" s="5" t="n"/>
    </row>
    <row r="4">
      <c r="A4" s="3" t="inlineStr">
        <is>
          <t>Profit after bonus (₹)</t>
        </is>
      </c>
      <c r="B4" s="4">
        <f>B1-B3</f>
        <v/>
      </c>
    </row>
    <row r="6">
      <c r="A6" s="12" t="inlineStr">
        <is>
          <t>Challenge: bonus if the rate were 12%</t>
        </is>
      </c>
      <c r="B6" s="5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3" customWidth="1" min="3" max="3"/>
    <col width="38" customWidth="1" min="4" max="4"/>
  </cols>
  <sheetData>
    <row r="1">
      <c r="A1" s="3" t="inlineStr">
        <is>
          <t>Profit before bonus (₹)</t>
        </is>
      </c>
      <c r="B1" s="4" t="n">
        <v>3000000</v>
      </c>
      <c r="D1" t="inlineStr">
        <is>
          <t>Check: bonus = rate × profit after bonus</t>
        </is>
      </c>
    </row>
    <row r="2">
      <c r="A2" s="3" t="inlineStr">
        <is>
          <t>Bonus rate (on profit after bonus)</t>
        </is>
      </c>
      <c r="B2" s="8" t="n">
        <v>0.1</v>
      </c>
      <c r="D2" s="4">
        <f>B2*B4</f>
        <v/>
      </c>
    </row>
    <row r="3">
      <c r="A3" s="3" t="inlineStr">
        <is>
          <t>Bonus (₹)</t>
        </is>
      </c>
      <c r="B3" s="5">
        <f>B1*B2/(1+B2)</f>
        <v/>
      </c>
    </row>
    <row r="4">
      <c r="A4" s="3" t="inlineStr">
        <is>
          <t>Profit after bonus (₹)</t>
        </is>
      </c>
      <c r="B4" s="4">
        <f>B1-B3</f>
        <v/>
      </c>
    </row>
    <row r="6">
      <c r="A6" s="12" t="inlineStr">
        <is>
          <t>Challenge: bonus if the rate were 12%</t>
        </is>
      </c>
      <c r="B6" s="5">
        <f>B1*12%/(1+12%)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5" customWidth="1" min="4" max="4"/>
    <col width="16" customWidth="1" min="5" max="5"/>
    <col width="3" customWidth="1" min="6" max="6"/>
    <col width="22" customWidth="1" min="7" max="7"/>
    <col width="12" customWidth="1" min="8" max="8"/>
    <col width="3" customWidth="1" min="9" max="9"/>
    <col width="74" customWidth="1" min="10" max="10"/>
  </cols>
  <sheetData>
    <row r="1">
      <c r="A1" s="2" t="inlineStr">
        <is>
          <t>Salesperson</t>
        </is>
      </c>
      <c r="B1" s="2" t="inlineStr">
        <is>
          <t>City</t>
        </is>
      </c>
      <c r="C1" s="2" t="inlineStr">
        <is>
          <t>Sales (₹)</t>
        </is>
      </c>
      <c r="D1" s="2" t="inlineStr">
        <is>
          <t>Commission (₹)</t>
        </is>
      </c>
      <c r="E1" s="2" t="inlineStr">
        <is>
          <t>Commission rounded to ₹10</t>
        </is>
      </c>
      <c r="G1" s="3" t="inlineStr">
        <is>
          <t>Commission rate</t>
        </is>
      </c>
      <c r="H1" s="21" t="n">
        <v>0.025</v>
      </c>
      <c r="J1" s="9" t="inlineStr">
        <is>
          <t>Your tasks (Challenge 3)</t>
        </is>
      </c>
    </row>
    <row r="2">
      <c r="A2" t="inlineStr">
        <is>
          <t>Amit Joshi</t>
        </is>
      </c>
      <c r="B2" t="inlineStr">
        <is>
          <t>Pune</t>
        </is>
      </c>
      <c r="C2" s="4" t="n">
        <v>487350</v>
      </c>
      <c r="D2" s="5" t="n"/>
      <c r="E2" s="5" t="n"/>
      <c r="J2" t="inlineStr">
        <is>
          <t>1. D2: commission = Sales × the rate in H1. Lock H1 with ⌘ + T ($H$1), then fill down to D13.</t>
        </is>
      </c>
    </row>
    <row r="3">
      <c r="A3" t="inlineStr">
        <is>
          <t>Sneha Kale</t>
        </is>
      </c>
      <c r="B3" t="inlineStr">
        <is>
          <t>Pune</t>
        </is>
      </c>
      <c r="C3" s="4" t="n">
        <v>512780</v>
      </c>
      <c r="D3" s="5" t="n"/>
      <c r="E3" s="5" t="n"/>
      <c r="G3" s="9" t="inlineStr">
        <is>
          <t>Summary</t>
        </is>
      </c>
      <c r="J3" t="inlineStr">
        <is>
          <t>2. E2: commission rounded to the nearest ₹10 with MROUND. Fill down to E13.</t>
        </is>
      </c>
    </row>
    <row r="4">
      <c r="A4" t="inlineStr">
        <is>
          <t>Rakesh Nair</t>
        </is>
      </c>
      <c r="B4" t="inlineStr">
        <is>
          <t>Mumbai</t>
        </is>
      </c>
      <c r="C4" s="4" t="n">
        <v>638420</v>
      </c>
      <c r="D4" s="5" t="n"/>
      <c r="E4" s="5" t="n"/>
      <c r="G4" t="inlineStr">
        <is>
          <t>Average sales</t>
        </is>
      </c>
      <c r="H4" s="5" t="n"/>
      <c r="J4" t="inlineStr">
        <is>
          <t>3. Row 14: totals for C, D and E with AutoSum (⌘ + ⇧ + T).</t>
        </is>
      </c>
    </row>
    <row r="5">
      <c r="A5" t="inlineStr">
        <is>
          <t>Fatima Shaikh</t>
        </is>
      </c>
      <c r="B5" t="inlineStr">
        <is>
          <t>Mumbai</t>
        </is>
      </c>
      <c r="C5" s="4" t="n">
        <v>702150</v>
      </c>
      <c r="D5" s="5" t="n"/>
      <c r="E5" s="5" t="n"/>
      <c r="G5" t="inlineStr">
        <is>
          <t>Highest sales</t>
        </is>
      </c>
      <c r="H5" s="5" t="n"/>
      <c r="J5" t="inlineStr">
        <is>
          <t>4. H4:H7: AVERAGE, MAX and MIN of sales, and COUNTA of the names.</t>
        </is>
      </c>
    </row>
    <row r="6">
      <c r="A6" t="inlineStr">
        <is>
          <t>Vivek Deshpande</t>
        </is>
      </c>
      <c r="B6" t="inlineStr">
        <is>
          <t>Nagpur</t>
        </is>
      </c>
      <c r="C6" s="4" t="n">
        <v>356960</v>
      </c>
      <c r="D6" s="5" t="n"/>
      <c r="E6" s="5" t="n"/>
      <c r="G6" t="inlineStr">
        <is>
          <t>Lowest sales</t>
        </is>
      </c>
      <c r="H6" s="5" t="n"/>
      <c r="J6" t="inlineStr">
        <is>
          <t>5. Change the rate in H1 to 3% and check that everything updates. Then set it back to 2.5%.</t>
        </is>
      </c>
    </row>
    <row r="7">
      <c r="A7" t="inlineStr">
        <is>
          <t>Pallavi More</t>
        </is>
      </c>
      <c r="B7" t="inlineStr">
        <is>
          <t>Nashik</t>
        </is>
      </c>
      <c r="C7" s="4" t="n">
        <v>298450</v>
      </c>
      <c r="D7" s="5" t="n"/>
      <c r="E7" s="5" t="n"/>
      <c r="G7" t="inlineStr">
        <is>
          <t>Number of salespeople</t>
        </is>
      </c>
      <c r="H7" s="6" t="n"/>
      <c r="J7" t="inlineStr">
        <is>
          <t>Answers: sheet 'S03-10 Answers'.</t>
        </is>
      </c>
    </row>
    <row r="8">
      <c r="A8" t="inlineStr">
        <is>
          <t>Kiran Salunkhe</t>
        </is>
      </c>
      <c r="B8" t="inlineStr">
        <is>
          <t>Thane</t>
        </is>
      </c>
      <c r="C8" s="4" t="n">
        <v>447630</v>
      </c>
      <c r="D8" s="5" t="n"/>
      <c r="E8" s="5" t="n"/>
    </row>
    <row r="9">
      <c r="A9" t="inlineStr">
        <is>
          <t>Manoj Gupta</t>
        </is>
      </c>
      <c r="B9" t="inlineStr">
        <is>
          <t>Thane</t>
        </is>
      </c>
      <c r="C9" s="4" t="n">
        <v>391240</v>
      </c>
      <c r="D9" s="5" t="n"/>
      <c r="E9" s="5" t="n"/>
    </row>
    <row r="10">
      <c r="A10" t="inlineStr">
        <is>
          <t>Rohit Pawar</t>
        </is>
      </c>
      <c r="B10" t="inlineStr">
        <is>
          <t>Kolhapur</t>
        </is>
      </c>
      <c r="C10" s="4" t="n">
        <v>274310</v>
      </c>
      <c r="D10" s="5" t="n"/>
      <c r="E10" s="5" t="n"/>
    </row>
    <row r="11">
      <c r="A11" t="inlineStr">
        <is>
          <t>Swati Kulkarni</t>
        </is>
      </c>
      <c r="B11" t="inlineStr">
        <is>
          <t>Pune</t>
        </is>
      </c>
      <c r="C11" s="4" t="n">
        <v>529870</v>
      </c>
      <c r="D11" s="5" t="n"/>
      <c r="E11" s="5" t="n"/>
    </row>
    <row r="12">
      <c r="A12" t="inlineStr">
        <is>
          <t>Imran Sayyed</t>
        </is>
      </c>
      <c r="B12" t="inlineStr">
        <is>
          <t>Nagpur</t>
        </is>
      </c>
      <c r="C12" s="4" t="n">
        <v>333750</v>
      </c>
      <c r="D12" s="5" t="n"/>
      <c r="E12" s="5" t="n"/>
    </row>
    <row r="13">
      <c r="A13" t="inlineStr">
        <is>
          <t>Neha Agarwal</t>
        </is>
      </c>
      <c r="B13" t="inlineStr">
        <is>
          <t>Mumbai</t>
        </is>
      </c>
      <c r="C13" s="4" t="n">
        <v>584960</v>
      </c>
      <c r="D13" s="5" t="n"/>
      <c r="E13" s="5" t="n"/>
    </row>
    <row r="14">
      <c r="A14" s="3" t="inlineStr">
        <is>
          <t>Total</t>
        </is>
      </c>
      <c r="C14" s="5" t="n"/>
      <c r="D14" s="5" t="n"/>
      <c r="E14" s="5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5" customWidth="1" min="4" max="4"/>
    <col width="16" customWidth="1" min="5" max="5"/>
    <col width="3" customWidth="1" min="6" max="6"/>
    <col width="22" customWidth="1" min="7" max="7"/>
    <col width="12" customWidth="1" min="8" max="8"/>
    <col width="3" customWidth="1" min="9" max="9"/>
    <col width="74" customWidth="1" min="10" max="10"/>
  </cols>
  <sheetData>
    <row r="1">
      <c r="A1" s="2" t="inlineStr">
        <is>
          <t>Salesperson</t>
        </is>
      </c>
      <c r="B1" s="2" t="inlineStr">
        <is>
          <t>City</t>
        </is>
      </c>
      <c r="C1" s="2" t="inlineStr">
        <is>
          <t>Sales (₹)</t>
        </is>
      </c>
      <c r="D1" s="2" t="inlineStr">
        <is>
          <t>Commission (₹)</t>
        </is>
      </c>
      <c r="E1" s="2" t="inlineStr">
        <is>
          <t>Commission rounded to ₹10</t>
        </is>
      </c>
      <c r="G1" s="3" t="inlineStr">
        <is>
          <t>Commission rate</t>
        </is>
      </c>
      <c r="H1" s="21" t="n">
        <v>0.025</v>
      </c>
      <c r="J1" s="9" t="inlineStr">
        <is>
          <t>Your tasks (Challenge 3)</t>
        </is>
      </c>
    </row>
    <row r="2">
      <c r="A2" t="inlineStr">
        <is>
          <t>Amit Joshi</t>
        </is>
      </c>
      <c r="B2" t="inlineStr">
        <is>
          <t>Pune</t>
        </is>
      </c>
      <c r="C2" s="4" t="n">
        <v>487350</v>
      </c>
      <c r="D2" s="5">
        <f>C2*$H$1</f>
        <v/>
      </c>
      <c r="E2" s="5">
        <f>MROUND(D2,10)</f>
        <v/>
      </c>
      <c r="J2" t="inlineStr">
        <is>
          <t>1. D2: commission = Sales × the rate in H1. Lock H1 with ⌘ + T ($H$1), then fill down to D13.</t>
        </is>
      </c>
    </row>
    <row r="3">
      <c r="A3" t="inlineStr">
        <is>
          <t>Sneha Kale</t>
        </is>
      </c>
      <c r="B3" t="inlineStr">
        <is>
          <t>Pune</t>
        </is>
      </c>
      <c r="C3" s="4" t="n">
        <v>512780</v>
      </c>
      <c r="D3" s="5">
        <f>C3*$H$1</f>
        <v/>
      </c>
      <c r="E3" s="5">
        <f>MROUND(D3,10)</f>
        <v/>
      </c>
      <c r="G3" s="9" t="inlineStr">
        <is>
          <t>Summary</t>
        </is>
      </c>
      <c r="J3" t="inlineStr">
        <is>
          <t>2. E2: commission rounded to the nearest ₹10 with MROUND. Fill down to E13.</t>
        </is>
      </c>
    </row>
    <row r="4">
      <c r="A4" t="inlineStr">
        <is>
          <t>Rakesh Nair</t>
        </is>
      </c>
      <c r="B4" t="inlineStr">
        <is>
          <t>Mumbai</t>
        </is>
      </c>
      <c r="C4" s="4" t="n">
        <v>638420</v>
      </c>
      <c r="D4" s="5">
        <f>C4*$H$1</f>
        <v/>
      </c>
      <c r="E4" s="5">
        <f>MROUND(D4,10)</f>
        <v/>
      </c>
      <c r="G4" t="inlineStr">
        <is>
          <t>Average sales</t>
        </is>
      </c>
      <c r="H4" s="5">
        <f>AVERAGE(C2:C13)</f>
        <v/>
      </c>
      <c r="J4" t="inlineStr">
        <is>
          <t>3. Row 14: totals for C, D and E with AutoSum (⌘ + ⇧ + T).</t>
        </is>
      </c>
    </row>
    <row r="5">
      <c r="A5" t="inlineStr">
        <is>
          <t>Fatima Shaikh</t>
        </is>
      </c>
      <c r="B5" t="inlineStr">
        <is>
          <t>Mumbai</t>
        </is>
      </c>
      <c r="C5" s="4" t="n">
        <v>702150</v>
      </c>
      <c r="D5" s="5">
        <f>C5*$H$1</f>
        <v/>
      </c>
      <c r="E5" s="5">
        <f>MROUND(D5,10)</f>
        <v/>
      </c>
      <c r="G5" t="inlineStr">
        <is>
          <t>Highest sales</t>
        </is>
      </c>
      <c r="H5" s="5">
        <f>MAX(C2:C13)</f>
        <v/>
      </c>
      <c r="J5" t="inlineStr">
        <is>
          <t>4. H4:H7: AVERAGE, MAX and MIN of sales, and COUNTA of the names.</t>
        </is>
      </c>
    </row>
    <row r="6">
      <c r="A6" t="inlineStr">
        <is>
          <t>Vivek Deshpande</t>
        </is>
      </c>
      <c r="B6" t="inlineStr">
        <is>
          <t>Nagpur</t>
        </is>
      </c>
      <c r="C6" s="4" t="n">
        <v>356960</v>
      </c>
      <c r="D6" s="5">
        <f>C6*$H$1</f>
        <v/>
      </c>
      <c r="E6" s="5">
        <f>MROUND(D6,10)</f>
        <v/>
      </c>
      <c r="G6" t="inlineStr">
        <is>
          <t>Lowest sales</t>
        </is>
      </c>
      <c r="H6" s="5">
        <f>MIN(C2:C13)</f>
        <v/>
      </c>
      <c r="J6" t="inlineStr">
        <is>
          <t>5. Change the rate in H1 to 3% and check that everything updates. Then set it back to 2.5%.</t>
        </is>
      </c>
    </row>
    <row r="7">
      <c r="A7" t="inlineStr">
        <is>
          <t>Pallavi More</t>
        </is>
      </c>
      <c r="B7" t="inlineStr">
        <is>
          <t>Nashik</t>
        </is>
      </c>
      <c r="C7" s="4" t="n">
        <v>298450</v>
      </c>
      <c r="D7" s="5">
        <f>C7*$H$1</f>
        <v/>
      </c>
      <c r="E7" s="5">
        <f>MROUND(D7,10)</f>
        <v/>
      </c>
      <c r="G7" t="inlineStr">
        <is>
          <t>Number of salespeople</t>
        </is>
      </c>
      <c r="H7" s="6">
        <f>COUNTA(A2:A13)</f>
        <v/>
      </c>
      <c r="J7" t="inlineStr">
        <is>
          <t>Answers: sheet 'S03-10 Answers'.</t>
        </is>
      </c>
    </row>
    <row r="8">
      <c r="A8" t="inlineStr">
        <is>
          <t>Kiran Salunkhe</t>
        </is>
      </c>
      <c r="B8" t="inlineStr">
        <is>
          <t>Thane</t>
        </is>
      </c>
      <c r="C8" s="4" t="n">
        <v>447630</v>
      </c>
      <c r="D8" s="5">
        <f>C8*$H$1</f>
        <v/>
      </c>
      <c r="E8" s="5">
        <f>MROUND(D8,10)</f>
        <v/>
      </c>
    </row>
    <row r="9">
      <c r="A9" t="inlineStr">
        <is>
          <t>Manoj Gupta</t>
        </is>
      </c>
      <c r="B9" t="inlineStr">
        <is>
          <t>Thane</t>
        </is>
      </c>
      <c r="C9" s="4" t="n">
        <v>391240</v>
      </c>
      <c r="D9" s="5">
        <f>C9*$H$1</f>
        <v/>
      </c>
      <c r="E9" s="5">
        <f>MROUND(D9,10)</f>
        <v/>
      </c>
    </row>
    <row r="10">
      <c r="A10" t="inlineStr">
        <is>
          <t>Rohit Pawar</t>
        </is>
      </c>
      <c r="B10" t="inlineStr">
        <is>
          <t>Kolhapur</t>
        </is>
      </c>
      <c r="C10" s="4" t="n">
        <v>274310</v>
      </c>
      <c r="D10" s="5">
        <f>C10*$H$1</f>
        <v/>
      </c>
      <c r="E10" s="5">
        <f>MROUND(D10,10)</f>
        <v/>
      </c>
    </row>
    <row r="11">
      <c r="A11" t="inlineStr">
        <is>
          <t>Swati Kulkarni</t>
        </is>
      </c>
      <c r="B11" t="inlineStr">
        <is>
          <t>Pune</t>
        </is>
      </c>
      <c r="C11" s="4" t="n">
        <v>529870</v>
      </c>
      <c r="D11" s="5">
        <f>C11*$H$1</f>
        <v/>
      </c>
      <c r="E11" s="5">
        <f>MROUND(D11,10)</f>
        <v/>
      </c>
    </row>
    <row r="12">
      <c r="A12" t="inlineStr">
        <is>
          <t>Imran Sayyed</t>
        </is>
      </c>
      <c r="B12" t="inlineStr">
        <is>
          <t>Nagpur</t>
        </is>
      </c>
      <c r="C12" s="4" t="n">
        <v>333750</v>
      </c>
      <c r="D12" s="5">
        <f>C12*$H$1</f>
        <v/>
      </c>
      <c r="E12" s="5">
        <f>MROUND(D12,10)</f>
        <v/>
      </c>
    </row>
    <row r="13">
      <c r="A13" t="inlineStr">
        <is>
          <t>Neha Agarwal</t>
        </is>
      </c>
      <c r="B13" t="inlineStr">
        <is>
          <t>Mumbai</t>
        </is>
      </c>
      <c r="C13" s="4" t="n">
        <v>584960</v>
      </c>
      <c r="D13" s="5">
        <f>C13*$H$1</f>
        <v/>
      </c>
      <c r="E13" s="5">
        <f>MROUND(D13,10)</f>
        <v/>
      </c>
    </row>
    <row r="14">
      <c r="A14" s="3" t="inlineStr">
        <is>
          <t>Total</t>
        </is>
      </c>
      <c r="C14" s="5">
        <f>SUM(C2:C13)</f>
        <v/>
      </c>
      <c r="D14" s="5">
        <f>SUM(D2:D13)</f>
        <v/>
      </c>
      <c r="E14" s="5">
        <f>SUM(E2:E13)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2026-10-23T10:14:35Z</dcterms:created>
  <dcterms:modified xmlns:dcterms="http://purl.org/dc/terms/" xmlns:xsi="http://www.w3.org/2001/XMLSchema-instance" xsi:type="dcterms:W3CDTF">2026-10-23T10:14:35Z</dcterms:modified>
</cp:coreProperties>
</file>